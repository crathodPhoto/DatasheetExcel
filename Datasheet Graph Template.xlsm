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chartsheets/sheet1.xml" ContentType="application/vnd.openxmlformats-officedocument.spreadsheetml.chart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ml.chartshapes+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mc:AlternateContent xmlns:mc="http://schemas.openxmlformats.org/markup-compatibility/2006">
    <mc:Choice Requires="x15">
      <x15ac:absPath xmlns:x15ac="http://schemas.microsoft.com/office/spreadsheetml/2010/11/ac" url="P:\Christian Williams\1-Datasheet Creation\"/>
    </mc:Choice>
  </mc:AlternateContent>
  <xr:revisionPtr revIDLastSave="0" documentId="13_ncr:1_{2BD81CD9-A0AB-4924-A7DC-5F73657DD4D5}" xr6:coauthVersionLast="47" xr6:coauthVersionMax="47" xr10:uidLastSave="{00000000-0000-0000-0000-000000000000}"/>
  <bookViews>
    <workbookView xWindow="-120" yWindow="-120" windowWidth="29040" windowHeight="15840" activeTab="3" xr2:uid="{00000000-000D-0000-FFFF-FFFF00000000}"/>
  </bookViews>
  <sheets>
    <sheet name="Charts" sheetId="13" r:id="rId1"/>
    <sheet name="OLD-CHART" sheetId="12" r:id="rId2"/>
    <sheet name="snl" sheetId="7" r:id="rId3"/>
    <sheet name="Key" sheetId="8" r:id="rId4"/>
    <sheet name="catalog" sheetId="9" r:id="rId5"/>
  </sheets>
  <definedNames>
    <definedName name="_xlnm._FilterDatabase" localSheetId="3" hidden="1">Key!$A$1:$R$805</definedName>
    <definedName name="_xleta.MIN" hidden="1" xlm="1">#NAME?</definedName>
    <definedName name="maxspect">MAX(#REF!)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806" i="8" l="1"/>
  <c r="K806" i="8"/>
  <c r="H806" i="8"/>
  <c r="L4" i="7"/>
  <c r="L5" i="7"/>
  <c r="L3" i="7"/>
  <c r="B8" i="7" a="1"/>
  <c r="B8" i="7" s="1"/>
  <c r="E8" i="7" s="1" a="1"/>
  <c r="E8" i="7" s="1"/>
  <c r="AG13" i="7"/>
  <c r="AL74" i="7"/>
  <c r="AM74" i="7"/>
  <c r="AN74" i="7"/>
  <c r="AO74" i="7"/>
  <c r="AP74" i="7"/>
  <c r="AQ74" i="7"/>
  <c r="AR74" i="7"/>
  <c r="AS74" i="7"/>
  <c r="AT74" i="7"/>
  <c r="AU74" i="7"/>
  <c r="AV74" i="7"/>
  <c r="AW74" i="7"/>
  <c r="AX74" i="7"/>
  <c r="AY74" i="7"/>
  <c r="AL75" i="7"/>
  <c r="AM75" i="7"/>
  <c r="AN75" i="7"/>
  <c r="AO75" i="7"/>
  <c r="AP75" i="7"/>
  <c r="AQ75" i="7"/>
  <c r="AR75" i="7"/>
  <c r="AS75" i="7"/>
  <c r="AT75" i="7"/>
  <c r="AU75" i="7"/>
  <c r="AV75" i="7"/>
  <c r="AW75" i="7"/>
  <c r="AX75" i="7"/>
  <c r="AY75" i="7"/>
  <c r="AL76" i="7"/>
  <c r="AM76" i="7"/>
  <c r="AN76" i="7"/>
  <c r="AO76" i="7"/>
  <c r="AP76" i="7"/>
  <c r="AQ76" i="7"/>
  <c r="AR76" i="7"/>
  <c r="AS76" i="7"/>
  <c r="AT76" i="7"/>
  <c r="AU76" i="7"/>
  <c r="AV76" i="7"/>
  <c r="AW76" i="7"/>
  <c r="AX76" i="7"/>
  <c r="AY76" i="7"/>
  <c r="D9" i="7"/>
  <c r="AF74" i="7"/>
  <c r="AG74" i="7"/>
  <c r="AH74" i="7"/>
  <c r="AI74" i="7"/>
  <c r="AJ74" i="7"/>
  <c r="AK74" i="7"/>
  <c r="AF75" i="7"/>
  <c r="AG75" i="7"/>
  <c r="AH75" i="7"/>
  <c r="AI75" i="7"/>
  <c r="AJ75" i="7"/>
  <c r="AK75" i="7"/>
  <c r="AF76" i="7"/>
  <c r="AG76" i="7"/>
  <c r="AH76" i="7"/>
  <c r="AI76" i="7"/>
  <c r="AJ76" i="7"/>
  <c r="AK76" i="7"/>
  <c r="E11" i="7"/>
  <c r="E13" i="7" s="1"/>
  <c r="D11" i="7"/>
  <c r="D13" i="7" s="1"/>
  <c r="A74" i="7"/>
  <c r="B74" i="7"/>
  <c r="C74" i="7"/>
  <c r="D74" i="7"/>
  <c r="E74" i="7"/>
  <c r="F74" i="7"/>
  <c r="G74" i="7"/>
  <c r="H74" i="7"/>
  <c r="I74" i="7"/>
  <c r="J74" i="7"/>
  <c r="K74" i="7"/>
  <c r="L74" i="7"/>
  <c r="M74" i="7"/>
  <c r="N74" i="7"/>
  <c r="O74" i="7"/>
  <c r="P74" i="7"/>
  <c r="Q74" i="7"/>
  <c r="R74" i="7"/>
  <c r="S74" i="7"/>
  <c r="T74" i="7"/>
  <c r="U74" i="7"/>
  <c r="V74" i="7"/>
  <c r="W74" i="7"/>
  <c r="X74" i="7"/>
  <c r="Y74" i="7"/>
  <c r="Z74" i="7"/>
  <c r="AA74" i="7"/>
  <c r="AB74" i="7"/>
  <c r="AC74" i="7"/>
  <c r="AD74" i="7"/>
  <c r="AE74" i="7"/>
  <c r="A75" i="7"/>
  <c r="B75" i="7"/>
  <c r="C75" i="7"/>
  <c r="D75" i="7"/>
  <c r="E75" i="7"/>
  <c r="F75" i="7"/>
  <c r="G75" i="7"/>
  <c r="H75" i="7"/>
  <c r="I75" i="7"/>
  <c r="J75" i="7"/>
  <c r="K75" i="7"/>
  <c r="L75" i="7"/>
  <c r="M75" i="7"/>
  <c r="N75" i="7"/>
  <c r="O75" i="7"/>
  <c r="P75" i="7"/>
  <c r="Q75" i="7"/>
  <c r="R75" i="7"/>
  <c r="S75" i="7"/>
  <c r="T75" i="7"/>
  <c r="U75" i="7"/>
  <c r="V75" i="7"/>
  <c r="W75" i="7"/>
  <c r="X75" i="7"/>
  <c r="Y75" i="7"/>
  <c r="Z75" i="7"/>
  <c r="AA75" i="7"/>
  <c r="AB75" i="7"/>
  <c r="AC75" i="7"/>
  <c r="AD75" i="7"/>
  <c r="AE75" i="7"/>
  <c r="B3" i="7"/>
  <c r="B2" i="7"/>
  <c r="D8" i="7" s="1"/>
  <c r="H3" i="8"/>
  <c r="H4" i="8"/>
  <c r="H5" i="8"/>
  <c r="H6" i="8"/>
  <c r="H7" i="8"/>
  <c r="H8" i="8"/>
  <c r="H9" i="8"/>
  <c r="H10" i="8"/>
  <c r="H11" i="8"/>
  <c r="H12" i="8"/>
  <c r="H13" i="8"/>
  <c r="H14" i="8"/>
  <c r="H15" i="8"/>
  <c r="H16" i="8"/>
  <c r="H17" i="8"/>
  <c r="H18" i="8"/>
  <c r="H19" i="8"/>
  <c r="H20" i="8"/>
  <c r="H21" i="8"/>
  <c r="H22" i="8"/>
  <c r="H23" i="8"/>
  <c r="H24" i="8"/>
  <c r="H25" i="8"/>
  <c r="H26" i="8"/>
  <c r="H27" i="8"/>
  <c r="H28" i="8"/>
  <c r="H29" i="8"/>
  <c r="H30" i="8"/>
  <c r="H31" i="8"/>
  <c r="H32" i="8"/>
  <c r="H33" i="8"/>
  <c r="H34" i="8"/>
  <c r="H35" i="8"/>
  <c r="H36" i="8"/>
  <c r="H37" i="8"/>
  <c r="H38" i="8"/>
  <c r="H39" i="8"/>
  <c r="H40" i="8"/>
  <c r="H41" i="8"/>
  <c r="H42" i="8"/>
  <c r="H43" i="8"/>
  <c r="H44" i="8"/>
  <c r="H45" i="8"/>
  <c r="H46" i="8"/>
  <c r="H47" i="8"/>
  <c r="H48" i="8"/>
  <c r="H49" i="8"/>
  <c r="H50" i="8"/>
  <c r="H51" i="8"/>
  <c r="H52" i="8"/>
  <c r="H53" i="8"/>
  <c r="H54" i="8"/>
  <c r="H55" i="8"/>
  <c r="H56" i="8"/>
  <c r="H57" i="8"/>
  <c r="H58" i="8"/>
  <c r="H59" i="8"/>
  <c r="H60" i="8"/>
  <c r="H61" i="8"/>
  <c r="H62" i="8"/>
  <c r="H63" i="8"/>
  <c r="H64" i="8"/>
  <c r="H65" i="8"/>
  <c r="H66" i="8"/>
  <c r="H67" i="8"/>
  <c r="H68" i="8"/>
  <c r="H69" i="8"/>
  <c r="H70" i="8"/>
  <c r="H71" i="8"/>
  <c r="H72" i="8"/>
  <c r="H73" i="8"/>
  <c r="H74" i="8"/>
  <c r="H75" i="8"/>
  <c r="H76" i="8"/>
  <c r="H77" i="8"/>
  <c r="H78" i="8"/>
  <c r="H79" i="8"/>
  <c r="H80" i="8"/>
  <c r="H81" i="8"/>
  <c r="H82" i="8"/>
  <c r="H83" i="8"/>
  <c r="H84" i="8"/>
  <c r="H85" i="8"/>
  <c r="H86" i="8"/>
  <c r="H87" i="8"/>
  <c r="H88" i="8"/>
  <c r="H89" i="8"/>
  <c r="H90" i="8"/>
  <c r="H91" i="8"/>
  <c r="H92" i="8"/>
  <c r="H93" i="8"/>
  <c r="H94" i="8"/>
  <c r="H95" i="8"/>
  <c r="H96" i="8"/>
  <c r="H97" i="8"/>
  <c r="H98" i="8"/>
  <c r="H99" i="8"/>
  <c r="H100" i="8"/>
  <c r="H101" i="8"/>
  <c r="H102" i="8"/>
  <c r="H103" i="8"/>
  <c r="H104" i="8"/>
  <c r="H105" i="8"/>
  <c r="H106" i="8"/>
  <c r="H107" i="8"/>
  <c r="H108" i="8"/>
  <c r="H109" i="8"/>
  <c r="H110" i="8"/>
  <c r="H111" i="8"/>
  <c r="H112" i="8"/>
  <c r="H113" i="8"/>
  <c r="H114" i="8"/>
  <c r="H115" i="8"/>
  <c r="H116" i="8"/>
  <c r="H117" i="8"/>
  <c r="H118" i="8"/>
  <c r="H119" i="8"/>
  <c r="H120" i="8"/>
  <c r="H121" i="8"/>
  <c r="H122" i="8"/>
  <c r="H123" i="8"/>
  <c r="H124" i="8"/>
  <c r="H125" i="8"/>
  <c r="H126" i="8"/>
  <c r="H127" i="8"/>
  <c r="H128" i="8"/>
  <c r="H129" i="8"/>
  <c r="H130" i="8"/>
  <c r="H131" i="8"/>
  <c r="H132" i="8"/>
  <c r="H133" i="8"/>
  <c r="H134" i="8"/>
  <c r="H135" i="8"/>
  <c r="H136" i="8"/>
  <c r="H137" i="8"/>
  <c r="H138" i="8"/>
  <c r="H139" i="8"/>
  <c r="H140" i="8"/>
  <c r="H141" i="8"/>
  <c r="H142" i="8"/>
  <c r="H143" i="8"/>
  <c r="H144" i="8"/>
  <c r="H145" i="8"/>
  <c r="H146" i="8"/>
  <c r="H147" i="8"/>
  <c r="H148" i="8"/>
  <c r="H149" i="8"/>
  <c r="H150" i="8"/>
  <c r="H151" i="8"/>
  <c r="H152" i="8"/>
  <c r="H153" i="8"/>
  <c r="H154" i="8"/>
  <c r="H155" i="8"/>
  <c r="H156" i="8"/>
  <c r="H157" i="8"/>
  <c r="H158" i="8"/>
  <c r="H159" i="8"/>
  <c r="H160" i="8"/>
  <c r="H161" i="8"/>
  <c r="H162" i="8"/>
  <c r="H163" i="8"/>
  <c r="H164" i="8"/>
  <c r="H165" i="8"/>
  <c r="H166" i="8"/>
  <c r="H167" i="8"/>
  <c r="H168" i="8"/>
  <c r="H169" i="8"/>
  <c r="H170" i="8"/>
  <c r="H171" i="8"/>
  <c r="H172" i="8"/>
  <c r="H173" i="8"/>
  <c r="H174" i="8"/>
  <c r="H175" i="8"/>
  <c r="H176" i="8"/>
  <c r="H177" i="8"/>
  <c r="H178" i="8"/>
  <c r="H179" i="8"/>
  <c r="H180" i="8"/>
  <c r="H181" i="8"/>
  <c r="H182" i="8"/>
  <c r="H183" i="8"/>
  <c r="H184" i="8"/>
  <c r="H185" i="8"/>
  <c r="H186" i="8"/>
  <c r="H187" i="8"/>
  <c r="H188" i="8"/>
  <c r="H189" i="8"/>
  <c r="H190" i="8"/>
  <c r="H191" i="8"/>
  <c r="H192" i="8"/>
  <c r="H193" i="8"/>
  <c r="H194" i="8"/>
  <c r="H195" i="8"/>
  <c r="H196" i="8"/>
  <c r="H197" i="8"/>
  <c r="H198" i="8"/>
  <c r="H199" i="8"/>
  <c r="H200" i="8"/>
  <c r="H201" i="8"/>
  <c r="H202" i="8"/>
  <c r="H203" i="8"/>
  <c r="H204" i="8"/>
  <c r="H205" i="8"/>
  <c r="H206" i="8"/>
  <c r="H207" i="8"/>
  <c r="H208" i="8"/>
  <c r="H209" i="8"/>
  <c r="H210" i="8"/>
  <c r="H211" i="8"/>
  <c r="H212" i="8"/>
  <c r="H213" i="8"/>
  <c r="H214" i="8"/>
  <c r="H215" i="8"/>
  <c r="H216" i="8"/>
  <c r="H217" i="8"/>
  <c r="H218" i="8"/>
  <c r="H219" i="8"/>
  <c r="H220" i="8"/>
  <c r="H221" i="8"/>
  <c r="H222" i="8"/>
  <c r="H223" i="8"/>
  <c r="H224" i="8"/>
  <c r="H225" i="8"/>
  <c r="H226" i="8"/>
  <c r="H227" i="8"/>
  <c r="H228" i="8"/>
  <c r="H229" i="8"/>
  <c r="H230" i="8"/>
  <c r="H231" i="8"/>
  <c r="H232" i="8"/>
  <c r="H233" i="8"/>
  <c r="H234" i="8"/>
  <c r="H235" i="8"/>
  <c r="H236" i="8"/>
  <c r="H237" i="8"/>
  <c r="H238" i="8"/>
  <c r="H239" i="8"/>
  <c r="H240" i="8"/>
  <c r="H241" i="8"/>
  <c r="H242" i="8"/>
  <c r="H243" i="8"/>
  <c r="H244" i="8"/>
  <c r="H245" i="8"/>
  <c r="H246" i="8"/>
  <c r="H247" i="8"/>
  <c r="H248" i="8"/>
  <c r="H249" i="8"/>
  <c r="H250" i="8"/>
  <c r="H251" i="8"/>
  <c r="H252" i="8"/>
  <c r="H253" i="8"/>
  <c r="H254" i="8"/>
  <c r="H255" i="8"/>
  <c r="H256" i="8"/>
  <c r="H257" i="8"/>
  <c r="H258" i="8"/>
  <c r="H259" i="8"/>
  <c r="H260" i="8"/>
  <c r="H261" i="8"/>
  <c r="H262" i="8"/>
  <c r="H263" i="8"/>
  <c r="H264" i="8"/>
  <c r="H265" i="8"/>
  <c r="H266" i="8"/>
  <c r="H267" i="8"/>
  <c r="H268" i="8"/>
  <c r="H269" i="8"/>
  <c r="H270" i="8"/>
  <c r="H271" i="8"/>
  <c r="H272" i="8"/>
  <c r="H273" i="8"/>
  <c r="H274" i="8"/>
  <c r="H275" i="8"/>
  <c r="H276" i="8"/>
  <c r="H277" i="8"/>
  <c r="H278" i="8"/>
  <c r="H279" i="8"/>
  <c r="H280" i="8"/>
  <c r="H281" i="8"/>
  <c r="H282" i="8"/>
  <c r="H283" i="8"/>
  <c r="H284" i="8"/>
  <c r="H285" i="8"/>
  <c r="H286" i="8"/>
  <c r="H287" i="8"/>
  <c r="H288" i="8"/>
  <c r="H289" i="8"/>
  <c r="H290" i="8"/>
  <c r="H291" i="8"/>
  <c r="H292" i="8"/>
  <c r="H293" i="8"/>
  <c r="H294" i="8"/>
  <c r="H295" i="8"/>
  <c r="H296" i="8"/>
  <c r="H297" i="8"/>
  <c r="H298" i="8"/>
  <c r="H299" i="8"/>
  <c r="H300" i="8"/>
  <c r="H301" i="8"/>
  <c r="H302" i="8"/>
  <c r="H303" i="8"/>
  <c r="H304" i="8"/>
  <c r="H305" i="8"/>
  <c r="H306" i="8"/>
  <c r="H307" i="8"/>
  <c r="H308" i="8"/>
  <c r="H309" i="8"/>
  <c r="H310" i="8"/>
  <c r="H311" i="8"/>
  <c r="H312" i="8"/>
  <c r="H313" i="8"/>
  <c r="H314" i="8"/>
  <c r="H315" i="8"/>
  <c r="H316" i="8"/>
  <c r="H317" i="8"/>
  <c r="H318" i="8"/>
  <c r="H319" i="8"/>
  <c r="H320" i="8"/>
  <c r="H321" i="8"/>
  <c r="H322" i="8"/>
  <c r="H323" i="8"/>
  <c r="H324" i="8"/>
  <c r="H325" i="8"/>
  <c r="H326" i="8"/>
  <c r="H327" i="8"/>
  <c r="H328" i="8"/>
  <c r="H329" i="8"/>
  <c r="H330" i="8"/>
  <c r="H331" i="8"/>
  <c r="H332" i="8"/>
  <c r="H333" i="8"/>
  <c r="H334" i="8"/>
  <c r="H335" i="8"/>
  <c r="H336" i="8"/>
  <c r="H337" i="8"/>
  <c r="H338" i="8"/>
  <c r="H339" i="8"/>
  <c r="H340" i="8"/>
  <c r="H341" i="8"/>
  <c r="H342" i="8"/>
  <c r="H343" i="8"/>
  <c r="H344" i="8"/>
  <c r="H345" i="8"/>
  <c r="H346" i="8"/>
  <c r="H347" i="8"/>
  <c r="H348" i="8"/>
  <c r="H349" i="8"/>
  <c r="H350" i="8"/>
  <c r="H351" i="8"/>
  <c r="H352" i="8"/>
  <c r="H353" i="8"/>
  <c r="H354" i="8"/>
  <c r="H355" i="8"/>
  <c r="H356" i="8"/>
  <c r="H357" i="8"/>
  <c r="H358" i="8"/>
  <c r="H359" i="8"/>
  <c r="H360" i="8"/>
  <c r="H361" i="8"/>
  <c r="H362" i="8"/>
  <c r="H363" i="8"/>
  <c r="H364" i="8"/>
  <c r="H365" i="8"/>
  <c r="H366" i="8"/>
  <c r="H367" i="8"/>
  <c r="H368" i="8"/>
  <c r="H369" i="8"/>
  <c r="H370" i="8"/>
  <c r="H371" i="8"/>
  <c r="H372" i="8"/>
  <c r="H373" i="8"/>
  <c r="H374" i="8"/>
  <c r="H375" i="8"/>
  <c r="H376" i="8"/>
  <c r="H377" i="8"/>
  <c r="H378" i="8"/>
  <c r="H379" i="8"/>
  <c r="H380" i="8"/>
  <c r="H381" i="8"/>
  <c r="H382" i="8"/>
  <c r="H383" i="8"/>
  <c r="H384" i="8"/>
  <c r="H385" i="8"/>
  <c r="H386" i="8"/>
  <c r="H387" i="8"/>
  <c r="H388" i="8"/>
  <c r="H389" i="8"/>
  <c r="H390" i="8"/>
  <c r="H391" i="8"/>
  <c r="H392" i="8"/>
  <c r="H393" i="8"/>
  <c r="H394" i="8"/>
  <c r="H395" i="8"/>
  <c r="H396" i="8"/>
  <c r="H397" i="8"/>
  <c r="H398" i="8"/>
  <c r="H399" i="8"/>
  <c r="H400" i="8"/>
  <c r="H401" i="8"/>
  <c r="H402" i="8"/>
  <c r="H403" i="8"/>
  <c r="H404" i="8"/>
  <c r="H405" i="8"/>
  <c r="H406" i="8"/>
  <c r="H407" i="8"/>
  <c r="H408" i="8"/>
  <c r="H409" i="8"/>
  <c r="H410" i="8"/>
  <c r="H411" i="8"/>
  <c r="H412" i="8"/>
  <c r="H413" i="8"/>
  <c r="H414" i="8"/>
  <c r="H415" i="8"/>
  <c r="H416" i="8"/>
  <c r="H417" i="8"/>
  <c r="H418" i="8"/>
  <c r="H419" i="8"/>
  <c r="H420" i="8"/>
  <c r="H421" i="8"/>
  <c r="H422" i="8"/>
  <c r="H423" i="8"/>
  <c r="H424" i="8"/>
  <c r="H425" i="8"/>
  <c r="H426" i="8"/>
  <c r="H427" i="8"/>
  <c r="H428" i="8"/>
  <c r="H429" i="8"/>
  <c r="H430" i="8"/>
  <c r="H431" i="8"/>
  <c r="H432" i="8"/>
  <c r="H433" i="8"/>
  <c r="H434" i="8"/>
  <c r="H435" i="8"/>
  <c r="H436" i="8"/>
  <c r="H437" i="8"/>
  <c r="H438" i="8"/>
  <c r="H439" i="8"/>
  <c r="H440" i="8"/>
  <c r="H441" i="8"/>
  <c r="H442" i="8"/>
  <c r="H443" i="8"/>
  <c r="H444" i="8"/>
  <c r="H445" i="8"/>
  <c r="H446" i="8"/>
  <c r="H447" i="8"/>
  <c r="H448" i="8"/>
  <c r="H449" i="8"/>
  <c r="H450" i="8"/>
  <c r="H451" i="8"/>
  <c r="H452" i="8"/>
  <c r="H453" i="8"/>
  <c r="H454" i="8"/>
  <c r="H455" i="8"/>
  <c r="H456" i="8"/>
  <c r="H457" i="8"/>
  <c r="H458" i="8"/>
  <c r="H459" i="8"/>
  <c r="H460" i="8"/>
  <c r="H461" i="8"/>
  <c r="H462" i="8"/>
  <c r="H463" i="8"/>
  <c r="H464" i="8"/>
  <c r="H465" i="8"/>
  <c r="H466" i="8"/>
  <c r="H467" i="8"/>
  <c r="H468" i="8"/>
  <c r="H469" i="8"/>
  <c r="H470" i="8"/>
  <c r="H471" i="8"/>
  <c r="H472" i="8"/>
  <c r="H473" i="8"/>
  <c r="H474" i="8"/>
  <c r="H475" i="8"/>
  <c r="H476" i="8"/>
  <c r="H477" i="8"/>
  <c r="H478" i="8"/>
  <c r="H479" i="8"/>
  <c r="H480" i="8"/>
  <c r="H481" i="8"/>
  <c r="H482" i="8"/>
  <c r="H483" i="8"/>
  <c r="H484" i="8"/>
  <c r="H485" i="8"/>
  <c r="H486" i="8"/>
  <c r="H487" i="8"/>
  <c r="H488" i="8"/>
  <c r="H489" i="8"/>
  <c r="H490" i="8"/>
  <c r="H491" i="8"/>
  <c r="H492" i="8"/>
  <c r="H493" i="8"/>
  <c r="H494" i="8"/>
  <c r="H495" i="8"/>
  <c r="H496" i="8"/>
  <c r="H497" i="8"/>
  <c r="H498" i="8"/>
  <c r="H499" i="8"/>
  <c r="H500" i="8"/>
  <c r="H501" i="8"/>
  <c r="H502" i="8"/>
  <c r="H503" i="8"/>
  <c r="H504" i="8"/>
  <c r="H505" i="8"/>
  <c r="H506" i="8"/>
  <c r="H507" i="8"/>
  <c r="H508" i="8"/>
  <c r="H509" i="8"/>
  <c r="H510" i="8"/>
  <c r="H511" i="8"/>
  <c r="H512" i="8"/>
  <c r="H513" i="8"/>
  <c r="H514" i="8"/>
  <c r="H515" i="8"/>
  <c r="H516" i="8"/>
  <c r="H517" i="8"/>
  <c r="H518" i="8"/>
  <c r="H519" i="8"/>
  <c r="H520" i="8"/>
  <c r="H521" i="8"/>
  <c r="H522" i="8"/>
  <c r="H523" i="8"/>
  <c r="H524" i="8"/>
  <c r="H525" i="8"/>
  <c r="H526" i="8"/>
  <c r="H527" i="8"/>
  <c r="H528" i="8"/>
  <c r="H529" i="8"/>
  <c r="H530" i="8"/>
  <c r="H531" i="8"/>
  <c r="H532" i="8"/>
  <c r="H533" i="8"/>
  <c r="H534" i="8"/>
  <c r="H535" i="8"/>
  <c r="H536" i="8"/>
  <c r="H537" i="8"/>
  <c r="H538" i="8"/>
  <c r="H539" i="8"/>
  <c r="H540" i="8"/>
  <c r="H541" i="8"/>
  <c r="H542" i="8"/>
  <c r="H543" i="8"/>
  <c r="H544" i="8"/>
  <c r="H545" i="8"/>
  <c r="H546" i="8"/>
  <c r="H547" i="8"/>
  <c r="H548" i="8"/>
  <c r="H549" i="8"/>
  <c r="H550" i="8"/>
  <c r="H551" i="8"/>
  <c r="H552" i="8"/>
  <c r="H553" i="8"/>
  <c r="H554" i="8"/>
  <c r="H555" i="8"/>
  <c r="H556" i="8"/>
  <c r="H557" i="8"/>
  <c r="H558" i="8"/>
  <c r="H559" i="8"/>
  <c r="H560" i="8"/>
  <c r="H561" i="8"/>
  <c r="H562" i="8"/>
  <c r="H563" i="8"/>
  <c r="H564" i="8"/>
  <c r="H565" i="8"/>
  <c r="H566" i="8"/>
  <c r="H567" i="8"/>
  <c r="H568" i="8"/>
  <c r="H569" i="8"/>
  <c r="H570" i="8"/>
  <c r="H571" i="8"/>
  <c r="H572" i="8"/>
  <c r="H573" i="8"/>
  <c r="H574" i="8"/>
  <c r="H575" i="8"/>
  <c r="H576" i="8"/>
  <c r="H577" i="8"/>
  <c r="H578" i="8"/>
  <c r="H579" i="8"/>
  <c r="H580" i="8"/>
  <c r="H581" i="8"/>
  <c r="H582" i="8"/>
  <c r="H583" i="8"/>
  <c r="H584" i="8"/>
  <c r="H585" i="8"/>
  <c r="H586" i="8"/>
  <c r="H587" i="8"/>
  <c r="H588" i="8"/>
  <c r="H589" i="8"/>
  <c r="H590" i="8"/>
  <c r="H591" i="8"/>
  <c r="H592" i="8"/>
  <c r="H593" i="8"/>
  <c r="H594" i="8"/>
  <c r="H595" i="8"/>
  <c r="H596" i="8"/>
  <c r="H597" i="8"/>
  <c r="H598" i="8"/>
  <c r="H599" i="8"/>
  <c r="H600" i="8"/>
  <c r="H601" i="8"/>
  <c r="H602" i="8"/>
  <c r="H603" i="8"/>
  <c r="H604" i="8"/>
  <c r="H605" i="8"/>
  <c r="H606" i="8"/>
  <c r="H607" i="8"/>
  <c r="H608" i="8"/>
  <c r="H609" i="8"/>
  <c r="H610" i="8"/>
  <c r="H611" i="8"/>
  <c r="H612" i="8"/>
  <c r="H613" i="8"/>
  <c r="H614" i="8"/>
  <c r="H615" i="8"/>
  <c r="H616" i="8"/>
  <c r="H617" i="8"/>
  <c r="H618" i="8"/>
  <c r="H619" i="8"/>
  <c r="H620" i="8"/>
  <c r="H621" i="8"/>
  <c r="H622" i="8"/>
  <c r="H623" i="8"/>
  <c r="H624" i="8"/>
  <c r="H625" i="8"/>
  <c r="H626" i="8"/>
  <c r="H627" i="8"/>
  <c r="H628" i="8"/>
  <c r="H629" i="8"/>
  <c r="H630" i="8"/>
  <c r="H631" i="8"/>
  <c r="H632" i="8"/>
  <c r="H633" i="8"/>
  <c r="H634" i="8"/>
  <c r="H635" i="8"/>
  <c r="H636" i="8"/>
  <c r="H637" i="8"/>
  <c r="H638" i="8"/>
  <c r="H639" i="8"/>
  <c r="H640" i="8"/>
  <c r="H641" i="8"/>
  <c r="H642" i="8"/>
  <c r="H643" i="8"/>
  <c r="H644" i="8"/>
  <c r="H645" i="8"/>
  <c r="H646" i="8"/>
  <c r="H647" i="8"/>
  <c r="H648" i="8"/>
  <c r="H649" i="8"/>
  <c r="H650" i="8"/>
  <c r="H651" i="8"/>
  <c r="H652" i="8"/>
  <c r="H653" i="8"/>
  <c r="H654" i="8"/>
  <c r="H655" i="8"/>
  <c r="H656" i="8"/>
  <c r="H657" i="8"/>
  <c r="H658" i="8"/>
  <c r="H659" i="8"/>
  <c r="H660" i="8"/>
  <c r="H661" i="8"/>
  <c r="H662" i="8"/>
  <c r="H663" i="8"/>
  <c r="H664" i="8"/>
  <c r="H665" i="8"/>
  <c r="H666" i="8"/>
  <c r="H667" i="8"/>
  <c r="H668" i="8"/>
  <c r="H669" i="8"/>
  <c r="H670" i="8"/>
  <c r="H671" i="8"/>
  <c r="H672" i="8"/>
  <c r="H673" i="8"/>
  <c r="H674" i="8"/>
  <c r="H675" i="8"/>
  <c r="H676" i="8"/>
  <c r="H677" i="8"/>
  <c r="H678" i="8"/>
  <c r="H679" i="8"/>
  <c r="H680" i="8"/>
  <c r="H681" i="8"/>
  <c r="H682" i="8"/>
  <c r="H683" i="8"/>
  <c r="H684" i="8"/>
  <c r="H685" i="8"/>
  <c r="H686" i="8"/>
  <c r="H687" i="8"/>
  <c r="H688" i="8"/>
  <c r="H689" i="8"/>
  <c r="H690" i="8"/>
  <c r="H691" i="8"/>
  <c r="H692" i="8"/>
  <c r="H693" i="8"/>
  <c r="H694" i="8"/>
  <c r="H695" i="8"/>
  <c r="H696" i="8"/>
  <c r="H697" i="8"/>
  <c r="H698" i="8"/>
  <c r="H699" i="8"/>
  <c r="H700" i="8"/>
  <c r="H701" i="8"/>
  <c r="H702" i="8"/>
  <c r="H703" i="8"/>
  <c r="H704" i="8"/>
  <c r="H705" i="8"/>
  <c r="H706" i="8"/>
  <c r="H707" i="8"/>
  <c r="H708" i="8"/>
  <c r="H709" i="8"/>
  <c r="H710" i="8"/>
  <c r="H711" i="8"/>
  <c r="H712" i="8"/>
  <c r="H713" i="8"/>
  <c r="H714" i="8"/>
  <c r="H715" i="8"/>
  <c r="H716" i="8"/>
  <c r="H717" i="8"/>
  <c r="H718" i="8"/>
  <c r="H719" i="8"/>
  <c r="H720" i="8"/>
  <c r="H721" i="8"/>
  <c r="H722" i="8"/>
  <c r="H723" i="8"/>
  <c r="H724" i="8"/>
  <c r="H725" i="8"/>
  <c r="H726" i="8"/>
  <c r="H727" i="8"/>
  <c r="H728" i="8"/>
  <c r="H729" i="8"/>
  <c r="H730" i="8"/>
  <c r="H731" i="8"/>
  <c r="H732" i="8"/>
  <c r="H733" i="8"/>
  <c r="H734" i="8"/>
  <c r="H735" i="8"/>
  <c r="H736" i="8"/>
  <c r="H737" i="8"/>
  <c r="H738" i="8"/>
  <c r="H739" i="8"/>
  <c r="H740" i="8"/>
  <c r="H741" i="8"/>
  <c r="H742" i="8"/>
  <c r="H743" i="8"/>
  <c r="H744" i="8"/>
  <c r="H745" i="8"/>
  <c r="H746" i="8"/>
  <c r="H747" i="8"/>
  <c r="H748" i="8"/>
  <c r="H749" i="8"/>
  <c r="H750" i="8"/>
  <c r="H751" i="8"/>
  <c r="H752" i="8"/>
  <c r="H753" i="8"/>
  <c r="H754" i="8"/>
  <c r="H755" i="8"/>
  <c r="H756" i="8"/>
  <c r="H757" i="8"/>
  <c r="H758" i="8"/>
  <c r="H759" i="8"/>
  <c r="H760" i="8"/>
  <c r="H761" i="8"/>
  <c r="H762" i="8"/>
  <c r="H763" i="8"/>
  <c r="H764" i="8"/>
  <c r="H765" i="8"/>
  <c r="H766" i="8"/>
  <c r="H767" i="8"/>
  <c r="H768" i="8"/>
  <c r="H769" i="8"/>
  <c r="H770" i="8"/>
  <c r="H771" i="8"/>
  <c r="H772" i="8"/>
  <c r="H773" i="8"/>
  <c r="H774" i="8"/>
  <c r="H775" i="8"/>
  <c r="H776" i="8"/>
  <c r="H777" i="8"/>
  <c r="H778" i="8"/>
  <c r="H779" i="8"/>
  <c r="H780" i="8"/>
  <c r="H781" i="8"/>
  <c r="H782" i="8"/>
  <c r="H783" i="8"/>
  <c r="H784" i="8"/>
  <c r="H785" i="8"/>
  <c r="H786" i="8"/>
  <c r="H787" i="8"/>
  <c r="H788" i="8"/>
  <c r="H789" i="8"/>
  <c r="H790" i="8"/>
  <c r="H791" i="8"/>
  <c r="H792" i="8"/>
  <c r="H793" i="8"/>
  <c r="H794" i="8"/>
  <c r="H795" i="8"/>
  <c r="H796" i="8"/>
  <c r="H797" i="8"/>
  <c r="H798" i="8"/>
  <c r="H799" i="8"/>
  <c r="H800" i="8"/>
  <c r="H801" i="8"/>
  <c r="H802" i="8"/>
  <c r="H803" i="8"/>
  <c r="H804" i="8"/>
  <c r="H805" i="8"/>
  <c r="H2" i="8"/>
  <c r="K3" i="8"/>
  <c r="L3" i="8"/>
  <c r="K4" i="8"/>
  <c r="L4" i="8"/>
  <c r="K5" i="8"/>
  <c r="L5" i="8"/>
  <c r="K6" i="8"/>
  <c r="L6" i="8"/>
  <c r="K7" i="8"/>
  <c r="L7" i="8"/>
  <c r="K8" i="8"/>
  <c r="L8" i="8"/>
  <c r="K9" i="8"/>
  <c r="L9" i="8"/>
  <c r="K10" i="8"/>
  <c r="L10" i="8"/>
  <c r="K11" i="8"/>
  <c r="L11" i="8"/>
  <c r="K12" i="8"/>
  <c r="L12" i="8"/>
  <c r="K13" i="8"/>
  <c r="L13" i="8"/>
  <c r="K14" i="8"/>
  <c r="L14" i="8"/>
  <c r="K15" i="8"/>
  <c r="L15" i="8"/>
  <c r="K16" i="8"/>
  <c r="L16" i="8"/>
  <c r="K17" i="8"/>
  <c r="L17" i="8"/>
  <c r="K18" i="8"/>
  <c r="L18" i="8"/>
  <c r="K19" i="8"/>
  <c r="L19" i="8"/>
  <c r="K20" i="8"/>
  <c r="L20" i="8"/>
  <c r="K21" i="8"/>
  <c r="L21" i="8"/>
  <c r="K22" i="8"/>
  <c r="L22" i="8"/>
  <c r="K23" i="8"/>
  <c r="L23" i="8"/>
  <c r="K24" i="8"/>
  <c r="L24" i="8"/>
  <c r="K25" i="8"/>
  <c r="L25" i="8"/>
  <c r="K26" i="8"/>
  <c r="L26" i="8"/>
  <c r="K27" i="8"/>
  <c r="L27" i="8"/>
  <c r="K28" i="8"/>
  <c r="L28" i="8"/>
  <c r="K29" i="8"/>
  <c r="L29" i="8"/>
  <c r="K30" i="8"/>
  <c r="L30" i="8"/>
  <c r="K31" i="8"/>
  <c r="L31" i="8"/>
  <c r="K32" i="8"/>
  <c r="L32" i="8"/>
  <c r="K33" i="8"/>
  <c r="L33" i="8"/>
  <c r="K34" i="8"/>
  <c r="L34" i="8"/>
  <c r="K35" i="8"/>
  <c r="L35" i="8"/>
  <c r="K36" i="8"/>
  <c r="L36" i="8"/>
  <c r="K37" i="8"/>
  <c r="L37" i="8"/>
  <c r="K38" i="8"/>
  <c r="L38" i="8"/>
  <c r="K39" i="8"/>
  <c r="L39" i="8"/>
  <c r="K40" i="8"/>
  <c r="L40" i="8"/>
  <c r="K41" i="8"/>
  <c r="L41" i="8"/>
  <c r="K42" i="8"/>
  <c r="L42" i="8"/>
  <c r="K43" i="8"/>
  <c r="L43" i="8"/>
  <c r="K44" i="8"/>
  <c r="L44" i="8"/>
  <c r="K45" i="8"/>
  <c r="L45" i="8"/>
  <c r="K46" i="8"/>
  <c r="L46" i="8"/>
  <c r="K47" i="8"/>
  <c r="L47" i="8"/>
  <c r="K48" i="8"/>
  <c r="L48" i="8"/>
  <c r="K49" i="8"/>
  <c r="L49" i="8"/>
  <c r="K50" i="8"/>
  <c r="L50" i="8"/>
  <c r="K51" i="8"/>
  <c r="L51" i="8"/>
  <c r="K52" i="8"/>
  <c r="L52" i="8"/>
  <c r="K53" i="8"/>
  <c r="L53" i="8"/>
  <c r="K54" i="8"/>
  <c r="L54" i="8"/>
  <c r="K55" i="8"/>
  <c r="L55" i="8"/>
  <c r="K56" i="8"/>
  <c r="L56" i="8"/>
  <c r="K57" i="8"/>
  <c r="L57" i="8"/>
  <c r="K58" i="8"/>
  <c r="L58" i="8"/>
  <c r="K59" i="8"/>
  <c r="L59" i="8"/>
  <c r="K60" i="8"/>
  <c r="L60" i="8"/>
  <c r="K61" i="8"/>
  <c r="L61" i="8"/>
  <c r="K62" i="8"/>
  <c r="L62" i="8"/>
  <c r="K63" i="8"/>
  <c r="L63" i="8"/>
  <c r="K64" i="8"/>
  <c r="L64" i="8"/>
  <c r="K65" i="8"/>
  <c r="L65" i="8"/>
  <c r="K66" i="8"/>
  <c r="L66" i="8"/>
  <c r="K67" i="8"/>
  <c r="L67" i="8"/>
  <c r="K68" i="8"/>
  <c r="L68" i="8"/>
  <c r="K69" i="8"/>
  <c r="L69" i="8"/>
  <c r="K70" i="8"/>
  <c r="L70" i="8"/>
  <c r="K71" i="8"/>
  <c r="L71" i="8"/>
  <c r="K72" i="8"/>
  <c r="L72" i="8"/>
  <c r="K73" i="8"/>
  <c r="L73" i="8"/>
  <c r="K74" i="8"/>
  <c r="L74" i="8"/>
  <c r="K75" i="8"/>
  <c r="L75" i="8"/>
  <c r="K76" i="8"/>
  <c r="L76" i="8"/>
  <c r="K77" i="8"/>
  <c r="L77" i="8"/>
  <c r="K78" i="8"/>
  <c r="L78" i="8"/>
  <c r="K79" i="8"/>
  <c r="L79" i="8"/>
  <c r="K80" i="8"/>
  <c r="L80" i="8"/>
  <c r="K81" i="8"/>
  <c r="L81" i="8"/>
  <c r="K82" i="8"/>
  <c r="L82" i="8"/>
  <c r="K83" i="8"/>
  <c r="L83" i="8"/>
  <c r="K84" i="8"/>
  <c r="L84" i="8"/>
  <c r="K85" i="8"/>
  <c r="L85" i="8"/>
  <c r="K86" i="8"/>
  <c r="L86" i="8"/>
  <c r="K87" i="8"/>
  <c r="L87" i="8"/>
  <c r="K88" i="8"/>
  <c r="L88" i="8"/>
  <c r="K89" i="8"/>
  <c r="L89" i="8"/>
  <c r="K90" i="8"/>
  <c r="L90" i="8"/>
  <c r="K91" i="8"/>
  <c r="L91" i="8"/>
  <c r="K92" i="8"/>
  <c r="L92" i="8"/>
  <c r="K93" i="8"/>
  <c r="L93" i="8"/>
  <c r="K94" i="8"/>
  <c r="L94" i="8"/>
  <c r="K95" i="8"/>
  <c r="L95" i="8"/>
  <c r="K96" i="8"/>
  <c r="L96" i="8"/>
  <c r="K97" i="8"/>
  <c r="L97" i="8"/>
  <c r="K98" i="8"/>
  <c r="L98" i="8"/>
  <c r="K99" i="8"/>
  <c r="L99" i="8"/>
  <c r="K100" i="8"/>
  <c r="L100" i="8"/>
  <c r="K101" i="8"/>
  <c r="L101" i="8"/>
  <c r="K102" i="8"/>
  <c r="L102" i="8"/>
  <c r="K103" i="8"/>
  <c r="L103" i="8"/>
  <c r="K104" i="8"/>
  <c r="L104" i="8"/>
  <c r="K105" i="8"/>
  <c r="L105" i="8"/>
  <c r="K106" i="8"/>
  <c r="L106" i="8"/>
  <c r="K107" i="8"/>
  <c r="L107" i="8"/>
  <c r="K108" i="8"/>
  <c r="L108" i="8"/>
  <c r="K109" i="8"/>
  <c r="L109" i="8"/>
  <c r="K110" i="8"/>
  <c r="L110" i="8"/>
  <c r="K111" i="8"/>
  <c r="L111" i="8"/>
  <c r="K112" i="8"/>
  <c r="L112" i="8"/>
  <c r="K113" i="8"/>
  <c r="L113" i="8"/>
  <c r="K114" i="8"/>
  <c r="L114" i="8"/>
  <c r="K115" i="8"/>
  <c r="L115" i="8"/>
  <c r="K116" i="8"/>
  <c r="L116" i="8"/>
  <c r="K117" i="8"/>
  <c r="L117" i="8"/>
  <c r="K118" i="8"/>
  <c r="L118" i="8"/>
  <c r="K119" i="8"/>
  <c r="L119" i="8"/>
  <c r="K120" i="8"/>
  <c r="L120" i="8"/>
  <c r="K121" i="8"/>
  <c r="L121" i="8"/>
  <c r="K122" i="8"/>
  <c r="L122" i="8"/>
  <c r="K123" i="8"/>
  <c r="L123" i="8"/>
  <c r="K124" i="8"/>
  <c r="L124" i="8"/>
  <c r="K125" i="8"/>
  <c r="L125" i="8"/>
  <c r="K126" i="8"/>
  <c r="L126" i="8"/>
  <c r="K127" i="8"/>
  <c r="L127" i="8"/>
  <c r="K128" i="8"/>
  <c r="L128" i="8"/>
  <c r="K129" i="8"/>
  <c r="L129" i="8"/>
  <c r="K130" i="8"/>
  <c r="L130" i="8"/>
  <c r="K131" i="8"/>
  <c r="L131" i="8"/>
  <c r="K132" i="8"/>
  <c r="L132" i="8"/>
  <c r="K133" i="8"/>
  <c r="L133" i="8"/>
  <c r="K134" i="8"/>
  <c r="L134" i="8"/>
  <c r="K135" i="8"/>
  <c r="L135" i="8"/>
  <c r="K136" i="8"/>
  <c r="L136" i="8"/>
  <c r="K137" i="8"/>
  <c r="L137" i="8"/>
  <c r="K138" i="8"/>
  <c r="L138" i="8"/>
  <c r="K139" i="8"/>
  <c r="L139" i="8"/>
  <c r="K140" i="8"/>
  <c r="L140" i="8"/>
  <c r="K141" i="8"/>
  <c r="L141" i="8"/>
  <c r="K142" i="8"/>
  <c r="L142" i="8"/>
  <c r="K143" i="8"/>
  <c r="L143" i="8"/>
  <c r="K144" i="8"/>
  <c r="L144" i="8"/>
  <c r="K145" i="8"/>
  <c r="L145" i="8"/>
  <c r="K146" i="8"/>
  <c r="L146" i="8"/>
  <c r="K147" i="8"/>
  <c r="L147" i="8"/>
  <c r="K148" i="8"/>
  <c r="L148" i="8"/>
  <c r="K149" i="8"/>
  <c r="L149" i="8"/>
  <c r="K150" i="8"/>
  <c r="L150" i="8"/>
  <c r="K151" i="8"/>
  <c r="L151" i="8"/>
  <c r="K152" i="8"/>
  <c r="L152" i="8"/>
  <c r="K153" i="8"/>
  <c r="L153" i="8"/>
  <c r="K154" i="8"/>
  <c r="L154" i="8"/>
  <c r="K155" i="8"/>
  <c r="L155" i="8"/>
  <c r="K156" i="8"/>
  <c r="L156" i="8"/>
  <c r="K157" i="8"/>
  <c r="L157" i="8"/>
  <c r="K158" i="8"/>
  <c r="L158" i="8"/>
  <c r="K159" i="8"/>
  <c r="L159" i="8"/>
  <c r="K160" i="8"/>
  <c r="L160" i="8"/>
  <c r="K161" i="8"/>
  <c r="L161" i="8"/>
  <c r="K162" i="8"/>
  <c r="L162" i="8"/>
  <c r="K163" i="8"/>
  <c r="L163" i="8"/>
  <c r="K164" i="8"/>
  <c r="L164" i="8"/>
  <c r="K165" i="8"/>
  <c r="L165" i="8"/>
  <c r="K166" i="8"/>
  <c r="L166" i="8"/>
  <c r="K167" i="8"/>
  <c r="L167" i="8"/>
  <c r="K168" i="8"/>
  <c r="L168" i="8"/>
  <c r="K169" i="8"/>
  <c r="L169" i="8"/>
  <c r="K170" i="8"/>
  <c r="L170" i="8"/>
  <c r="K171" i="8"/>
  <c r="L171" i="8"/>
  <c r="K172" i="8"/>
  <c r="L172" i="8"/>
  <c r="K173" i="8"/>
  <c r="L173" i="8"/>
  <c r="K174" i="8"/>
  <c r="L174" i="8"/>
  <c r="K175" i="8"/>
  <c r="L175" i="8"/>
  <c r="K176" i="8"/>
  <c r="L176" i="8"/>
  <c r="K177" i="8"/>
  <c r="L177" i="8"/>
  <c r="K178" i="8"/>
  <c r="L178" i="8"/>
  <c r="K179" i="8"/>
  <c r="L179" i="8"/>
  <c r="K180" i="8"/>
  <c r="L180" i="8"/>
  <c r="K181" i="8"/>
  <c r="L181" i="8"/>
  <c r="K182" i="8"/>
  <c r="L182" i="8"/>
  <c r="K183" i="8"/>
  <c r="L183" i="8"/>
  <c r="K184" i="8"/>
  <c r="L184" i="8"/>
  <c r="K185" i="8"/>
  <c r="L185" i="8"/>
  <c r="K186" i="8"/>
  <c r="L186" i="8"/>
  <c r="K187" i="8"/>
  <c r="L187" i="8"/>
  <c r="K188" i="8"/>
  <c r="L188" i="8"/>
  <c r="K189" i="8"/>
  <c r="L189" i="8"/>
  <c r="K190" i="8"/>
  <c r="L190" i="8"/>
  <c r="K191" i="8"/>
  <c r="L191" i="8"/>
  <c r="K192" i="8"/>
  <c r="L192" i="8"/>
  <c r="K193" i="8"/>
  <c r="L193" i="8"/>
  <c r="K194" i="8"/>
  <c r="L194" i="8"/>
  <c r="K195" i="8"/>
  <c r="L195" i="8"/>
  <c r="K196" i="8"/>
  <c r="L196" i="8"/>
  <c r="K197" i="8"/>
  <c r="L197" i="8"/>
  <c r="K198" i="8"/>
  <c r="L198" i="8"/>
  <c r="K199" i="8"/>
  <c r="L199" i="8"/>
  <c r="K200" i="8"/>
  <c r="L200" i="8"/>
  <c r="K201" i="8"/>
  <c r="L201" i="8"/>
  <c r="K202" i="8"/>
  <c r="L202" i="8"/>
  <c r="K203" i="8"/>
  <c r="L203" i="8"/>
  <c r="K204" i="8"/>
  <c r="L204" i="8"/>
  <c r="K205" i="8"/>
  <c r="L205" i="8"/>
  <c r="K206" i="8"/>
  <c r="L206" i="8"/>
  <c r="K207" i="8"/>
  <c r="L207" i="8"/>
  <c r="K208" i="8"/>
  <c r="L208" i="8"/>
  <c r="K209" i="8"/>
  <c r="L209" i="8"/>
  <c r="K210" i="8"/>
  <c r="L210" i="8"/>
  <c r="K211" i="8"/>
  <c r="L211" i="8"/>
  <c r="K212" i="8"/>
  <c r="L212" i="8"/>
  <c r="K213" i="8"/>
  <c r="L213" i="8"/>
  <c r="K214" i="8"/>
  <c r="L214" i="8"/>
  <c r="K215" i="8"/>
  <c r="L215" i="8"/>
  <c r="K216" i="8"/>
  <c r="L216" i="8"/>
  <c r="K217" i="8"/>
  <c r="L217" i="8"/>
  <c r="K218" i="8"/>
  <c r="L218" i="8"/>
  <c r="K219" i="8"/>
  <c r="L219" i="8"/>
  <c r="K220" i="8"/>
  <c r="L220" i="8"/>
  <c r="K221" i="8"/>
  <c r="L221" i="8"/>
  <c r="K222" i="8"/>
  <c r="L222" i="8"/>
  <c r="K223" i="8"/>
  <c r="L223" i="8"/>
  <c r="K224" i="8"/>
  <c r="L224" i="8"/>
  <c r="K225" i="8"/>
  <c r="L225" i="8"/>
  <c r="K226" i="8"/>
  <c r="L226" i="8"/>
  <c r="K227" i="8"/>
  <c r="L227" i="8"/>
  <c r="K228" i="8"/>
  <c r="L228" i="8"/>
  <c r="K229" i="8"/>
  <c r="L229" i="8"/>
  <c r="K230" i="8"/>
  <c r="L230" i="8"/>
  <c r="K231" i="8"/>
  <c r="L231" i="8"/>
  <c r="K232" i="8"/>
  <c r="L232" i="8"/>
  <c r="K233" i="8"/>
  <c r="L233" i="8"/>
  <c r="K234" i="8"/>
  <c r="L234" i="8"/>
  <c r="K235" i="8"/>
  <c r="L235" i="8"/>
  <c r="K236" i="8"/>
  <c r="L236" i="8"/>
  <c r="K237" i="8"/>
  <c r="L237" i="8"/>
  <c r="K238" i="8"/>
  <c r="L238" i="8"/>
  <c r="K239" i="8"/>
  <c r="L239" i="8"/>
  <c r="K240" i="8"/>
  <c r="L240" i="8"/>
  <c r="K241" i="8"/>
  <c r="L241" i="8"/>
  <c r="K242" i="8"/>
  <c r="L242" i="8"/>
  <c r="K243" i="8"/>
  <c r="L243" i="8"/>
  <c r="K244" i="8"/>
  <c r="L244" i="8"/>
  <c r="K245" i="8"/>
  <c r="L245" i="8"/>
  <c r="K246" i="8"/>
  <c r="L246" i="8"/>
  <c r="K247" i="8"/>
  <c r="L247" i="8"/>
  <c r="K248" i="8"/>
  <c r="L248" i="8"/>
  <c r="K249" i="8"/>
  <c r="L249" i="8"/>
  <c r="K250" i="8"/>
  <c r="L250" i="8"/>
  <c r="K251" i="8"/>
  <c r="L251" i="8"/>
  <c r="K252" i="8"/>
  <c r="L252" i="8"/>
  <c r="K253" i="8"/>
  <c r="L253" i="8"/>
  <c r="K254" i="8"/>
  <c r="L254" i="8"/>
  <c r="K255" i="8"/>
  <c r="L255" i="8"/>
  <c r="K256" i="8"/>
  <c r="L256" i="8"/>
  <c r="K257" i="8"/>
  <c r="L257" i="8"/>
  <c r="K258" i="8"/>
  <c r="L258" i="8"/>
  <c r="K259" i="8"/>
  <c r="L259" i="8"/>
  <c r="K260" i="8"/>
  <c r="L260" i="8"/>
  <c r="K261" i="8"/>
  <c r="L261" i="8"/>
  <c r="K262" i="8"/>
  <c r="L262" i="8"/>
  <c r="K263" i="8"/>
  <c r="L263" i="8"/>
  <c r="K264" i="8"/>
  <c r="L264" i="8"/>
  <c r="K265" i="8"/>
  <c r="L265" i="8"/>
  <c r="K266" i="8"/>
  <c r="L266" i="8"/>
  <c r="K267" i="8"/>
  <c r="L267" i="8"/>
  <c r="K268" i="8"/>
  <c r="L268" i="8"/>
  <c r="K269" i="8"/>
  <c r="L269" i="8"/>
  <c r="K270" i="8"/>
  <c r="L270" i="8"/>
  <c r="K271" i="8"/>
  <c r="L271" i="8"/>
  <c r="K272" i="8"/>
  <c r="L272" i="8"/>
  <c r="K273" i="8"/>
  <c r="L273" i="8"/>
  <c r="K274" i="8"/>
  <c r="L274" i="8"/>
  <c r="K275" i="8"/>
  <c r="L275" i="8"/>
  <c r="K276" i="8"/>
  <c r="L276" i="8"/>
  <c r="K277" i="8"/>
  <c r="L277" i="8"/>
  <c r="K278" i="8"/>
  <c r="L278" i="8"/>
  <c r="K279" i="8"/>
  <c r="L279" i="8"/>
  <c r="K280" i="8"/>
  <c r="L280" i="8"/>
  <c r="K281" i="8"/>
  <c r="L281" i="8"/>
  <c r="K282" i="8"/>
  <c r="L282" i="8"/>
  <c r="K283" i="8"/>
  <c r="L283" i="8"/>
  <c r="K284" i="8"/>
  <c r="L284" i="8"/>
  <c r="K285" i="8"/>
  <c r="L285" i="8"/>
  <c r="K286" i="8"/>
  <c r="L286" i="8"/>
  <c r="K287" i="8"/>
  <c r="L287" i="8"/>
  <c r="K288" i="8"/>
  <c r="L288" i="8"/>
  <c r="K289" i="8"/>
  <c r="L289" i="8"/>
  <c r="K290" i="8"/>
  <c r="L290" i="8"/>
  <c r="K291" i="8"/>
  <c r="L291" i="8"/>
  <c r="K292" i="8"/>
  <c r="L292" i="8"/>
  <c r="K293" i="8"/>
  <c r="L293" i="8"/>
  <c r="K294" i="8"/>
  <c r="L294" i="8"/>
  <c r="K295" i="8"/>
  <c r="L295" i="8"/>
  <c r="K296" i="8"/>
  <c r="L296" i="8"/>
  <c r="K297" i="8"/>
  <c r="L297" i="8"/>
  <c r="K298" i="8"/>
  <c r="L298" i="8"/>
  <c r="K299" i="8"/>
  <c r="L299" i="8"/>
  <c r="K300" i="8"/>
  <c r="L300" i="8"/>
  <c r="K301" i="8"/>
  <c r="L301" i="8"/>
  <c r="K302" i="8"/>
  <c r="L302" i="8"/>
  <c r="K303" i="8"/>
  <c r="L303" i="8"/>
  <c r="K304" i="8"/>
  <c r="L304" i="8"/>
  <c r="K305" i="8"/>
  <c r="L305" i="8"/>
  <c r="K306" i="8"/>
  <c r="L306" i="8"/>
  <c r="K307" i="8"/>
  <c r="L307" i="8"/>
  <c r="K308" i="8"/>
  <c r="L308" i="8"/>
  <c r="K309" i="8"/>
  <c r="L309" i="8"/>
  <c r="K310" i="8"/>
  <c r="L310" i="8"/>
  <c r="K311" i="8"/>
  <c r="L311" i="8"/>
  <c r="K312" i="8"/>
  <c r="L312" i="8"/>
  <c r="K313" i="8"/>
  <c r="L313" i="8"/>
  <c r="K314" i="8"/>
  <c r="L314" i="8"/>
  <c r="K315" i="8"/>
  <c r="L315" i="8"/>
  <c r="K316" i="8"/>
  <c r="L316" i="8"/>
  <c r="K317" i="8"/>
  <c r="L317" i="8"/>
  <c r="K318" i="8"/>
  <c r="L318" i="8"/>
  <c r="K319" i="8"/>
  <c r="L319" i="8"/>
  <c r="K320" i="8"/>
  <c r="L320" i="8"/>
  <c r="K321" i="8"/>
  <c r="L321" i="8"/>
  <c r="K322" i="8"/>
  <c r="L322" i="8"/>
  <c r="K323" i="8"/>
  <c r="L323" i="8"/>
  <c r="K324" i="8"/>
  <c r="L324" i="8"/>
  <c r="K325" i="8"/>
  <c r="L325" i="8"/>
  <c r="K326" i="8"/>
  <c r="L326" i="8"/>
  <c r="K327" i="8"/>
  <c r="L327" i="8"/>
  <c r="K328" i="8"/>
  <c r="L328" i="8"/>
  <c r="K329" i="8"/>
  <c r="L329" i="8"/>
  <c r="K330" i="8"/>
  <c r="L330" i="8"/>
  <c r="K331" i="8"/>
  <c r="L331" i="8"/>
  <c r="K332" i="8"/>
  <c r="L332" i="8"/>
  <c r="K333" i="8"/>
  <c r="L333" i="8"/>
  <c r="K334" i="8"/>
  <c r="L334" i="8"/>
  <c r="K335" i="8"/>
  <c r="L335" i="8"/>
  <c r="K336" i="8"/>
  <c r="L336" i="8"/>
  <c r="K337" i="8"/>
  <c r="L337" i="8"/>
  <c r="K338" i="8"/>
  <c r="L338" i="8"/>
  <c r="K339" i="8"/>
  <c r="L339" i="8"/>
  <c r="K340" i="8"/>
  <c r="L340" i="8"/>
  <c r="K341" i="8"/>
  <c r="L341" i="8"/>
  <c r="K342" i="8"/>
  <c r="L342" i="8"/>
  <c r="K343" i="8"/>
  <c r="L343" i="8"/>
  <c r="K344" i="8"/>
  <c r="L344" i="8"/>
  <c r="K345" i="8"/>
  <c r="L345" i="8"/>
  <c r="K346" i="8"/>
  <c r="L346" i="8"/>
  <c r="K347" i="8"/>
  <c r="L347" i="8"/>
  <c r="K348" i="8"/>
  <c r="L348" i="8"/>
  <c r="K349" i="8"/>
  <c r="L349" i="8"/>
  <c r="K350" i="8"/>
  <c r="L350" i="8"/>
  <c r="K351" i="8"/>
  <c r="L351" i="8"/>
  <c r="K352" i="8"/>
  <c r="L352" i="8"/>
  <c r="K353" i="8"/>
  <c r="L353" i="8"/>
  <c r="K354" i="8"/>
  <c r="L354" i="8"/>
  <c r="K355" i="8"/>
  <c r="L355" i="8"/>
  <c r="K356" i="8"/>
  <c r="L356" i="8"/>
  <c r="K357" i="8"/>
  <c r="L357" i="8"/>
  <c r="K358" i="8"/>
  <c r="L358" i="8"/>
  <c r="K359" i="8"/>
  <c r="L359" i="8"/>
  <c r="K360" i="8"/>
  <c r="L360" i="8"/>
  <c r="K361" i="8"/>
  <c r="L361" i="8"/>
  <c r="K362" i="8"/>
  <c r="L362" i="8"/>
  <c r="K363" i="8"/>
  <c r="L363" i="8"/>
  <c r="K364" i="8"/>
  <c r="L364" i="8"/>
  <c r="K365" i="8"/>
  <c r="L365" i="8"/>
  <c r="K366" i="8"/>
  <c r="L366" i="8"/>
  <c r="K367" i="8"/>
  <c r="L367" i="8"/>
  <c r="K368" i="8"/>
  <c r="L368" i="8"/>
  <c r="K369" i="8"/>
  <c r="L369" i="8"/>
  <c r="K370" i="8"/>
  <c r="L370" i="8"/>
  <c r="K371" i="8"/>
  <c r="L371" i="8"/>
  <c r="K372" i="8"/>
  <c r="L372" i="8"/>
  <c r="K373" i="8"/>
  <c r="L373" i="8"/>
  <c r="K374" i="8"/>
  <c r="L374" i="8"/>
  <c r="K375" i="8"/>
  <c r="L375" i="8"/>
  <c r="K376" i="8"/>
  <c r="L376" i="8"/>
  <c r="K377" i="8"/>
  <c r="L377" i="8"/>
  <c r="K378" i="8"/>
  <c r="L378" i="8"/>
  <c r="K379" i="8"/>
  <c r="L379" i="8"/>
  <c r="K380" i="8"/>
  <c r="L380" i="8"/>
  <c r="K381" i="8"/>
  <c r="L381" i="8"/>
  <c r="K382" i="8"/>
  <c r="L382" i="8"/>
  <c r="K383" i="8"/>
  <c r="L383" i="8"/>
  <c r="K384" i="8"/>
  <c r="L384" i="8"/>
  <c r="K385" i="8"/>
  <c r="L385" i="8"/>
  <c r="K386" i="8"/>
  <c r="L386" i="8"/>
  <c r="K387" i="8"/>
  <c r="L387" i="8"/>
  <c r="K388" i="8"/>
  <c r="L388" i="8"/>
  <c r="K389" i="8"/>
  <c r="L389" i="8"/>
  <c r="K390" i="8"/>
  <c r="L390" i="8"/>
  <c r="K391" i="8"/>
  <c r="L391" i="8"/>
  <c r="K392" i="8"/>
  <c r="L392" i="8"/>
  <c r="K393" i="8"/>
  <c r="L393" i="8"/>
  <c r="K394" i="8"/>
  <c r="L394" i="8"/>
  <c r="K395" i="8"/>
  <c r="L395" i="8"/>
  <c r="K396" i="8"/>
  <c r="L396" i="8"/>
  <c r="K397" i="8"/>
  <c r="L397" i="8"/>
  <c r="K398" i="8"/>
  <c r="L398" i="8"/>
  <c r="K399" i="8"/>
  <c r="L399" i="8"/>
  <c r="K400" i="8"/>
  <c r="L400" i="8"/>
  <c r="K401" i="8"/>
  <c r="L401" i="8"/>
  <c r="K402" i="8"/>
  <c r="L402" i="8"/>
  <c r="K403" i="8"/>
  <c r="L403" i="8"/>
  <c r="K404" i="8"/>
  <c r="L404" i="8"/>
  <c r="K405" i="8"/>
  <c r="L405" i="8"/>
  <c r="K406" i="8"/>
  <c r="L406" i="8"/>
  <c r="K407" i="8"/>
  <c r="L407" i="8"/>
  <c r="K408" i="8"/>
  <c r="L408" i="8"/>
  <c r="K409" i="8"/>
  <c r="L409" i="8"/>
  <c r="K410" i="8"/>
  <c r="L410" i="8"/>
  <c r="K411" i="8"/>
  <c r="L411" i="8"/>
  <c r="K412" i="8"/>
  <c r="L412" i="8"/>
  <c r="K413" i="8"/>
  <c r="L413" i="8"/>
  <c r="K414" i="8"/>
  <c r="L414" i="8"/>
  <c r="K415" i="8"/>
  <c r="L415" i="8"/>
  <c r="K416" i="8"/>
  <c r="L416" i="8"/>
  <c r="K417" i="8"/>
  <c r="L417" i="8"/>
  <c r="K418" i="8"/>
  <c r="L418" i="8"/>
  <c r="K419" i="8"/>
  <c r="L419" i="8"/>
  <c r="K420" i="8"/>
  <c r="L420" i="8"/>
  <c r="K421" i="8"/>
  <c r="L421" i="8"/>
  <c r="K422" i="8"/>
  <c r="L422" i="8"/>
  <c r="K423" i="8"/>
  <c r="L423" i="8"/>
  <c r="K424" i="8"/>
  <c r="L424" i="8"/>
  <c r="K425" i="8"/>
  <c r="L425" i="8"/>
  <c r="K426" i="8"/>
  <c r="L426" i="8"/>
  <c r="K427" i="8"/>
  <c r="L427" i="8"/>
  <c r="K428" i="8"/>
  <c r="L428" i="8"/>
  <c r="K429" i="8"/>
  <c r="L429" i="8"/>
  <c r="K430" i="8"/>
  <c r="L430" i="8"/>
  <c r="K431" i="8"/>
  <c r="L431" i="8"/>
  <c r="K432" i="8"/>
  <c r="L432" i="8"/>
  <c r="K433" i="8"/>
  <c r="L433" i="8"/>
  <c r="K434" i="8"/>
  <c r="L434" i="8"/>
  <c r="K435" i="8"/>
  <c r="L435" i="8"/>
  <c r="K436" i="8"/>
  <c r="L436" i="8"/>
  <c r="K437" i="8"/>
  <c r="L437" i="8"/>
  <c r="K438" i="8"/>
  <c r="L438" i="8"/>
  <c r="K439" i="8"/>
  <c r="L439" i="8"/>
  <c r="K440" i="8"/>
  <c r="L440" i="8"/>
  <c r="K441" i="8"/>
  <c r="L441" i="8"/>
  <c r="K442" i="8"/>
  <c r="L442" i="8"/>
  <c r="K443" i="8"/>
  <c r="L443" i="8"/>
  <c r="K444" i="8"/>
  <c r="L444" i="8"/>
  <c r="K445" i="8"/>
  <c r="L445" i="8"/>
  <c r="K446" i="8"/>
  <c r="L446" i="8"/>
  <c r="K447" i="8"/>
  <c r="L447" i="8"/>
  <c r="K448" i="8"/>
  <c r="L448" i="8"/>
  <c r="K449" i="8"/>
  <c r="L449" i="8"/>
  <c r="K450" i="8"/>
  <c r="L450" i="8"/>
  <c r="K451" i="8"/>
  <c r="L451" i="8"/>
  <c r="K452" i="8"/>
  <c r="L452" i="8"/>
  <c r="K453" i="8"/>
  <c r="L453" i="8"/>
  <c r="K454" i="8"/>
  <c r="L454" i="8"/>
  <c r="K455" i="8"/>
  <c r="L455" i="8"/>
  <c r="K456" i="8"/>
  <c r="L456" i="8"/>
  <c r="K457" i="8"/>
  <c r="L457" i="8"/>
  <c r="K458" i="8"/>
  <c r="L458" i="8"/>
  <c r="K459" i="8"/>
  <c r="L459" i="8"/>
  <c r="K460" i="8"/>
  <c r="L460" i="8"/>
  <c r="K461" i="8"/>
  <c r="L461" i="8"/>
  <c r="K462" i="8"/>
  <c r="L462" i="8"/>
  <c r="K463" i="8"/>
  <c r="L463" i="8"/>
  <c r="K464" i="8"/>
  <c r="L464" i="8"/>
  <c r="K465" i="8"/>
  <c r="L465" i="8"/>
  <c r="K466" i="8"/>
  <c r="L466" i="8"/>
  <c r="K467" i="8"/>
  <c r="L467" i="8"/>
  <c r="K468" i="8"/>
  <c r="L468" i="8"/>
  <c r="K469" i="8"/>
  <c r="L469" i="8"/>
  <c r="K470" i="8"/>
  <c r="L470" i="8"/>
  <c r="K471" i="8"/>
  <c r="L471" i="8"/>
  <c r="K472" i="8"/>
  <c r="L472" i="8"/>
  <c r="K473" i="8"/>
  <c r="L473" i="8"/>
  <c r="K474" i="8"/>
  <c r="L474" i="8"/>
  <c r="K475" i="8"/>
  <c r="L475" i="8"/>
  <c r="K476" i="8"/>
  <c r="L476" i="8"/>
  <c r="K477" i="8"/>
  <c r="L477" i="8"/>
  <c r="K478" i="8"/>
  <c r="L478" i="8"/>
  <c r="K479" i="8"/>
  <c r="L479" i="8"/>
  <c r="K480" i="8"/>
  <c r="L480" i="8"/>
  <c r="K481" i="8"/>
  <c r="L481" i="8"/>
  <c r="K482" i="8"/>
  <c r="L482" i="8"/>
  <c r="K483" i="8"/>
  <c r="L483" i="8"/>
  <c r="K484" i="8"/>
  <c r="L484" i="8"/>
  <c r="K485" i="8"/>
  <c r="L485" i="8"/>
  <c r="K486" i="8"/>
  <c r="L486" i="8"/>
  <c r="K487" i="8"/>
  <c r="L487" i="8"/>
  <c r="K488" i="8"/>
  <c r="L488" i="8"/>
  <c r="K489" i="8"/>
  <c r="L489" i="8"/>
  <c r="K490" i="8"/>
  <c r="L490" i="8"/>
  <c r="K491" i="8"/>
  <c r="L491" i="8"/>
  <c r="K492" i="8"/>
  <c r="L492" i="8"/>
  <c r="K493" i="8"/>
  <c r="L493" i="8"/>
  <c r="K494" i="8"/>
  <c r="L494" i="8"/>
  <c r="K495" i="8"/>
  <c r="L495" i="8"/>
  <c r="K496" i="8"/>
  <c r="L496" i="8"/>
  <c r="K497" i="8"/>
  <c r="L497" i="8"/>
  <c r="K498" i="8"/>
  <c r="L498" i="8"/>
  <c r="K499" i="8"/>
  <c r="L499" i="8"/>
  <c r="K500" i="8"/>
  <c r="L500" i="8"/>
  <c r="K501" i="8"/>
  <c r="L501" i="8"/>
  <c r="K502" i="8"/>
  <c r="L502" i="8"/>
  <c r="K503" i="8"/>
  <c r="L503" i="8"/>
  <c r="K504" i="8"/>
  <c r="L504" i="8"/>
  <c r="K505" i="8"/>
  <c r="L505" i="8"/>
  <c r="K506" i="8"/>
  <c r="L506" i="8"/>
  <c r="K507" i="8"/>
  <c r="L507" i="8"/>
  <c r="K508" i="8"/>
  <c r="L508" i="8"/>
  <c r="K509" i="8"/>
  <c r="L509" i="8"/>
  <c r="K510" i="8"/>
  <c r="L510" i="8"/>
  <c r="K511" i="8"/>
  <c r="L511" i="8"/>
  <c r="K512" i="8"/>
  <c r="L512" i="8"/>
  <c r="K513" i="8"/>
  <c r="L513" i="8"/>
  <c r="K514" i="8"/>
  <c r="L514" i="8"/>
  <c r="K515" i="8"/>
  <c r="L515" i="8"/>
  <c r="K516" i="8"/>
  <c r="L516" i="8"/>
  <c r="K517" i="8"/>
  <c r="L517" i="8"/>
  <c r="K518" i="8"/>
  <c r="L518" i="8"/>
  <c r="K519" i="8"/>
  <c r="L519" i="8"/>
  <c r="K520" i="8"/>
  <c r="L520" i="8"/>
  <c r="K521" i="8"/>
  <c r="L521" i="8"/>
  <c r="K522" i="8"/>
  <c r="L522" i="8"/>
  <c r="K523" i="8"/>
  <c r="L523" i="8"/>
  <c r="K524" i="8"/>
  <c r="L524" i="8"/>
  <c r="K525" i="8"/>
  <c r="L525" i="8"/>
  <c r="K526" i="8"/>
  <c r="L526" i="8"/>
  <c r="K527" i="8"/>
  <c r="L527" i="8"/>
  <c r="K528" i="8"/>
  <c r="L528" i="8"/>
  <c r="K529" i="8"/>
  <c r="L529" i="8"/>
  <c r="K530" i="8"/>
  <c r="L530" i="8"/>
  <c r="K531" i="8"/>
  <c r="L531" i="8"/>
  <c r="K532" i="8"/>
  <c r="L532" i="8"/>
  <c r="K533" i="8"/>
  <c r="L533" i="8"/>
  <c r="K534" i="8"/>
  <c r="L534" i="8"/>
  <c r="K535" i="8"/>
  <c r="L535" i="8"/>
  <c r="K536" i="8"/>
  <c r="L536" i="8"/>
  <c r="K537" i="8"/>
  <c r="L537" i="8"/>
  <c r="K538" i="8"/>
  <c r="L538" i="8"/>
  <c r="K539" i="8"/>
  <c r="L539" i="8"/>
  <c r="K540" i="8"/>
  <c r="L540" i="8"/>
  <c r="K541" i="8"/>
  <c r="L541" i="8"/>
  <c r="K542" i="8"/>
  <c r="L542" i="8"/>
  <c r="K543" i="8"/>
  <c r="L543" i="8"/>
  <c r="K544" i="8"/>
  <c r="L544" i="8"/>
  <c r="K545" i="8"/>
  <c r="L545" i="8"/>
  <c r="K546" i="8"/>
  <c r="L546" i="8"/>
  <c r="K547" i="8"/>
  <c r="L547" i="8"/>
  <c r="K548" i="8"/>
  <c r="L548" i="8"/>
  <c r="K549" i="8"/>
  <c r="L549" i="8"/>
  <c r="K550" i="8"/>
  <c r="L550" i="8"/>
  <c r="K551" i="8"/>
  <c r="L551" i="8"/>
  <c r="K552" i="8"/>
  <c r="L552" i="8"/>
  <c r="K553" i="8"/>
  <c r="L553" i="8"/>
  <c r="K554" i="8"/>
  <c r="L554" i="8"/>
  <c r="K555" i="8"/>
  <c r="L555" i="8"/>
  <c r="K556" i="8"/>
  <c r="L556" i="8"/>
  <c r="K557" i="8"/>
  <c r="L557" i="8"/>
  <c r="K558" i="8"/>
  <c r="L558" i="8"/>
  <c r="K559" i="8"/>
  <c r="L559" i="8"/>
  <c r="K560" i="8"/>
  <c r="L560" i="8"/>
  <c r="K561" i="8"/>
  <c r="L561" i="8"/>
  <c r="K562" i="8"/>
  <c r="L562" i="8"/>
  <c r="K563" i="8"/>
  <c r="L563" i="8"/>
  <c r="K564" i="8"/>
  <c r="L564" i="8"/>
  <c r="K565" i="8"/>
  <c r="L565" i="8"/>
  <c r="K566" i="8"/>
  <c r="L566" i="8"/>
  <c r="K567" i="8"/>
  <c r="L567" i="8"/>
  <c r="K568" i="8"/>
  <c r="L568" i="8"/>
  <c r="K569" i="8"/>
  <c r="L569" i="8"/>
  <c r="K570" i="8"/>
  <c r="L570" i="8"/>
  <c r="K571" i="8"/>
  <c r="L571" i="8"/>
  <c r="K572" i="8"/>
  <c r="L572" i="8"/>
  <c r="K573" i="8"/>
  <c r="L573" i="8"/>
  <c r="K574" i="8"/>
  <c r="L574" i="8"/>
  <c r="K575" i="8"/>
  <c r="L575" i="8"/>
  <c r="K576" i="8"/>
  <c r="L576" i="8"/>
  <c r="K577" i="8"/>
  <c r="L577" i="8"/>
  <c r="K578" i="8"/>
  <c r="L578" i="8"/>
  <c r="K579" i="8"/>
  <c r="L579" i="8"/>
  <c r="K580" i="8"/>
  <c r="L580" i="8"/>
  <c r="K581" i="8"/>
  <c r="L581" i="8"/>
  <c r="K582" i="8"/>
  <c r="L582" i="8"/>
  <c r="K583" i="8"/>
  <c r="L583" i="8"/>
  <c r="K584" i="8"/>
  <c r="L584" i="8"/>
  <c r="K585" i="8"/>
  <c r="L585" i="8"/>
  <c r="K586" i="8"/>
  <c r="L586" i="8"/>
  <c r="K587" i="8"/>
  <c r="L587" i="8"/>
  <c r="K588" i="8"/>
  <c r="L588" i="8"/>
  <c r="K589" i="8"/>
  <c r="L589" i="8"/>
  <c r="K590" i="8"/>
  <c r="L590" i="8"/>
  <c r="K591" i="8"/>
  <c r="L591" i="8"/>
  <c r="K592" i="8"/>
  <c r="L592" i="8"/>
  <c r="K593" i="8"/>
  <c r="L593" i="8"/>
  <c r="K594" i="8"/>
  <c r="L594" i="8"/>
  <c r="K595" i="8"/>
  <c r="L595" i="8"/>
  <c r="K596" i="8"/>
  <c r="L596" i="8"/>
  <c r="K597" i="8"/>
  <c r="L597" i="8"/>
  <c r="K598" i="8"/>
  <c r="L598" i="8"/>
  <c r="K599" i="8"/>
  <c r="L599" i="8"/>
  <c r="K600" i="8"/>
  <c r="L600" i="8"/>
  <c r="K601" i="8"/>
  <c r="L601" i="8"/>
  <c r="K602" i="8"/>
  <c r="L602" i="8"/>
  <c r="K603" i="8"/>
  <c r="L603" i="8"/>
  <c r="K604" i="8"/>
  <c r="L604" i="8"/>
  <c r="K605" i="8"/>
  <c r="L605" i="8"/>
  <c r="K606" i="8"/>
  <c r="L606" i="8"/>
  <c r="K607" i="8"/>
  <c r="L607" i="8"/>
  <c r="K608" i="8"/>
  <c r="L608" i="8"/>
  <c r="K609" i="8"/>
  <c r="L609" i="8"/>
  <c r="K610" i="8"/>
  <c r="L610" i="8"/>
  <c r="K611" i="8"/>
  <c r="L611" i="8"/>
  <c r="K612" i="8"/>
  <c r="L612" i="8"/>
  <c r="K613" i="8"/>
  <c r="L613" i="8"/>
  <c r="K614" i="8"/>
  <c r="L614" i="8"/>
  <c r="K615" i="8"/>
  <c r="L615" i="8"/>
  <c r="K616" i="8"/>
  <c r="L616" i="8"/>
  <c r="K617" i="8"/>
  <c r="L617" i="8"/>
  <c r="K618" i="8"/>
  <c r="L618" i="8"/>
  <c r="K619" i="8"/>
  <c r="L619" i="8"/>
  <c r="K620" i="8"/>
  <c r="L620" i="8"/>
  <c r="K621" i="8"/>
  <c r="L621" i="8"/>
  <c r="K622" i="8"/>
  <c r="L622" i="8"/>
  <c r="K623" i="8"/>
  <c r="L623" i="8"/>
  <c r="K624" i="8"/>
  <c r="L624" i="8"/>
  <c r="K625" i="8"/>
  <c r="L625" i="8"/>
  <c r="K626" i="8"/>
  <c r="L626" i="8"/>
  <c r="K627" i="8"/>
  <c r="L627" i="8"/>
  <c r="K628" i="8"/>
  <c r="L628" i="8"/>
  <c r="K629" i="8"/>
  <c r="L629" i="8"/>
  <c r="K630" i="8"/>
  <c r="L630" i="8"/>
  <c r="K631" i="8"/>
  <c r="L631" i="8"/>
  <c r="K632" i="8"/>
  <c r="L632" i="8"/>
  <c r="K633" i="8"/>
  <c r="L633" i="8"/>
  <c r="K634" i="8"/>
  <c r="L634" i="8"/>
  <c r="K635" i="8"/>
  <c r="L635" i="8"/>
  <c r="K636" i="8"/>
  <c r="L636" i="8"/>
  <c r="K637" i="8"/>
  <c r="L637" i="8"/>
  <c r="K638" i="8"/>
  <c r="L638" i="8"/>
  <c r="K639" i="8"/>
  <c r="L639" i="8"/>
  <c r="K640" i="8"/>
  <c r="L640" i="8"/>
  <c r="K641" i="8"/>
  <c r="L641" i="8"/>
  <c r="K642" i="8"/>
  <c r="L642" i="8"/>
  <c r="K643" i="8"/>
  <c r="L643" i="8"/>
  <c r="K644" i="8"/>
  <c r="L644" i="8"/>
  <c r="K645" i="8"/>
  <c r="L645" i="8"/>
  <c r="K646" i="8"/>
  <c r="L646" i="8"/>
  <c r="K647" i="8"/>
  <c r="L647" i="8"/>
  <c r="K648" i="8"/>
  <c r="L648" i="8"/>
  <c r="K649" i="8"/>
  <c r="L649" i="8"/>
  <c r="K650" i="8"/>
  <c r="L650" i="8"/>
  <c r="K651" i="8"/>
  <c r="L651" i="8"/>
  <c r="K652" i="8"/>
  <c r="L652" i="8"/>
  <c r="K653" i="8"/>
  <c r="L653" i="8"/>
  <c r="K654" i="8"/>
  <c r="L654" i="8"/>
  <c r="K655" i="8"/>
  <c r="L655" i="8"/>
  <c r="K656" i="8"/>
  <c r="L656" i="8"/>
  <c r="K657" i="8"/>
  <c r="L657" i="8"/>
  <c r="K658" i="8"/>
  <c r="L658" i="8"/>
  <c r="K659" i="8"/>
  <c r="L659" i="8"/>
  <c r="K660" i="8"/>
  <c r="L660" i="8"/>
  <c r="K661" i="8"/>
  <c r="L661" i="8"/>
  <c r="K662" i="8"/>
  <c r="L662" i="8"/>
  <c r="K663" i="8"/>
  <c r="L663" i="8"/>
  <c r="K664" i="8"/>
  <c r="L664" i="8"/>
  <c r="K665" i="8"/>
  <c r="L665" i="8"/>
  <c r="K666" i="8"/>
  <c r="L666" i="8"/>
  <c r="K667" i="8"/>
  <c r="L667" i="8"/>
  <c r="K668" i="8"/>
  <c r="L668" i="8"/>
  <c r="K669" i="8"/>
  <c r="L669" i="8"/>
  <c r="K670" i="8"/>
  <c r="L670" i="8"/>
  <c r="K671" i="8"/>
  <c r="L671" i="8"/>
  <c r="K672" i="8"/>
  <c r="L672" i="8"/>
  <c r="K673" i="8"/>
  <c r="L673" i="8"/>
  <c r="K674" i="8"/>
  <c r="L674" i="8"/>
  <c r="K675" i="8"/>
  <c r="L675" i="8"/>
  <c r="K676" i="8"/>
  <c r="L676" i="8"/>
  <c r="K677" i="8"/>
  <c r="L677" i="8"/>
  <c r="K678" i="8"/>
  <c r="L678" i="8"/>
  <c r="K679" i="8"/>
  <c r="L679" i="8"/>
  <c r="K680" i="8"/>
  <c r="L680" i="8"/>
  <c r="K681" i="8"/>
  <c r="L681" i="8"/>
  <c r="K682" i="8"/>
  <c r="L682" i="8"/>
  <c r="K683" i="8"/>
  <c r="L683" i="8"/>
  <c r="K684" i="8"/>
  <c r="L684" i="8"/>
  <c r="K685" i="8"/>
  <c r="L685" i="8"/>
  <c r="K686" i="8"/>
  <c r="L686" i="8"/>
  <c r="K687" i="8"/>
  <c r="L687" i="8"/>
  <c r="K688" i="8"/>
  <c r="L688" i="8"/>
  <c r="K689" i="8"/>
  <c r="L689" i="8"/>
  <c r="K690" i="8"/>
  <c r="L690" i="8"/>
  <c r="K691" i="8"/>
  <c r="L691" i="8"/>
  <c r="K692" i="8"/>
  <c r="L692" i="8"/>
  <c r="K693" i="8"/>
  <c r="L693" i="8"/>
  <c r="K694" i="8"/>
  <c r="L694" i="8"/>
  <c r="K695" i="8"/>
  <c r="L695" i="8"/>
  <c r="K696" i="8"/>
  <c r="L696" i="8"/>
  <c r="K697" i="8"/>
  <c r="L697" i="8"/>
  <c r="K698" i="8"/>
  <c r="L698" i="8"/>
  <c r="K699" i="8"/>
  <c r="L699" i="8"/>
  <c r="K700" i="8"/>
  <c r="L700" i="8"/>
  <c r="K701" i="8"/>
  <c r="L701" i="8"/>
  <c r="K702" i="8"/>
  <c r="L702" i="8"/>
  <c r="K703" i="8"/>
  <c r="L703" i="8"/>
  <c r="K704" i="8"/>
  <c r="L704" i="8"/>
  <c r="K705" i="8"/>
  <c r="L705" i="8"/>
  <c r="K706" i="8"/>
  <c r="L706" i="8"/>
  <c r="K707" i="8"/>
  <c r="L707" i="8"/>
  <c r="K708" i="8"/>
  <c r="L708" i="8"/>
  <c r="K709" i="8"/>
  <c r="L709" i="8"/>
  <c r="K710" i="8"/>
  <c r="L710" i="8"/>
  <c r="K711" i="8"/>
  <c r="L711" i="8"/>
  <c r="K712" i="8"/>
  <c r="L712" i="8"/>
  <c r="K713" i="8"/>
  <c r="L713" i="8"/>
  <c r="K714" i="8"/>
  <c r="L714" i="8"/>
  <c r="K715" i="8"/>
  <c r="L715" i="8"/>
  <c r="K716" i="8"/>
  <c r="L716" i="8"/>
  <c r="K717" i="8"/>
  <c r="L717" i="8"/>
  <c r="K718" i="8"/>
  <c r="L718" i="8"/>
  <c r="K719" i="8"/>
  <c r="L719" i="8"/>
  <c r="K720" i="8"/>
  <c r="L720" i="8"/>
  <c r="K721" i="8"/>
  <c r="L721" i="8"/>
  <c r="K722" i="8"/>
  <c r="L722" i="8"/>
  <c r="K723" i="8"/>
  <c r="L723" i="8"/>
  <c r="K724" i="8"/>
  <c r="L724" i="8"/>
  <c r="K725" i="8"/>
  <c r="L725" i="8"/>
  <c r="K726" i="8"/>
  <c r="L726" i="8"/>
  <c r="K727" i="8"/>
  <c r="L727" i="8"/>
  <c r="K728" i="8"/>
  <c r="L728" i="8"/>
  <c r="K729" i="8"/>
  <c r="L729" i="8"/>
  <c r="K730" i="8"/>
  <c r="L730" i="8"/>
  <c r="K731" i="8"/>
  <c r="L731" i="8"/>
  <c r="K732" i="8"/>
  <c r="L732" i="8"/>
  <c r="K733" i="8"/>
  <c r="L733" i="8"/>
  <c r="K734" i="8"/>
  <c r="L734" i="8"/>
  <c r="K735" i="8"/>
  <c r="L735" i="8"/>
  <c r="K736" i="8"/>
  <c r="L736" i="8"/>
  <c r="K737" i="8"/>
  <c r="L737" i="8"/>
  <c r="K738" i="8"/>
  <c r="L738" i="8"/>
  <c r="K739" i="8"/>
  <c r="L739" i="8"/>
  <c r="K740" i="8"/>
  <c r="L740" i="8"/>
  <c r="K741" i="8"/>
  <c r="L741" i="8"/>
  <c r="K742" i="8"/>
  <c r="L742" i="8"/>
  <c r="K743" i="8"/>
  <c r="L743" i="8"/>
  <c r="K744" i="8"/>
  <c r="L744" i="8"/>
  <c r="K745" i="8"/>
  <c r="L745" i="8"/>
  <c r="K746" i="8"/>
  <c r="L746" i="8"/>
  <c r="K747" i="8"/>
  <c r="L747" i="8"/>
  <c r="K748" i="8"/>
  <c r="L748" i="8"/>
  <c r="K749" i="8"/>
  <c r="L749" i="8"/>
  <c r="K750" i="8"/>
  <c r="L750" i="8"/>
  <c r="K751" i="8"/>
  <c r="L751" i="8"/>
  <c r="K752" i="8"/>
  <c r="L752" i="8"/>
  <c r="K753" i="8"/>
  <c r="L753" i="8"/>
  <c r="K754" i="8"/>
  <c r="L754" i="8"/>
  <c r="K755" i="8"/>
  <c r="L755" i="8"/>
  <c r="K756" i="8"/>
  <c r="L756" i="8"/>
  <c r="K757" i="8"/>
  <c r="L757" i="8"/>
  <c r="K758" i="8"/>
  <c r="L758" i="8"/>
  <c r="K759" i="8"/>
  <c r="L759" i="8"/>
  <c r="K760" i="8"/>
  <c r="L760" i="8"/>
  <c r="K761" i="8"/>
  <c r="L761" i="8"/>
  <c r="K762" i="8"/>
  <c r="L762" i="8"/>
  <c r="K763" i="8"/>
  <c r="L763" i="8"/>
  <c r="K764" i="8"/>
  <c r="L764" i="8"/>
  <c r="K765" i="8"/>
  <c r="L765" i="8"/>
  <c r="K766" i="8"/>
  <c r="L766" i="8"/>
  <c r="K767" i="8"/>
  <c r="L767" i="8"/>
  <c r="K768" i="8"/>
  <c r="L768" i="8"/>
  <c r="K769" i="8"/>
  <c r="L769" i="8"/>
  <c r="K770" i="8"/>
  <c r="L770" i="8"/>
  <c r="K771" i="8"/>
  <c r="L771" i="8"/>
  <c r="K772" i="8"/>
  <c r="L772" i="8"/>
  <c r="K773" i="8"/>
  <c r="L773" i="8"/>
  <c r="K774" i="8"/>
  <c r="L774" i="8"/>
  <c r="K775" i="8"/>
  <c r="L775" i="8"/>
  <c r="K776" i="8"/>
  <c r="L776" i="8"/>
  <c r="K777" i="8"/>
  <c r="L777" i="8"/>
  <c r="K778" i="8"/>
  <c r="L778" i="8"/>
  <c r="K779" i="8"/>
  <c r="L779" i="8"/>
  <c r="K780" i="8"/>
  <c r="L780" i="8"/>
  <c r="K781" i="8"/>
  <c r="L781" i="8"/>
  <c r="K782" i="8"/>
  <c r="L782" i="8"/>
  <c r="K783" i="8"/>
  <c r="L783" i="8"/>
  <c r="K784" i="8"/>
  <c r="L784" i="8"/>
  <c r="K785" i="8"/>
  <c r="L785" i="8"/>
  <c r="K786" i="8"/>
  <c r="L786" i="8"/>
  <c r="K787" i="8"/>
  <c r="L787" i="8"/>
  <c r="K788" i="8"/>
  <c r="L788" i="8"/>
  <c r="K789" i="8"/>
  <c r="L789" i="8"/>
  <c r="K790" i="8"/>
  <c r="L790" i="8"/>
  <c r="K791" i="8"/>
  <c r="L791" i="8"/>
  <c r="K792" i="8"/>
  <c r="L792" i="8"/>
  <c r="K793" i="8"/>
  <c r="L793" i="8"/>
  <c r="K794" i="8"/>
  <c r="L794" i="8"/>
  <c r="K795" i="8"/>
  <c r="L795" i="8"/>
  <c r="K796" i="8"/>
  <c r="L796" i="8"/>
  <c r="K797" i="8"/>
  <c r="L797" i="8"/>
  <c r="K798" i="8"/>
  <c r="L798" i="8"/>
  <c r="K799" i="8"/>
  <c r="L799" i="8"/>
  <c r="K800" i="8"/>
  <c r="L800" i="8"/>
  <c r="K801" i="8"/>
  <c r="L801" i="8"/>
  <c r="K802" i="8"/>
  <c r="L802" i="8"/>
  <c r="K803" i="8"/>
  <c r="L803" i="8"/>
  <c r="K804" i="8"/>
  <c r="L804" i="8"/>
  <c r="K805" i="8"/>
  <c r="L805" i="8"/>
  <c r="L2" i="8"/>
  <c r="K2" i="8"/>
  <c r="B9" i="7" l="1"/>
  <c r="E9" i="7" s="1" a="1"/>
  <c r="E9" i="7" s="1"/>
  <c r="B7" i="7"/>
  <c r="E7" i="7" s="1" a="1"/>
  <c r="E7" i="7" s="1"/>
  <c r="E12" i="7" s="1"/>
  <c r="A109" i="7"/>
  <c r="AG10" i="7"/>
  <c r="N3" i="7"/>
  <c r="AG14" i="7"/>
  <c r="AE76" i="7" l="1"/>
  <c r="AD76" i="7"/>
  <c r="AC76" i="7"/>
  <c r="AB76" i="7"/>
  <c r="AA76" i="7"/>
  <c r="Z76" i="7"/>
  <c r="Y76" i="7"/>
  <c r="X76" i="7"/>
  <c r="W76" i="7"/>
  <c r="V76" i="7"/>
  <c r="U76" i="7"/>
  <c r="T76" i="7"/>
  <c r="S76" i="7"/>
  <c r="R76" i="7"/>
  <c r="Q76" i="7"/>
  <c r="P76" i="7"/>
  <c r="O76" i="7"/>
  <c r="N76" i="7"/>
  <c r="M76" i="7"/>
  <c r="L76" i="7"/>
  <c r="K76" i="7"/>
  <c r="J76" i="7"/>
  <c r="I76" i="7"/>
  <c r="H76" i="7"/>
  <c r="G76" i="7"/>
  <c r="F76" i="7"/>
  <c r="E76" i="7"/>
  <c r="D76" i="7"/>
  <c r="C76" i="7"/>
  <c r="B76" i="7"/>
  <c r="A76" i="7"/>
  <c r="AG12" i="7"/>
  <c r="AG11" i="7"/>
  <c r="D7" i="7" l="1"/>
  <c r="N2" i="7"/>
  <c r="N11" i="7"/>
  <c r="P5" i="7" s="1"/>
  <c r="N10" i="7"/>
  <c r="P4" i="7" s="1"/>
  <c r="N9" i="7"/>
  <c r="P3" i="7" s="1"/>
  <c r="N8" i="7"/>
  <c r="N5" i="7"/>
  <c r="N4" i="7"/>
  <c r="M5" i="7"/>
  <c r="M4" i="7"/>
  <c r="M3" i="7"/>
  <c r="R1" i="7" l="1" a="1"/>
  <c r="R1" i="7" s="1"/>
  <c r="S1" i="7" l="1"/>
  <c r="O3" i="7" s="1"/>
  <c r="O5" i="7" l="1"/>
  <c r="O4" i="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<sst xmlns="http://schemas.openxmlformats.org/spreadsheetml/2006/main" count="21430" uniqueCount="2176">
  <si>
    <t>Wafer</t>
  </si>
  <si>
    <t>Device</t>
  </si>
  <si>
    <t>Lot</t>
  </si>
  <si>
    <t>Ridge</t>
  </si>
  <si>
    <t>Bar</t>
  </si>
  <si>
    <t>LIV</t>
  </si>
  <si>
    <t>Sweep</t>
  </si>
  <si>
    <t>vs</t>
  </si>
  <si>
    <t>Temperature</t>
  </si>
  <si>
    <t>Width:4.599999904632568</t>
  </si>
  <si>
    <t>Start</t>
  </si>
  <si>
    <t>End</t>
  </si>
  <si>
    <t>DC-Pulse:DC</t>
  </si>
  <si>
    <t>Pulse</t>
  </si>
  <si>
    <t>Delay:0.001000000047497451</t>
  </si>
  <si>
    <t>Compliance:9</t>
  </si>
  <si>
    <t>number:</t>
  </si>
  <si>
    <t>data</t>
  </si>
  <si>
    <t>Temperature:25</t>
  </si>
  <si>
    <t>Width:0.0002</t>
  </si>
  <si>
    <t>I=150 mA, P=mW</t>
  </si>
  <si>
    <t>&amp;T</t>
  </si>
  <si>
    <t>I</t>
  </si>
  <si>
    <t>Wavelength</t>
  </si>
  <si>
    <t>Peak</t>
  </si>
  <si>
    <t>Fill Chart</t>
  </si>
  <si>
    <t>Temperature:15</t>
  </si>
  <si>
    <t>Current:0.1000000014901161</t>
  </si>
  <si>
    <t>Current:0.2800000011920929</t>
  </si>
  <si>
    <t>Width:1500</t>
  </si>
  <si>
    <t>Ith</t>
  </si>
  <si>
    <t>slope</t>
  </si>
  <si>
    <t>rs</t>
  </si>
  <si>
    <t>wave</t>
  </si>
  <si>
    <t>temp</t>
  </si>
  <si>
    <t>SKU</t>
  </si>
  <si>
    <t>Product SKU</t>
  </si>
  <si>
    <t>Wavelength (nm)</t>
  </si>
  <si>
    <t>Type</t>
  </si>
  <si>
    <t>Chip Architecture</t>
  </si>
  <si>
    <t>Power Range (mW)</t>
  </si>
  <si>
    <t>ChipArch Drop Down Copy</t>
  </si>
  <si>
    <t>Mounting Add-Ons</t>
  </si>
  <si>
    <t>Mounting Add On Drop Down Copy</t>
  </si>
  <si>
    <t>Packaging Add-Ons</t>
  </si>
  <si>
    <t>Packaging Add Ons Drop Down Copy</t>
  </si>
  <si>
    <t>Retail Price</t>
  </si>
  <si>
    <t>Product Pricing Description</t>
  </si>
  <si>
    <t>Product Pricing Description Copy</t>
  </si>
  <si>
    <t>Application Category</t>
  </si>
  <si>
    <t>Application Drop Down Copy</t>
  </si>
  <si>
    <t>Product Description</t>
  </si>
  <si>
    <t>Product Specs</t>
  </si>
  <si>
    <t>Package Add-on description</t>
  </si>
  <si>
    <t>OLD Image File Name (V6)</t>
  </si>
  <si>
    <t>NEW V7 Image Folder</t>
  </si>
  <si>
    <t>Selected Views</t>
  </si>
  <si>
    <t>Folder Link</t>
  </si>
  <si>
    <t>Image File Names</t>
  </si>
  <si>
    <t>730DBRH-BF</t>
  </si>
  <si>
    <t>DBR</t>
  </si>
  <si>
    <t>H</t>
  </si>
  <si>
    <t>20-40</t>
  </si>
  <si>
    <t>High Power (20-40 mW) RFQ</t>
  </si>
  <si>
    <t>Standard</t>
  </si>
  <si>
    <t>BF</t>
  </si>
  <si>
    <t xml:space="preserve">Butterfly +$2,500 </t>
  </si>
  <si>
    <t>RFQ</t>
  </si>
  <si>
    <t>730 nm single-frequency DBR High Power Chip Architecture ($3750) with output power of 20-40 mW, in a Butterfly Package (+$2500), for a total unit cost of RFQ</t>
  </si>
  <si>
    <t>730 nm single-frequency DBR High Power Chip Architecture (RFQ) with output power of 20-40 mW, Mode Hop Free Mounting (+$700), in a Butterfly Package (+$2500). Base chip architecture price and total unit cost are available upon request.</t>
  </si>
  <si>
    <t>Biomedical
Materials Characterization
Spectroscopy</t>
  </si>
  <si>
    <t>The 730 nm DBR Series of high-performance edge-emitting laser diodes are based on Photodigm’s advanced monolithic single-frequency Gallium Arsenide (GaAs) based laser technology. It provides a single spatial mode beam and has passivated facets for reliability. The 730 nm Series DBR devices are used in biomedical and molecular analysis applications.</t>
  </si>
  <si>
    <t>730 DBR Specification Sheet 11-2-23.pdf</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</si>
  <si>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20-40 mW</t>
  </si>
  <si>
    <t xml:space="preserve">The Butterfly package is the ideal package for the customer that needs fiber-coupling. It is ideal for situations where free-space transmission isn't possible.  Note: Butterfly packages result in lower total output power due to fiber coupling efficiency losses.  </t>
  </si>
  <si>
    <t>Butterfly.jpg</t>
  </si>
  <si>
    <t>Butterfly</t>
  </si>
  <si>
    <t>Studio
Right
Top</t>
  </si>
  <si>
    <t>Studio-Butterfly.png|Right-Butterfly.png|Top-Butterfly.png</t>
  </si>
  <si>
    <t>730DBRH-BFISO</t>
  </si>
  <si>
    <t>5-10</t>
  </si>
  <si>
    <t>High Power (5-10 mW) RFQ</t>
  </si>
  <si>
    <t>BFISO</t>
  </si>
  <si>
    <t xml:space="preserve">Butterfly + Isolator +$3,000 </t>
  </si>
  <si>
    <t>730 nm single-frequency DBR High Power Chip Architecture ($3750) with output power of 5-10 mW, in a Butterfly-ISO Package (+$3000), for a total unit cost of RFQ</t>
  </si>
  <si>
    <t>730 nm single-frequency DBR High Power Chip Architecture (RFQ) with output power of 5-10 mW, in a Butterfly-ISO Package (+$3000). Base chip architecture price and total unit cost are available upon request.</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</si>
  <si>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5-10 mW</t>
  </si>
  <si>
    <t xml:space="preserve">The Butterfly + Isolator package is the ideal package for the customer that needs fiber-coupling with excellent isolation for precision spectroscopy work. It is ideal for situations where free-space transmission isn't possible.  Note: Butterfly packages result in lower total output power due to fiber coupling efficiency losses and isolator absorption losses.  </t>
  </si>
  <si>
    <t>730DBRH-CM</t>
  </si>
  <si>
    <t>40-80</t>
  </si>
  <si>
    <t>High Power (40-80 mW) RFQ</t>
  </si>
  <si>
    <t>CM</t>
  </si>
  <si>
    <t xml:space="preserve">C-Mount +$100  </t>
  </si>
  <si>
    <t>730 nm single-frequency DBR High Power Chip Architecture ($3750) with output power of 40-80 mW, in a C-Mount Package (+$100), for a total unit cost of RFQ</t>
  </si>
  <si>
    <t>730 nm single-frequency DBR High Power Chip Architecture (RFQ) with output power of 40-80 mW, in a C-Mount Package (+$100). Base chip architecture price and total unit cost are available upon request.</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</si>
  <si>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40-80 mW</t>
  </si>
  <si>
    <t xml:space="preserve">C-Mount features our chip on submount (CoS) directly attached to a copper-tungsten (CuW) heatsink for easy integration into macro-packaging efforts. Perfect for OEM integration where ambient environments are acceptable.  </t>
  </si>
  <si>
    <t>C-Mount.jpg</t>
  </si>
  <si>
    <t>C Mount</t>
  </si>
  <si>
    <t>Studio
Front
Top</t>
  </si>
  <si>
    <t>Studio-C-Mount.png|Front-C-Mount.png|Top-C-Mount.png</t>
  </si>
  <si>
    <t>730DBRH-CS</t>
  </si>
  <si>
    <t>CS</t>
  </si>
  <si>
    <t xml:space="preserve">Chip on Submount (CoS) </t>
  </si>
  <si>
    <t>730 nm single-frequency DBR High Power Chip Architecture ($3750) with output power of 40-80 mW, chip on submount, for a total unit cost of RFQ</t>
  </si>
  <si>
    <t>730 nm single-frequency DBR High Power Chip Architecture (RFQ) with output power of 40-80 mW, chip on submount. Base chip architecture price and total unit cost are available upon request.</t>
  </si>
  <si>
    <t xml:space="preserve">Chip on submount (CoS) is the most fundamental packaging option offered. The laser diode sits on a 2.8x3.8x0.5 mm^3 metallized submount. They are the perfect platform for designing your own package around and creative engineering.  </t>
  </si>
  <si>
    <t>CoS.jpg</t>
  </si>
  <si>
    <t>G4 TQS</t>
  </si>
  <si>
    <t>Studio-G4-TQS.png|Right-G4-TQS.png|Top-G4-TQS.png</t>
  </si>
  <si>
    <t>730DBRH-MHF-BF</t>
  </si>
  <si>
    <t>MHF</t>
  </si>
  <si>
    <t xml:space="preserve">Mode Hop Free (MHF) +$700 </t>
  </si>
  <si>
    <t>730 nm single-frequency DBR High Power Chip Architecture ($3750) with output power of 20-40 mW, Mode Hop Free Mounting (+$700), in a Butterfly Package (+$2500), for a total unit cost of RFQ</t>
  </si>
  <si>
    <t>The Butterfly package is the ideal package for the customer that needs fiber-coupling. It is ideal for situations where free-space transmission isn't possible.  Note: Butterfly packages result in lower total output power due to fiber coupling efficiency losses. The Mode-Hop Free (MHF) add-on is ideal for applications where tunability is critical, removing the mode-hops for consistent power and wavelength tuning by controlling current.</t>
  </si>
  <si>
    <t>730DBRH-MHF-BFISO</t>
  </si>
  <si>
    <t>730 nm single-frequency DBR High Power Chip Architecture ($3750) with output power of 5-10 mW, Mode Hop Free Mounting (+$700), in a Butterfly-ISO Package (+$3000), for a total unit cost of RFQ</t>
  </si>
  <si>
    <t>730 nm single-frequency DBR High Power Chip Architecture (RFQ) with output power of 5-10 mW, Mode Hop Free Mounting (+$700), in a Butterfly-ISO Package (+$3000). Base chip architecture price and total unit cost are available upon request.</t>
  </si>
  <si>
    <t>The Butterfly + Isolator package is the ideal package for the customer that needs fiber-coupling with excellent isolation for precision spectroscopy work. It is ideal for situations where free-space transmission isn't possible.  Note: Butterfly packages result in lower total output power due to fiber coupling efficiency losses and isolator absorption losses. The Mode-Hop Free (MHF) add-on is ideal for applications where tunability is critical, removing the mode-hops for consistent power and wavelength tuning by controlling current.</t>
  </si>
  <si>
    <t>730DBRH-MHF-CM</t>
  </si>
  <si>
    <t>730 nm single-frequency DBR High Power Chip Architecture ($3750) with output power of 40-80 mW, Mode Hop Free Mounting (+$700), in a C-Mount Package (+$100), for a total unit cost of RFQ</t>
  </si>
  <si>
    <t>730 nm single-frequency DBR High Power Chip Architecture (RFQ) with output power of 40-80 mW, Mode Hop Free Mounting (+$700), in a C-Mount Package (+$100). Base chip architecture price and total unit cost are available upon request.</t>
  </si>
  <si>
    <t>C-Mount features our chip on submount (CoS) directly attached to a copper-tungsten (CuW) heatsink for easy integration into macro-packaging efforts. Perfect for OEM integration where ambient environments are acceptable. The Mode-Hop Free (MHF) add-on is ideal for applications where tunability is critical, removing the mode-hops for consistent power and wavelength tuning by controlling current.</t>
  </si>
  <si>
    <t>730DBRH-MHF-CS</t>
  </si>
  <si>
    <t>730 nm single-frequency DBR High Power Chip Architecture ($3750) with output power of 40-80 mW, Mode Hop Free Mounting (+$700), chip on submount, for a total unit cost of RFQ</t>
  </si>
  <si>
    <t>730 nm single-frequency DBR High Power Chip Architecture (RFQ) with output power of 40-80 mW, Mode Hop Free Mounting (+$700), chip on submount. Base chip architecture price and total unit cost are available upon request.</t>
  </si>
  <si>
    <t>Chip on submount (CoS) is the most fundamental packaging option offered. The laser diode sits on a 2.8x3.8x0.5 mm^3 metallized submount. They are the perfect platform for designing your own package around and creative engineering. The Mode-Hop Free (MHF) add-on is ideal for applications where tunability is critical, removing the mode-hops for consistent power and wavelength tuning by controlling current.</t>
  </si>
  <si>
    <t>CoS-MHF.jpg</t>
  </si>
  <si>
    <t>G4 TQMHF</t>
  </si>
  <si>
    <t>Studio-G4-TQMHF.png|Right-G4-TQMHF.png|Top-G4-TQMHF.png</t>
  </si>
  <si>
    <t>730DBRH-MHF-TO8</t>
  </si>
  <si>
    <t>TO8</t>
  </si>
  <si>
    <t>TO-8 +$500</t>
  </si>
  <si>
    <t>730 nm single-frequency DBR High Power Chip Architecture ($3750) with output power of 40-80 mW, Mode Hop Free Mounting (+$700), in a TO-8 Package (+$500), for a total unit cost of RFQ</t>
  </si>
  <si>
    <t>730 nm single-frequency DBR High Power Chip Architecture (RFQ) with output power of 40-80 mW, Mode Hop Free Mounting (+$700), in a TO-8 Package (+$500). Base chip architecture price and total unit cost are available upon request.</t>
  </si>
  <si>
    <t>The TO-8 package include every optional package add on, thermoelectric cooler (TEC), photodiode, and thermistor in one convienent package with optional hermetic sealing. This is one of the best packages for OEM integration where protection from ambient is important and on-chip information is critical. The Mode-Hop Free (MHF) add-on is ideal for applications where tunability is critical, removing the mode-hops for consistent power and wavelength tuning by controlling current.</t>
  </si>
  <si>
    <t>TO-8.jpg</t>
  </si>
  <si>
    <t>Studio-TO8.png|Right-TO8.png|Top-TO8.png</t>
  </si>
  <si>
    <t>730DBRH-MHF-TOSA</t>
  </si>
  <si>
    <t>TOSA</t>
  </si>
  <si>
    <t>Transmitter Optical Subassembly (TOSA) +$500</t>
  </si>
  <si>
    <t>730 nm single-frequency DBR High Power Chip Architecture ($3750) with output power of 40-80 mW, Mode Hop Free Mounting (+$700), in a TOSA Package (+$500), for a total unit cost of RFQ</t>
  </si>
  <si>
    <t>730 nm single-frequency DBR High Power Chip Architecture (RFQ) with output power of 40-80 mW, Mode Hop Free Mounting (+$700), in a TOSA Package (+$500). Base chip architecture price and total unit cost are available upon request.</t>
  </si>
  <si>
    <t>The Transmitter Optical Subassembly (TOSA) package comes with a thermoelectric cooler (TEC) and thermistor in a small package with a flexible ribbon cable to ready out the on-chip information. TOSAs come hermetically sealed and are great for all applications. The Mode-Hop Free (MHF) add-on is ideal for applications where tunability is critical, removing the mode-hops for consistent power and wavelength tuning by controlling current.</t>
  </si>
  <si>
    <t>TOSA.jpg</t>
  </si>
  <si>
    <t>Studio-TOSA.png|Front-TOSA.png|Top-TOSA.png</t>
  </si>
  <si>
    <t>730DBRH-TO8</t>
  </si>
  <si>
    <t>730 nm single-frequency DBR High Power Chip Architecture ($3750) with output power of 40-80 mW, in a TO-8 Package (+$500), for a total unit cost of RFQ</t>
  </si>
  <si>
    <t>730 nm single-frequency DBR High Power Chip Architecture (RFQ) with output power of 40-80 mW, in a TO-8 Package (+$500). Base chip architecture price and total unit cost are available upon request.</t>
  </si>
  <si>
    <t xml:space="preserve">The TO-8 package include every optional package add on, thermoelectric cooler (TEC), photodiode, and thermistor in one convienent package with optional hermetic sealing. This is one of the best packages for OEM integration where protection from ambient is important and on-chip information is critical.  </t>
  </si>
  <si>
    <t>730DBRH-TOSA</t>
  </si>
  <si>
    <t>730 nm single-frequency DBR High Power Chip Architecture ($3750) with output power of 40-80 mW, in a TOSA Package (+$500), for a total unit cost of RFQ</t>
  </si>
  <si>
    <t>730 nm single-frequency DBR High Power Chip Architecture (RFQ) with output power of 40-80 mW, in a TOSA Package (+$500). Base chip architecture price and total unit cost are available upon request.</t>
  </si>
  <si>
    <t xml:space="preserve">The Transmitter Optical Subassembly (TOSA) package comes with a thermoelectric cooler (TEC) and thermistor in a small package with a flexible ribbon cable to ready out the on-chip information. TOSAs come hermetically sealed and are great for all applications.  </t>
  </si>
  <si>
    <t>1036DBRL-DEC-CS</t>
  </si>
  <si>
    <t>1036</t>
  </si>
  <si>
    <t>L</t>
  </si>
  <si>
    <t>40-180</t>
  </si>
  <si>
    <t>Low Power (40-180 mW) $2,750</t>
  </si>
  <si>
    <t>DEC</t>
  </si>
  <si>
    <t>Direct-Edge Coupling (DEC) +$100</t>
  </si>
  <si>
    <t>1036 nm single-frequency DBR Low Power Chip Architecture ($2750) with output power of 40-180 mW, Direct-Edge Coupling (DEC) (+$100), chip on submount, for a total unit cost of $2850</t>
  </si>
  <si>
    <t>Scientific Research
Spectroscopy</t>
  </si>
  <si>
    <t>The 1036 nm DBR Series of high-performance edge-emitting laser diodes are based on Photodigm’s advanced monolithic single-frequency Gallium Arsenide (GaAs) based laser technology. It provides a single spatial mode beam and has passivated facets for reliability. The 1036 nm Series DBR devices are used in frequency doubling applications as a low-noise optical pump source.</t>
  </si>
  <si>
    <t>1036 DBR Specification Sheet 11-2-23.pdf</t>
  </si>
  <si>
    <t>This laser diode is based on Photodigm's proprietary Distributed Bragg Reflector (DBR) design. It is augmented by the Low Power laser diode architecture, a product designed for applications where low threshold currents are desired and power output isn't application critical. Power output is between  40-180 mW</t>
  </si>
  <si>
    <t>Chip on submount (CoS) is the most fundamental packaging option offered. The laser diode sits on a 3.8x2.8x0.5 mm^3 metallized submount. They are the perfect platform for designing your own package around and creative engineering.
This product also features Direct Edge-Coupling (DEC), where the gain chip overhangs slightly by +20 microns for easy butt-coupling to Photonic Integrated Circuits (PICs). DEC has the precision of ± 3 microns positional placement with ± 1° rotational placement.</t>
  </si>
  <si>
    <t>737DBRH-BF</t>
  </si>
  <si>
    <t>737 nm single-frequency DBR High Power Chip Architecture ($3750) with output power of 20-40 mW, in a Butterfly Package (+$2500), for a total unit cost of RFQ</t>
  </si>
  <si>
    <t>737 nm single-frequency DBR High Power Chip Architecture (RFQ) with output power of 20-40 mW, in a Butterfly Package (+$2500). Base chip architecture price and total unit cost are available upon request.</t>
  </si>
  <si>
    <t>Quantum
Spectroscopy
Scientific Research</t>
  </si>
  <si>
    <t>The 737 nm DBR Series of high-performance edge-emitting laser diodes are based on Photodigm’s advanced monolithic single-frequency Gallium Arsenide (GaAs) based laser technology. It provides a single spatial mode beam and has passivated facets for reliability. The 737 nm Series DBR devices are used in NV-center research and optical-pumped magnetometry applications.</t>
  </si>
  <si>
    <t>737 DBR Specification Sheet 11-2-23.pdf</t>
  </si>
  <si>
    <t>737DBRH-BFISO</t>
  </si>
  <si>
    <t>737 nm single-frequency DBR High Power Chip Architecture ($3750) with output power of 5-10 mW, in a Butterfly-ISO Package (+$3000), for a total unit cost of RFQ</t>
  </si>
  <si>
    <t>737 nm single-frequency DBR High Power Chip Architecture (RFQ) with output power of 5-10 mW, in a Butterfly-ISOPackage (+$3000). Base chip architecture price and total unit cost are available upon request.</t>
  </si>
  <si>
    <t xml:space="preserve"> 737 DBR Specification Sheet 11-2-23.pdf</t>
  </si>
  <si>
    <t>737DBRH-CM</t>
  </si>
  <si>
    <t>737 nm single-frequency DBR High Power Chip Architecture ($3750) with output power of 40-80 mW, in a C-Mount Package (+$100), for a total unit cost of RFQ</t>
  </si>
  <si>
    <t>737 nm single-frequency DBR High Power Chip Architecture (RFQ) with output power of 40-80 mW, in a C-Mount Package (+$100). Base chip architecture price and total unit cost are available upon request.</t>
  </si>
  <si>
    <t>737DBRH-CS</t>
  </si>
  <si>
    <t>737 nm single-frequency DBR High Power Chip Architecture ($3750) with output power of 40-80 mW, chip on submount, for a total unit cost of RFQ</t>
  </si>
  <si>
    <t>737 nm single-frequency DBR High Power Chip Architecture (RFQ) with output power of 40-80 mW, chip on submount. Base chip architecture price and total unit cost are available upon request.</t>
  </si>
  <si>
    <t>737DBRH-MHF-BF</t>
  </si>
  <si>
    <t>737 nm single-frequency DBR High Power Chip Architecture ($3750) with output power of 20-40 mW, Mode Hop Free Mounting (+$700), in a Butterfly Package (+$2500), for a total unit cost of RFQ</t>
  </si>
  <si>
    <t>737 nm single-frequency DBR High Power Chip Architecture (RFQ) with output power of 20-40 mW, Mode Hop Free Mounting (+$700), in a Butterfly Package (+$2500). Base chip architecture price and total unit cost are available upon request.</t>
  </si>
  <si>
    <t>737DBRH-MHF-BFISO</t>
  </si>
  <si>
    <t>737 nm single-frequency DBR High Power Chip Architecture ($3750) with output power of 5-10 mW, Mode Hop Free Mounting (+$700), in a Butterfly-ISO Package (+$3000), for a total unit cost of RFQ</t>
  </si>
  <si>
    <t xml:space="preserve">737 nm single-frequency DBR High Power Chip Architecture (RFQ) with output power of 5-10 mW, Mode Hop Free Mounting (+$700), in a Butterfly-ISO Package (+$3000). Base chip architecture price and total unit cost are available upon request. </t>
  </si>
  <si>
    <t>737DBRH-MHF-CM</t>
  </si>
  <si>
    <t>737 nm single-frequency DBR High Power Chip Architecture ($3750) with output power of 40-80 mW, Mode Hop Free Mounting (+$700), in a C-Mount Package (+$100), for a total unit cost of RFQ</t>
  </si>
  <si>
    <t xml:space="preserve">737 nm single-frequency DBR High Power Chip Architecture (RFQ) with output power of 40-80 mW, Mode Hop Free Mounting (+$700), in a C-Mount Package (+$100). Base chip architecture price and total unit cost are available upon request. </t>
  </si>
  <si>
    <t>737DBRH-MHF-CS</t>
  </si>
  <si>
    <t>737 nm single-frequency DBR High Power Chip Architecture ($3750) with output power of 40-80 mW, Mode Hop Free Mounting (+$700), chip on submount, for a total unit cost of RFQ</t>
  </si>
  <si>
    <t xml:space="preserve">737 nm single-frequency DBR High Power Chip Architecture (RFQ) with output power of 40-80 mW, Mode Hop Free Mounting (+$700), chip on submount. Base chip architecture price and total unit cost are available upon request. </t>
  </si>
  <si>
    <t>737DBRH-MHF-TO8</t>
  </si>
  <si>
    <t>737 nm single-frequency DBR High Power Chip Architecture ($3750) with output power of 40-80 mW, Mode Hop Free Mounting (+$700), in a TO-8 Package (+$500), for a total unit cost of RFQ</t>
  </si>
  <si>
    <t xml:space="preserve">737 nm single-frequency DBR High Power Chip Architecture (RFQ) with output power of 40-80 mW, Mode Hop Free Mounting (+$700), in a TO-8 Package (+$500). Base chip architecture price and total unit cost are available upon request. </t>
  </si>
  <si>
    <t>737DBRH-MHF-TOSA</t>
  </si>
  <si>
    <t>737 nm single-frequency DBR High Power Chip Architecture ($3750) with output power of 40-80 mW, Mode Hop Free Mounting (+$700), in a TOSA Package (+$500), for a total unit cost of RFQ</t>
  </si>
  <si>
    <t xml:space="preserve">737 nm single-frequency DBR High Power Chip Architecture (RFQ) with output power of 40-80 mW, Mode Hop Free Mounting (+$700), in a TOSA Package (+$500). Base chip architecture price and total unit cost are available upon request. </t>
  </si>
  <si>
    <t>737DBRH-TO8</t>
  </si>
  <si>
    <t>737 nm single-frequency DBR High Power Chip Architecture ($3750) with output power of 40-80 mW, in a TO-8 Package (+$500), for a total unit cost of RFQ</t>
  </si>
  <si>
    <t xml:space="preserve">737 nm single-frequency DBR High Power Chip Architecture (RFQ) with output power of 40-80 mW, in a TO-8 Package (+$500). Base chip architecture price and total unit cost are available upon request. </t>
  </si>
  <si>
    <t>737DBRH-TOSA</t>
  </si>
  <si>
    <t>737 nm single-frequency DBR High Power Chip Architecture ($3750) with output power of 40-80 mW, in a TOSA Package (+$500), for a total unit cost of RFQ</t>
  </si>
  <si>
    <t xml:space="preserve">737 nm single-frequency DBR High Power Chip Architecture (RFQ) with output power of 40-80 mW, in a TOSA Package (+$500). Base chip architecture price and total unit cost are available upon request. </t>
  </si>
  <si>
    <t>1039DBRL-DEC-CS</t>
  </si>
  <si>
    <t>1039</t>
  </si>
  <si>
    <t>1039 nm single-frequency DBR Low Power Chip Architecture ($2750) with output power of 40-180 mW, Direct-Edge Coupling (DEC) (+$100), chip on submount, for a total unit cost of $2850</t>
  </si>
  <si>
    <t>Scientific Research
Spectroscopy
Materials Characterization</t>
  </si>
  <si>
    <t>The 1039 nm DBR Series of high-performance edge-emitting laser diodes are based on Photodigm’s advanced monolithic single-frequency Gallium Arsenide (GaAs) based laser technology. It provides a single spatial mode beam and has passivated facets for reliability. The 1039 nm Series DBR devices are used in as a low noise nitrogen-vacancy (NV) center probe when frequency doubled.</t>
  </si>
  <si>
    <t>1039 DBR Specification Sheet 11-2-23.pdf</t>
  </si>
  <si>
    <t>739DBRH-BF</t>
  </si>
  <si>
    <t>739 nm single-frequency DBR High Power Chip Architecture ($3750) with output power of 20-40 mW, in a Butterfly Package (+$2500), for a total unit cost of RFQ</t>
  </si>
  <si>
    <t xml:space="preserve">737 nm single-frequency DBR High Power Chip Architecture (RFQ) with output power of 20-40 mW, in a Butterfly Package (+$2500). Base chip architecture price and total unit cost are available upon request. </t>
  </si>
  <si>
    <t>The 739 nm DBR Series of high-performance edge-emitting laser diodes are based on Photodigm’s advanced monolithic single-frequency Gallium Arsenide (GaAs) based laser technology. It provides a single spatial mode beam and has passivated facets for reliability. The 739 nm Series DBR devices are used in atomic spectroscopy for ytterbium-based (Yb) applications.</t>
  </si>
  <si>
    <t>739 DBR Specification Sheet 11.2.23.pdf</t>
  </si>
  <si>
    <t>739DBRH-BFISO</t>
  </si>
  <si>
    <t>739 nm single-frequency DBR High Power Chip Architecture ($3750) with output power of 5-10 mW, in a Butterfly-ISO Package (+$3000), for a total unit cost of RFQ</t>
  </si>
  <si>
    <t xml:space="preserve">739 nm single-frequency DBR High Power Chip Architecture (RFQ) with output power of 5-10 mW, in a Butterfly Package (+$3000). Base chip architecture price and total unit cost are available upon request. </t>
  </si>
  <si>
    <t>739DBRH-CM</t>
  </si>
  <si>
    <t>739 nm single-frequency DBR High Power Chip Architecture ($3750) with output power of 40-80 mW, in a C-Mount Package (+$100), for a total unit cost of RFQ</t>
  </si>
  <si>
    <t>739 nm single-frequency DBR High Power Chip Architecture (RFQ) with output power of 40-80 mW, in a C-Mount Package (+$100). Base chip architecture price and total unit cost are available upon request.</t>
  </si>
  <si>
    <t>739DBRH-CS</t>
  </si>
  <si>
    <t>739 nm single-frequency DBR High Power Chip Architecture ($3750) with output power of 40-80 mW, chip on submount, for a total unit cost of RFQ</t>
  </si>
  <si>
    <t>739 nm single-frequency DBR High Power Chip Architecture ($3750) with output power of 40-80 mW, chip on submount.Base chip architecture price and total unit cost are available upon request.</t>
  </si>
  <si>
    <t>739DBRH-MHF-BF</t>
  </si>
  <si>
    <t>739 nm single-frequency DBR High Power Chip Architecture ($3750) with output power of 20-40 mW, Mode Hop Free Mounting (+$700), in a Butterfly Package (+$2500), for a total unit cost of RFQ</t>
  </si>
  <si>
    <t>739 nm single-frequency DBR High Power Chip Architecture (RFQ) with output power of 40-80 mW, Mode Hop Free Mounting (+$700), in.a Butterfly Package (+$2500).Base chip architecture price and total unit cost are available upon request.</t>
  </si>
  <si>
    <t>739DBRH-MHF-BFISO</t>
  </si>
  <si>
    <t>739 nm single-frequency DBR High Power Chip Architecture ($3750) with output power of 5-10 mW, Mode Hop Free Mounting (+$700), in a Butterfly-ISO Package (+$3000), for a total unit cost of RFQ</t>
  </si>
  <si>
    <t>739 nm single-frequency DBR High Power Chip Architecture (RFQ) with output power of 5-10 mW, Mode Hop Free Mounting (+$700), in a Butterfly-ISO Package (+$3000). Base chip architecture price and total unit cost are available upon request.</t>
  </si>
  <si>
    <t>739DBRH-MHF-CM</t>
  </si>
  <si>
    <t>739 nm single-frequency DBR High Power Chip Architecture ($3750) with output power of 40-80 mW, Mode Hop Free Mounting (+$700), in a C-Mount Package (+$100), for a total unit cost of RFQ</t>
  </si>
  <si>
    <t>739 nm single-frequency DBR High Power Chip Architecture (RFQ) with output power of 40-80 mW, Mode Hop Free Mounting (+$700), in a C-Mount Package (+$100). Base chip architecture price and total unit cost are available upon request.</t>
  </si>
  <si>
    <t>739DBRH-MHF-CS</t>
  </si>
  <si>
    <t>739 nm single-frequency DBR High Power Chip Architecture ($3750) with output power of 40-80 mW, Mode Hop Free Mounting (+$700), chip on submount, for a total unit cost of RFQ</t>
  </si>
  <si>
    <t>739 nm single-frequency DBR High Power Chip Architecture (RFQ) with output power of 40-80 mW, Mode Hop Free Mounting (+$700), chip on submount. Base chip architecture price and total unit cost are available upon request.</t>
  </si>
  <si>
    <t>739DBRH-MHF-TO8</t>
  </si>
  <si>
    <t>739 nm single-frequency DBR High Power Chip Architecture ($3750) with output power of 40-80 mW, Mode Hop Free Mounting (+$700), in a TO-8 Package (+$500), for a total unit cost of RFQ</t>
  </si>
  <si>
    <t>739 nm single-frequency DBR High Power Chip Architecture (RFQ) with output power of 40-80 mW, Mode Hop Free Mounting (+$700), in a TO-8 Package (+$500). Base chip architecture price and total unit cost are available upon request.</t>
  </si>
  <si>
    <t>739DBRH-MHF-TOSA</t>
  </si>
  <si>
    <t>739 nm single-frequency DBR High Power Chip Architecture ($3750) with output power of 40-80 mW, Mode Hop Free Mounting (+$700), in a TOSA Package (+$500), for a total unit cost of RFQ</t>
  </si>
  <si>
    <t>739 nm single-frequency DBR High Power Chip Architecture (RFQ) with output power of 40-80 mW, Mode Hop Free Mounting (+$700), in a TOSA Package (+$500). Base chip architecture price and total unit cost are available upon request.</t>
  </si>
  <si>
    <t>739DBRH-TO8</t>
  </si>
  <si>
    <t>739 nm single-frequency DBR High Power Chip Architecture ($3750) with output power of 40-80 mW, in a TO-8 Package (+$500), for a total unit cost of RFQ</t>
  </si>
  <si>
    <t>739 nm single-frequency DBR High Power Chip Architecture (RFQ) with output power of 40-80 mW, in a TO-8 Package (+$500). Base chip architecture price and total unit cost are available upon request.</t>
  </si>
  <si>
    <t>739DBRH-TOSA</t>
  </si>
  <si>
    <t>739 nm single-frequency DBR High Power Chip Architecture ($3750) with output power of 40-80 mW, in a TOSA Package (+$500), for a total unit cost of RFQ</t>
  </si>
  <si>
    <t>739 nm single-frequency DBR High Power Chip Architecture (RFQ) with output power of 40-80 mW, in a TOSA Package (+$500). Base chip architecture price and total unit cost are available upon request.</t>
  </si>
  <si>
    <t>1064DBRH-DEC-CS</t>
  </si>
  <si>
    <t>1064</t>
  </si>
  <si>
    <t>100-350</t>
  </si>
  <si>
    <t>High Power (100-350 mW) $3,750</t>
  </si>
  <si>
    <t>1064 nm single-frequency DBR High Power Chip Architecture ($3750) with output power of 100-350 mW, Direct-Edge Coupling (DEC) (+$100), chip on submount, for a total unit cost of $3850</t>
  </si>
  <si>
    <t>The 1064 nm DBR Series of high-performance edge-emitting laser diodes are based on Photodigm’s advanced monolithic single-frequency Gallium Arsenide (GaAs) based laser technology. It provides a single spatial mode beam and has passivated facets for reliability. The 1064 nm Series DBR devices are used in frequency doubling applications as a low-noise optical pump source.</t>
  </si>
  <si>
    <t>1064 DBR Specification Sheet 11.2.23.pdf</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</si>
  <si>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100-350 mW</t>
  </si>
  <si>
    <t>760DBRH-BF</t>
  </si>
  <si>
    <t>20-30</t>
  </si>
  <si>
    <t>High Power (20-30 mW) $3,750</t>
  </si>
  <si>
    <t>760 nm single-frequency DBR High Power Chip Architecture ($3750) with output power of 20-30 mW, in a Butterfly Package (+$2500), for a total unit cost of $6250</t>
  </si>
  <si>
    <t>Remote-Sensing/LiDAR
Spectroscopy</t>
  </si>
  <si>
    <t>The 760 nm DBR Series of high-performance edge-emitting laser diodes are based on Photodigm’s advanced monolithic single-frequency Gallium Arsenide (GaAs) based laser technology. It provides a single spatial mode beam and has passivated facets for reliability. The 760 nm Series DBR devices are used in O2 sensing, LiDAR, and remote-sensing applications.</t>
  </si>
  <si>
    <t>760 DBR Specification Sheet 11-2-23.pdf</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</si>
  <si>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20-30 mW</t>
  </si>
  <si>
    <t>760DBRH-BFISO</t>
  </si>
  <si>
    <t>High Power (5-10 mW) $3,750</t>
  </si>
  <si>
    <t>760 nm single-frequency DBR High Power Chip Architecture ($3750) with output power of 5-10 mW, in a Butterfly-ISO Package (+$3000), for a total unit cost of $6750</t>
  </si>
  <si>
    <t>760DBRH-CM</t>
  </si>
  <si>
    <t>40-60</t>
  </si>
  <si>
    <t>High Power (40-60 mW) $3,750</t>
  </si>
  <si>
    <t>760 nm single-frequency DBR High Power Chip Architecture ($3750) with output power of 40-60 mW, in a C-Mount Package (+$100), for a total unit cost of $3850</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</si>
  <si>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40-60 mW</t>
  </si>
  <si>
    <t>760DBRH-CS</t>
  </si>
  <si>
    <t>760 nm single-frequency DBR High Power Chip Architecture ($3750) with output power of 40-60 mW, chip on submount, for a total unit cost of $3750</t>
  </si>
  <si>
    <t>760DBRH-L-CM</t>
  </si>
  <si>
    <t>Virtual Point Source Lens (VPS) +$700</t>
  </si>
  <si>
    <t>760 nm single-frequency DBR High Power Chip Architecture ($3750) with output power of 40-60 mW, Virtual Point Source (VPS) Lens (+$700), in a C-Mount Package (+$100), for a total unit cost of $4550</t>
  </si>
  <si>
    <t xml:space="preserve">C-Mount features our chip on submount (CoS) directly attached to a copper-tungsten (CuW) heatsink for easy integration into macro-packaging efforts. Perfect for OEM integration where ambient environments are acceptable. The Virtual Point Source (VPS) Lens add-on enables direct coupling of the light into additional optics, fiber optics, detectors, and more. </t>
  </si>
  <si>
    <t>760DBRH-L-CS</t>
  </si>
  <si>
    <t>760 nm single-frequency DBR High Power Chip Architecture ($3750) with output power of 40-60 mW, Virtual Point Source (VPS) Lens (+$700), chip on submount, for a total unit cost of $4450</t>
  </si>
  <si>
    <t xml:space="preserve">Chip on submount (CoS) is the most fundamental packaging option offered. The laser diode sits on a 2.8x3.8x0.5 mm^3 metallized submount. They are the perfect platform for designing your own package around and creative engineering. The Virtual Point Source (VPS) Lens add-on enables direct coupling of the light into additional optics, fiber optics, detectors, and more. </t>
  </si>
  <si>
    <t>CoS-L.jpg</t>
  </si>
  <si>
    <t>G4 TQS L</t>
  </si>
  <si>
    <t>Studio-G4-TQS-L.png|Right-G4-TQS-L.png|Top-G4-TQS-L.png</t>
  </si>
  <si>
    <t>760DBRH-L-TO8</t>
  </si>
  <si>
    <t>760 nm single-frequency DBR High Power Chip Architecture ($3750) with output power of 40-60 mW, Virtual Point Source (VPS) Lens (+$700), in a TO-8 Package (+$500) with an angled window cap, for a total unit cost of $4950</t>
  </si>
  <si>
    <t xml:space="preserve">The TO-8 package include every optional package add on, thermoelectric cooler (TEC), photodiode, and thermistor in one convienent package with optional hermetic sealing. This is one of the best packages for OEM integration where protection from ambient is important and on-chip information is critical. The Virtual Point Source (VPS) Lens add-on enables direct coupling of the light into additional optics, fiber optics, detectors, and more. </t>
  </si>
  <si>
    <t>760DBRH-L-TOSA</t>
  </si>
  <si>
    <t>760 nm single-frequency DBR High Power Chip Architecture ($3750) with output power of 40-60 mW, Virtual Point Source (VPS) Lens (+$700), in a TOSA Package (+$500), for a total unit cost of $4950</t>
  </si>
  <si>
    <t xml:space="preserve">The Transmitter Optical Subassembly (TOSA) package comes with a thermoelectric cooler (TEC) and thermistor in a small package with a flexible ribbon cable to ready out the on-chip information. TOSAs come hermetically sealed and are great for all applications. The Virtual Point Source (VPS) Lens add-on enables direct coupling of the light into additional optics, fiber optics, detectors, and more. </t>
  </si>
  <si>
    <t>760DBRH-MHF-BF</t>
  </si>
  <si>
    <t>760 nm single-frequency DBR High Power Chip Architecture ($3750) with output power of 20-30 mW, Mode Hop Free Mounting (+$700), in a Butterfly Package (+$2500), for a total unit cost of $6950</t>
  </si>
  <si>
    <t>760DBRH-MHF-BFISO</t>
  </si>
  <si>
    <t>760 nm single-frequency DBR High Power Chip Architecture ($3750) with output power of 5-10 mW, Mode Hop Free Mounting (+$700), in a Butterfly-ISO Package (+$3000), for a total unit cost of $7450</t>
  </si>
  <si>
    <t>760DBRH-MHF-CM</t>
  </si>
  <si>
    <t>760 nm single-frequency DBR High Power Chip Architecture ($3750) with output power of 40-60 mW, Mode Hop Free Mounting (+$700), in a C-Mount Package (+$100), for a total unit cost of $4550</t>
  </si>
  <si>
    <t>760DBRH-MHF-CS</t>
  </si>
  <si>
    <t>760 nm single-frequency DBR High Power Chip Architecture ($3750) with output power of 40-60 mW, Mode Hop Free Mounting (+$700), chip on submount, for a total unit cost of $4450</t>
  </si>
  <si>
    <t>760DBRH-MHF-TO8</t>
  </si>
  <si>
    <t>760 nm single-frequency DBR High Power Chip Architecture ($3750) with output power of 40-60 mW, Mode Hop Free Mounting (+$700), in a TO-8 Package (+$500), for a total unit cost of $4950</t>
  </si>
  <si>
    <t>760DBRH-MHF-TOSA</t>
  </si>
  <si>
    <t>760 nm single-frequency DBR High Power Chip Architecture ($3750) with output power of 40-60 mW, Mode Hop Free Mounting (+$700), in a TOSA Package (+$500), for a total unit cost of $4950</t>
  </si>
  <si>
    <t>760DBRH-MHFL-CM</t>
  </si>
  <si>
    <t>MHFL</t>
  </si>
  <si>
    <t xml:space="preserve">MHF + VPS +$1,400 </t>
  </si>
  <si>
    <t>760 nm single-frequency DBR High Power Chip Architecture ($3750) with output power of 40-60 mW, Mode Hop Free Mounting (+$700), Virtual Point Source (VPS) Lens (+$700), in a C-Mount Package (+$100), for a total unit cost of $5250</t>
  </si>
  <si>
    <t>C-Mount features our chip on submount (CoS) directly attached to a copper-tungsten (CuW) heatsink for easy integration into macro-packaging efforts. Perfect for OEM integration where ambient environments are acceptable. The combination of Mode-Hop Free (MHF) and Virtual Point Source (VPS) Lens provides a dynamic combination of consistent tunability across the power and wavelength range in a easy to direct couple package.</t>
  </si>
  <si>
    <t>760DBRH-MHFL-CS</t>
  </si>
  <si>
    <t>760 nm single-frequency DBR High Power Chip Architecture ($3750) with output power of 40-60 mW, Mode Hop Free Mounting (+$700), Virtual Point Source (VPS) Lens (+$700), chip on submount, for a total unit cost of $5150</t>
  </si>
  <si>
    <t>Chip on submount (CoS) is the most fundamental packaging option offered. The laser diode sits on a 2.8x3.8x0.5 mm^3 metallized submount. They are the perfect platform for designing your own package around and creative engineering. The combination of Mode-Hop Free (MHF) and Virtual Point Source (VPS) Lens provides a dynamic combination of consistent tunability across the power and wavelength range in a easy to direct couple package.</t>
  </si>
  <si>
    <t>CoS-MHFL.jpg</t>
  </si>
  <si>
    <t>G4 TQMHF L</t>
  </si>
  <si>
    <t>Studio-G4-TQMHF-L.png|Right-G4-TQMHF-L.png|Top-G4-TQMHF-L.png</t>
  </si>
  <si>
    <t>760DBRH-MHFL-TO8</t>
  </si>
  <si>
    <t>760 nm single-frequency DBR High Power Chip Architecture ($3750) with output power of 40-60 mW, Mode Hop Free Mounting (+$700), Virtual Point Source (VPS) Lens (+$700), in a TO-8 Package (+$500) with an angled window cap, for a total unit cost of $5650</t>
  </si>
  <si>
    <t>The TO-8 package include every optional package add on, thermoelectric cooler (TEC), photodiode, and thermistor in one convienent package with optional hermetic sealing. This is one of the best packages for OEM integration where protection from ambient is important and on-chip information is critical. The combination of Mode-Hop Free (MHF) and Virtual Point Source (VPS) Lens provides a dynamic combination of consistent tunability across the power and wavelength range in a easy to direct couple package.</t>
  </si>
  <si>
    <t>760DBRH-MHFL-TOSA</t>
  </si>
  <si>
    <t>760 nm single-frequency DBR High Power Chip Architecture ($3750) with output power of 40-60 mW, Mode Hop Free Mounting (+$700), Virtual Point Source (VPS) Lens (+$700), in a TOSA Package (+$500), for a total unit cost of $5650</t>
  </si>
  <si>
    <t>The Transmitter Optical Subassembly (TOSA) package comes with a thermoelectric cooler (TEC) and thermistor in a small package with a flexible ribbon cable to ready out the on-chip information. TOSAs come hermetically sealed and are great for all applications. The combination of Mode-Hop Free (MHF) and Virtual Point Source (VPS) Lens provides a dynamic combination of consistent tunability across the power and wavelength range in a easy to direct couple package.</t>
  </si>
  <si>
    <t>760DBRH-TO8</t>
  </si>
  <si>
    <t>760 nm single-frequency DBR High Power Chip Architecture ($3750) with output power of 40-60 mW, in a TO-8 Package (+$500), for a total unit cost of $4250</t>
  </si>
  <si>
    <t>760DBRH-TOSA</t>
  </si>
  <si>
    <t>760 nm single-frequency DBR High Power Chip Architecture ($3750) with output power of 40-60 mW, in a TOSA Package (+$500), for a total unit cost of $4250</t>
  </si>
  <si>
    <t>1064DBRL-DEC-CS</t>
  </si>
  <si>
    <t>1064 nm single-frequency DBR Low Power Chip Architecture ($2750) with output power of 40-180 mW, Direct-Edge Coupling (DEC) (+$100), chip on submount, for a total unit cost of $2850</t>
  </si>
  <si>
    <t>766.700DBRH-BF</t>
  </si>
  <si>
    <t>766.700</t>
  </si>
  <si>
    <t>High Power (20-40 mW) $3,750</t>
  </si>
  <si>
    <t>766.700 nm single-frequency DBR High Power Chip Architecture ($3750) with output power of 20-40 mW, in a Butterfly Package (+$2500), for a total unit cost of $6250</t>
  </si>
  <si>
    <t>Spectroscopy
Scientific Research</t>
  </si>
  <si>
    <t>The 766.700 nm DBR Series of high-performance edge-emitting laser diodes are based on Photodigm’s advanced monolithic single-frequency Gallium Arsenide (GaAs) based laser technology. It provides a single spatial mode beam and has passivated facets for reliability. The 766.700 nm Series DBR devices are used in atomic spectroscopy for potassium-based (K) applications. The 766.700 nm Series DBR devices are Spectroscopy Certified; guaranteed to hit the K D2 transition ± 10 °C from room temperature.</t>
  </si>
  <si>
    <t>766.700 DBR Specification Sheet 11-2-23.pdf</t>
  </si>
  <si>
    <t>766.700DBRH-BFISO</t>
  </si>
  <si>
    <t>10-20</t>
  </si>
  <si>
    <t>High Power (10-20 mW) $3,750</t>
  </si>
  <si>
    <t>766.700 nm single-frequency DBR High Power Chip Architecture ($3750) with output power of 10-20 mW, in a Butterfly-ISO Package (+$3000), for a total unit cost of $6750</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</si>
  <si>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10-20 mW</t>
  </si>
  <si>
    <t>766.700DBRH-CM</t>
  </si>
  <si>
    <t>High Power (40-80 mW) $3,750</t>
  </si>
  <si>
    <t>766.700 nm single-frequency DBR High Power Chip Architecture ($3750) with output power of 40-80 mW, in a C-Mount Package (+$100), for a total unit cost of $3850</t>
  </si>
  <si>
    <t>766.700DBRH-CS</t>
  </si>
  <si>
    <t>766.700 nm single-frequency DBR High Power Chip Architecture ($3750) with output power of 40-80 mW, chip on submount, for a total unit cost of $3750</t>
  </si>
  <si>
    <t>766.700DBRH-L-CM</t>
  </si>
  <si>
    <t>766.700 nm single-frequency DBR High Power Chip Architecture ($3750) with output power of 40-80 mW, Virtual Point Source (VPS) Lens (+$700), in a C-Mount Package (+$100), for a total unit cost of $4550</t>
  </si>
  <si>
    <t>766.700DBRH-L-CS</t>
  </si>
  <si>
    <t>766.700 nm single-frequency DBR High Power Chip Architecture ($3750) with output power of 40-80 mW, Virtual Point Source (VPS) Lens (+$700), chip on submount, for a total unit cost of $4450</t>
  </si>
  <si>
    <t>766.700DBRH-L-TO8</t>
  </si>
  <si>
    <t>766.700 nm single-frequency DBR High Power Chip Architecture ($3750) with output power of 40-80 mW, Virtual Point Source (VPS) Lens (+$700), in a TO-8 Package (+$500) with an angled window cap, for a total unit cost of $4950</t>
  </si>
  <si>
    <t>766.700DBRH-L-TOSA</t>
  </si>
  <si>
    <t>766.700 nm single-frequency DBR High Power Chip Architecture ($3750) with output power of 40-80 mW, Virtual Point Source (VPS) Lens (+$700), in a TOSA Package (+$500), for a total unit cost of $4950</t>
  </si>
  <si>
    <t>766.700DBRH-MHF-BF</t>
  </si>
  <si>
    <t>766.700 nm single-frequency DBR High Power Chip Architecture ($3750) with output power of 20-40 mW, Mode Hop Free Mounting (+$700), in a Butterfly Package (+$2500), for a total unit cost of $6950</t>
  </si>
  <si>
    <t>766.700DBRH-MHF-BFISO</t>
  </si>
  <si>
    <t>766.700 nm single-frequency DBR High Power Chip Architecture ($3750) with output power of 10-20 mW, Mode Hop Free Mounting (+$700), in a Butterfly-ISO Package (+$3000), for a total unit cost of $7450</t>
  </si>
  <si>
    <t>766.700DBRH-MHF-CM</t>
  </si>
  <si>
    <t>766.700 nm single-frequency DBR High Power Chip Architecture ($3750) with output power of 40-80 mW, Mode Hop Free Mounting (+$700), in a C-Mount Package (+$100), for a total unit cost of $4550</t>
  </si>
  <si>
    <t>766.700DBRH-MHF-CS</t>
  </si>
  <si>
    <t>766.700 nm single-frequency DBR High Power Chip Architecture ($3750) with output power of 40-80 mW, Mode Hop Free Mounting (+$700), chip on submount, for a total unit cost of $4450</t>
  </si>
  <si>
    <t>766.700DBRH-MHF-TO8</t>
  </si>
  <si>
    <t>766.700 nm single-frequency DBR High Power Chip Architecture ($3750) with output power of 40-80 mW, Mode Hop Free Mounting (+$700), in a TO-8 Package (+$500), for a total unit cost of $4950</t>
  </si>
  <si>
    <t>766.700DBRH-MHF-TOSA</t>
  </si>
  <si>
    <t>766.700 nm single-frequency DBR High Power Chip Architecture ($3750) with output power of 40-80 mW, Mode Hop Free Mounting (+$700), in a TOSA Package (+$500), for a total unit cost of $4950</t>
  </si>
  <si>
    <t>766.700DBRH-MHFL-CM</t>
  </si>
  <si>
    <t>766.700 nm single-frequency DBR High Power Chip Architecture ($3750) with output power of 40-80 mW, Mode Hop Free Mounting (+$700), Virtual Point Source (VPS) Lens (+$700), in a C-Mount Package (+$100), for a total unit cost of $5250</t>
  </si>
  <si>
    <t>766.700DBRH-MHFL-CS</t>
  </si>
  <si>
    <t>766.700 nm single-frequency DBR High Power Chip Architecture ($3750) with output power of 40-80 mW, Mode Hop Free Mounting (+$700), Virtual Point Source (VPS) Lens (+$700), chip on submount, for a total unit cost of $5150</t>
  </si>
  <si>
    <t>766.700DBRH-MHFL-TO8</t>
  </si>
  <si>
    <t>766.700 nm single-frequency DBR High Power Chip Architecture ($3750) with output power of 40-80 mW, Mode Hop Free Mounting (+$700), Virtual Point Source (VPS) Lens (+$700), in a TO-8 Package (+$500) with an angled window cap, for a total unit cost of $5650</t>
  </si>
  <si>
    <t>766.700DBRH-MHFL-TOSA</t>
  </si>
  <si>
    <t>MHF + VPS +$1,400</t>
  </si>
  <si>
    <t>766.700 nm single-frequency DBR High Power Chip Architecture ($3750) with output power of 40-80 mW, Mode Hop Free Mounting (+$700), Virtual Point Source (VPS) Lens (+$700), in a TOSA Package (+$500), for a total unit cost of $5650</t>
  </si>
  <si>
    <t>766.700DBRH-TO8</t>
  </si>
  <si>
    <t>766.700 nm single-frequency DBR High Power Chip Architecture ($3750) with output power of 40-80 mW, in a TO-8 Package (+$500), for a total unit cost of $4250</t>
  </si>
  <si>
    <t>766.700DBRH-TOSA</t>
  </si>
  <si>
    <t>766.700 nm single-frequency DBR High Power Chip Architecture ($3750) with output power of 40-80 mW, in a TOSA Package (+$500), for a total unit cost of $4250</t>
  </si>
  <si>
    <t>1080DBRL-DEC-CS</t>
  </si>
  <si>
    <t>1080</t>
  </si>
  <si>
    <t>1080 nm single-frequency DBR Low Power Chip Architecture ($2750) with output power of 40-180 mW, Direct-Edge Coupling (DEC) (+$100), chip on submount, for a total unit cost of $2850</t>
  </si>
  <si>
    <t>The 1080 nm DBR Series of high-performance edge-emitting laser diodes are based on Photodigm’s advanced monolithic single-frequency Gallium Arsenide (GaAs) based laser technology. It provides a single spatial mode beam and has passivated facets for reliability. The 1080 nm Series DBR devices are used in frequency doubling applications as a low-noise optical pump source.</t>
  </si>
  <si>
    <t>1080 DBR Specification Sheet 11-2-23.pdf</t>
  </si>
  <si>
    <t>770.108DBRH-BF</t>
  </si>
  <si>
    <t>770.108 nm single-frequency DBR High Power Chip Architecture ($3750) with output power of 20-30 mW, in a Butterfly Package (+$2500), for a total unit cost of $6250</t>
  </si>
  <si>
    <t>Spectroscopy
Quantum
Scientific Research</t>
  </si>
  <si>
    <t>The 770.108 nm DBR Series of high-performance edge-emitting laser diodes are based on Photodigm’s advanced monolithic single-frequency Gallium Arsenide (GaAs) based laser technology. It provides a single spatial mode beam and has passivated facets for reliability. The 770.108 nm Series DBR devices are used in atomic spectroscopy for potassium-based (K) applications. The 770.108 nm Series DBR devices are Spectroscopy Certified; guaranteed to hit the K D1 transition ± 10 °C from room temperature.</t>
  </si>
  <si>
    <t>770.108 DBR Specification Sheet 11.2.23.pdf</t>
  </si>
  <si>
    <t>770.108DBRH-BFISO</t>
  </si>
  <si>
    <t>770.108 nm single-frequency DBR High Power Chip Architecture ($3750) with output power of 10-20 mW, in a Butterfly-ISO Package (+$3000), for a total unit cost of $6750</t>
  </si>
  <si>
    <t>770.108DBRH-CM</t>
  </si>
  <si>
    <t>40-100</t>
  </si>
  <si>
    <t>High Power (40-100 mW) $3,750</t>
  </si>
  <si>
    <t>770.108 nm single-frequency DBR High Power Chip Architecture ($3750) with output power of 40-100 mW, in a C-Mount Package (+$100), for a total unit cost of $3850</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</si>
  <si>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40-100 mW</t>
  </si>
  <si>
    <t>770.108DBRH-CS</t>
  </si>
  <si>
    <t>770.108 nm single-frequency DBR High Power Chip Architecture ($3750) with output power of 40-100 mW, chip on submount, for a total unit cost of $3750</t>
  </si>
  <si>
    <t>770.108DBRH-L-CM</t>
  </si>
  <si>
    <t>770.108 nm single-frequency DBR High Power Chip Architecture ($3750) with output power of 40-100 mW, Virtual Point Source (VPS) Lens (+$700), in a C-Mount Package (+$100), for a total unit cost of $4550</t>
  </si>
  <si>
    <t>770.108DBRH-L-CS</t>
  </si>
  <si>
    <t>770.108 nm single-frequency DBR High Power Chip Architecture ($3750) with output power of 40-100 mW, Virtual Point Source (VPS) Lens (+$700), chip on submount, for a total unit cost of $4450</t>
  </si>
  <si>
    <t>770.108DBRH-L-TO8</t>
  </si>
  <si>
    <t>770.108 nm single-frequency DBR High Power Chip Architecture ($3750) with output power of 40-100 mW, Virtual Point Source (VPS) Lens (+$700), in a TO-8 Package (+$500) with an angled window cap, for a total unit cost of $4950</t>
  </si>
  <si>
    <t>770.108DBRH-L-TOSA</t>
  </si>
  <si>
    <t>770.108 nm single-frequency DBR High Power Chip Architecture ($3750) with output power of 40-100 mW, Virtual Point Source (VPS) Lens (+$700), in a TOSA Package (+$500), for a total unit cost of $4950</t>
  </si>
  <si>
    <t>770.108DBRH-MHF-BF</t>
  </si>
  <si>
    <t>770.108 nm single-frequency DBR High Power Chip Architecture ($3750) with output power of 20-30 mW, Mode Hop Free Mounting (+$700), in a Butterfly Package (+$2500), for a total unit cost of $6950</t>
  </si>
  <si>
    <t>770.108DBRH-MHF-BFISO</t>
  </si>
  <si>
    <t>770.108 nm single-frequency DBR High Power Chip Architecture ($3750) with output power of 10-20 mW, Mode Hop Free Mounting (+$700), in a Butterfly-ISO Package (+$3000), for a total unit cost of $7450</t>
  </si>
  <si>
    <t>770.108DBRH-MHF-CM</t>
  </si>
  <si>
    <t>770.108 nm single-frequency DBR High Power Chip Architecture ($3750) with output power of 40-100 mW, Mode Hop Free Mounting (+$700), in a C-Mount Package (+$100), for a total unit cost of $4550</t>
  </si>
  <si>
    <t>770.108DBRH-MHF-CS</t>
  </si>
  <si>
    <t>770.108 nm single-frequency DBR High Power Chip Architecture ($3750) with output power of 40-100 mW, Mode Hop Free Mounting (+$700), chip on submount, for a total unit cost of $4450</t>
  </si>
  <si>
    <t>770.108DBRH-MHF-TO8</t>
  </si>
  <si>
    <t>770.108 nm single-frequency DBR High Power Chip Architecture ($3750) with output power of 40-100 mW, Mode Hop Free Mounting (+$700), in a TO-8 Package (+$500), for a total unit cost of $4950</t>
  </si>
  <si>
    <t>770.108DBRH-MHF-TOSA</t>
  </si>
  <si>
    <t>770.108 nm single-frequency DBR High Power Chip Architecture ($3750) with output power of 40-100 mW, Mode Hop Free Mounting (+$700), in a TOSA Package (+$500), for a total unit cost of $4950</t>
  </si>
  <si>
    <t>770.108DBRH-MHFL-CM</t>
  </si>
  <si>
    <t>770.108 nm single-frequency DBR High Power Chip Architecture ($3750) with output power of 40-100 mW, Mode Hop Free Mounting (+$700), Virtual Point Source (VPS) Lens (+$700), in a C-Mount Package (+$100), for a total unit cost of $5250</t>
  </si>
  <si>
    <t>770.108DBRH-MHFL-CS</t>
  </si>
  <si>
    <t>770.108 nm single-frequency DBR High Power Chip Architecture ($3750) with output power of 40-100 mW, Mode Hop Free Mounting (+$700), Virtual Point Source (VPS) Lens (+$700), chip on submount, for a total unit cost of $5150</t>
  </si>
  <si>
    <t>770.108DBRH-MHFL-TO8</t>
  </si>
  <si>
    <t>770.108 nm single-frequency DBR High Power Chip Architecture ($3750) with output power of 40-100 mW, Mode Hop Free Mounting (+$700), Virtual Point Source (VPS) Lens (+$700), in a TO-8 Package (+$500) with an angled window cap, for a total unit cost of $5650</t>
  </si>
  <si>
    <t>770.108DBRH-MHFL-TOSA</t>
  </si>
  <si>
    <t>770.108 nm single-frequency DBR High Power Chip Architecture ($3750) with output power of 40-100 mW, Mode Hop Free Mounting (+$700), Virtual Point Source (VPS) Lens (+$700), in a TOSA Package (+$500), for a total unit cost of $5650</t>
  </si>
  <si>
    <t>770.108DBRH-TO8</t>
  </si>
  <si>
    <t>770.108 nm single-frequency DBR High Power Chip Architecture ($3750) with output power of 40-100 mW, in a TO-8 Package (+$500), for a total unit cost of $4250</t>
  </si>
  <si>
    <t>770.108DBRH-TOSA</t>
  </si>
  <si>
    <t>770.108 nm single-frequency DBR High Power Chip Architecture ($3750) with output power of 40-100 mW, in a TOSA Package (+$500), for a total unit cost of $4250</t>
  </si>
  <si>
    <t>1083.33DBRH-DEC-CS</t>
  </si>
  <si>
    <t>1083.33</t>
  </si>
  <si>
    <t>1083.33 nm single-frequency DBR High Power Chip Architecture ($3750) with output power of 100-350 mW, Direct-Edge Coupling (DEC) (+$100), chip on submount, for a total unit cost of $3850</t>
  </si>
  <si>
    <t>Quantum
Spectroscopy
Scientific Research
Metrology</t>
  </si>
  <si>
    <t>The 1083.33 nm DBR Series of high-performance edge-emitting laser diodes are based on Photodigm’s advanced monolithic single-frequency Gallium Arsenide (GaAs) based laser technology. It provides a single spatial mode beam and has passivated facets for reliability. The 1083.33 nm Series DBR devices are used in atomic spectroscopy for metastable Helium-based (He*) applications. The 1083.33 nm Series DBR devices are Spectroscopy Certified; guaranteed to hit the He*transition ± 10 °C from room temperature.</t>
  </si>
  <si>
    <t>1083.33 Specification Sheet 11-2-23.pdf</t>
  </si>
  <si>
    <t>776.061DBRH-BF</t>
  </si>
  <si>
    <t>776.061 nm single-frequency DBR High Power Chip Architecture ($3750) with output power of 20-40 mW, in a Butterfly Package (+$2500), for a total unit cost of RFQ</t>
  </si>
  <si>
    <t>776.061 nm single-frequency DBR High Power Chip Architecture (RFQ) with output power of 20-40 mW, in a Butterfly Package (+$2500). Base chip architecture price and total unit cost are available upon request.</t>
  </si>
  <si>
    <t>The 776.061 nm DBR Series of high-performance edge-emitting laser diodes are based on Photodigm’s advanced monolithic single-frequency Gallium Arsenide (GaAs) based laser technology. It provides a single spatial mode beam and has passivated facets for reliability. The 776.061 nm Series DBR devices are used in atomic spectroscopy for rubidium-based (Rb) applications. The 778.105 nm Series DBR devices are Spectroscopy Certified; guaranteed to hit the Rb two-photon transition ± 10 °C from room temperature.</t>
  </si>
  <si>
    <t>776.061 DBR Specification Sheet 12-6-23.pdf</t>
  </si>
  <si>
    <t>776.061DBRH-BFISO</t>
  </si>
  <si>
    <t>High Power (10-20 mW) RFQ</t>
  </si>
  <si>
    <t>776.061 nm single-frequency DBR High Power Chip Architecture ($3750) with output power of 10-20 mW, in a Butterfly-ISO Package (+$3000), for a total unit cost of RFQ</t>
  </si>
  <si>
    <t>776.061 nm single-frequency DBR High Power Chip Architecture (RFQ) with output power of 10-20 mW, in a Butterfly-ISO Package (+$3000). Base chip architecture price and total unit cost are available upon request.</t>
  </si>
  <si>
    <t>776.061DBRH-CM</t>
  </si>
  <si>
    <t>40-120</t>
  </si>
  <si>
    <t>High Power (40-120 mW) RFQ</t>
  </si>
  <si>
    <t>776.061 nm single-frequency DBR High Power Chip Architecture ($3750) with output power of 40-120 mW, in a C-Mount Package (+$100), for a total unit cost of RFQ</t>
  </si>
  <si>
    <t>776.061 nm single-frequency DBR High Power Chip Architecture (RFQ) with output power of 40-120 mW, in a C-Mount Package (+$100). Base chip architecture price and total unit cost are available upon request.</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</si>
  <si>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40-120 mW</t>
  </si>
  <si>
    <t>776.061DBRH-CS</t>
  </si>
  <si>
    <t>776.061 nm single-frequency DBR High Power Chip Architecture ($3750) with output power of 40-120 mW, chip on submount, for a total unit cost of RFQ</t>
  </si>
  <si>
    <t>776.061 nm single-frequency DBR High Power Chip Architecture (RFQ) with output power of 40-120 mW, chip on submount. Base chip architecture price and total unit cost are available upon request.</t>
  </si>
  <si>
    <t>776.061DBRH-L-CM</t>
  </si>
  <si>
    <t>776.061 nm single-frequency DBR High Power Chip Architecture ($3750) with output power of 40-120 mW, Virtual Point Source (VPS) Lens (+$700), in a C-Mount Package (+$100), for a total unit cost of RFQ</t>
  </si>
  <si>
    <t>776.061 nm single-frequency DBR High Power Chip Architecture (RFQ) with output power of 40-120 mW, Virtual Point Source (VPS) Lens (+$700), in a C-Mount Package (+$100). Base chip architecture price and total unit cost are available upon request.</t>
  </si>
  <si>
    <t>776.061DBRH-L-CS</t>
  </si>
  <si>
    <t>776.061 nm single-frequency DBR High Power Chip Architecture ($3750) with output power of 40-120 mW, Virtual Point Source (VPS) Lens (+$700), chip on submount, for a total unit cost of RFQ</t>
  </si>
  <si>
    <t>776.061 nm single-frequency DBR High Power Chip Architecture (RFQ) with output power of 40-120 mW, Virtual Point Source (VPS) Lens (+$700), chip on submount. Base chip architecture price and total unit cost are available upon request.</t>
  </si>
  <si>
    <t>776.061DBRH-L-TO8</t>
  </si>
  <si>
    <t>776.061 nm single-frequency DBR High Power Chip Architecture ($3750) with output power of 40-120 mW, Virtual Point Source (VPS) Lens (+$700), in a TO-8 Package (+$500) with an angled window cap, for a total unit cost of RFQ</t>
  </si>
  <si>
    <t>776.061 nm single-frequency DBR High Power Chip Architecture (RFQ) with output power of 40-120 mW, Virtual Point Source (VPS) Lens (+$700), in a TO-8 Package (+$500) with an angled window cap. Base chip architecture price and total unit cost are available upon request.</t>
  </si>
  <si>
    <t>776.061DBRH-L-TOSA</t>
  </si>
  <si>
    <t>776.061 nm single-frequency DBR High Power Chip Architecture ($3750) with output power of 40-120 mW, Virtual Point Source (VPS) Lens (+$700), in a TOSA Package (+$500), for a total unit cost of RFQ</t>
  </si>
  <si>
    <t>776.061 nm single-frequency DBR High Power Chip Architecture (RFQ) with output power of 40-120 mW, Virtual Point Source (VPS) Lens (+$700), in a TOSA Package (+$500). Base chip architecture price and total unit cost are available upon request.</t>
  </si>
  <si>
    <t>776.061DBRH-MHF-BF</t>
  </si>
  <si>
    <t>776.061 nm single-frequency DBR High Power Chip Architecture ($3750) with output power of 20-40 mW, Mode Hop Free Mounting (+$700), in a Butterfly Package (+$2500), for a total unit cost of RFQ</t>
  </si>
  <si>
    <t>776.061 nm single-frequency DBR High Power Chip Architecture (RFQ) with output power of 20-40 mW, Mode Hop Free Mounting (+$700), in a Butterfly Package (+$2500). Base chip architecture price and total unit cost are available upon request.</t>
  </si>
  <si>
    <t>776.061DBRH-MHF-BFISO</t>
  </si>
  <si>
    <t>776.061 nm single-frequency DBR High Power Chip Architecture ($3750) with output power of 10-20 mW, Mode Hop Free Mounting (+$700), in a Butterfly-ISO Package (+$3000), for a total unit cost of RFQ</t>
  </si>
  <si>
    <t>776.061 nm single-frequency DBR High Power Chip Architecture (RFQ) with output power of 10-20 mW, Mode Hop Free Mounting (+$700), in a Butterfly ISO Package (+$3000). Base chip architecture price and total unit cost are available upon request.</t>
  </si>
  <si>
    <t>776.061DBRH-MHF-CM</t>
  </si>
  <si>
    <t>776.061 nm single-frequency DBR High Power Chip Architecture ($3750) with output power of 40-120 mW, Mode Hop Free Mounting (+$700), in a C-Mount Package (+$100), for a total unit cost of RFQ</t>
  </si>
  <si>
    <t>776.061 nm single-frequency DBR High Power Chip Architecture (RFQ) with output power of 40-120 mW, Mode Hop Free Mounting (+$700), in a C-Mount Package (+$100). Base chip architecture price and total unit cost are available upon request.</t>
  </si>
  <si>
    <t>776.061DBRH-MHF-CS</t>
  </si>
  <si>
    <t>776.061 nm single-frequency DBR High Power Chip Architecture ($3750) with output power of 40-120 mW, Mode Hop Free Mounting (+$700), chip on submount, for a total unit cost of RFQ</t>
  </si>
  <si>
    <t>776.061 nm single-frequency DBR High Power Chip Architecture (RFQ) with output power of 40-120 mW, Mode Hop Free Mounting (+$700), chip on submount. Base chip architecture price and total unit cost are available upon request.</t>
  </si>
  <si>
    <t>776.061DBRH-MHF-TO8</t>
  </si>
  <si>
    <t>776.061 nm single-frequency DBR High Power Chip Architecture ($3750) with output power of 40-120 mW, Mode Hop Free Mounting (+$700), in a TO-8 Package (+$500), for a total unit cost of RFQ</t>
  </si>
  <si>
    <t>776.061 nm single-frequency DBR High Power Chip Architecture (RFQ) with output power of 40-120 mW, Mode Hop Free Mounting (+$700), in a TO-8 Package (+$500). Base chip architecture price and total unit cost are available upon request.</t>
  </si>
  <si>
    <t>776.061DBRH-MHF-TOSA</t>
  </si>
  <si>
    <t>776.061 nm single-frequency DBR High Power Chip Architecture ($3750) with output power of 40-120 mW, Mode Hop Free Mounting (+$700), in a TOSA Package (+$500), for a total unit cost of RFQ</t>
  </si>
  <si>
    <t>776.061 nm single-frequency DBR High Power Chip Architecture (RFQ) with output power of 40-120 mW, Mode Hop Free Mounting (+$700), in a TOSA Package (+$500). Base chip architecture price and total unit cost are available upon request.</t>
  </si>
  <si>
    <t>776.061DBRH-MHFL-CM</t>
  </si>
  <si>
    <t>776.061 nm single-frequency DBR High Power Chip Architecture ($3750) with output power of 40-120 mW, Mode Hop Free Mounting (+$700), Virtual Point Source (VPS) Lens (+$700), in a C-Mount Package (+$100), for a total unit cost of RFQ</t>
  </si>
  <si>
    <t>776.061 nm single-frequency DBR High Power Chip Architecture (RFQ) with output power of 40-120 mW, Mode Hop Free Mounting (+$700), Virtual Point Source (VPS) Lens (+$700), in a C-Mount Package (+$100). Base chip architecture price and total unit cost are available upon request.</t>
  </si>
  <si>
    <t>776.061DBRH-MHFL-CS</t>
  </si>
  <si>
    <t>776.061 nm single-frequency DBR High Power Chip Architecture ($3750) with output power of 40-120 mW, Mode Hop Free Mounting (+$700), Virtual Point Source (VPS) Lens (+$700), chip on submount, for a total unit cost of RFQ</t>
  </si>
  <si>
    <t>776.061 nm single-frequency DBR High Power Chip Architecture (RFQ) with output power of 40-120 mW, Mode Hop Free Mounting (+$700), Virtual Point Source (VPS) Lens (+$700), chip on submount. Base chip architecture price and total unit cost are available upon request.</t>
  </si>
  <si>
    <t>776.061DBRH-MHFL-TO8</t>
  </si>
  <si>
    <t>776.061 nm single-frequency DBR High Power Chip Architecture ($3750) with output power of 40-120 mW, Mode Hop Free Mounting (+$700), Virtual Point Source (VPS) Lens (+$700), in a TO-8 Package (+$500) with an angled window cap, for a total unit cost of RFQ</t>
  </si>
  <si>
    <t>776.061 nm single-frequency DBR High Power Chip Architecture (RFQ) with output power of 40-120 mW, Mode Hop Free Mounting (+$700), Virtual Point Source (VPS) Lens (+$700), in a TO-8 Package (+$500) with an angled window cap. Base chip architecture price and total unit cost are available upon request.</t>
  </si>
  <si>
    <t>776.061DBRH-MHFL-TOSA</t>
  </si>
  <si>
    <t>776.061 nm single-frequency DBR High Power Chip Architecture ($3750) with output power of 40-120 mW, Mode Hop Free Mounting (+$700), Virtual Point Source (VPS) Lens (+$700), in a TOSA Package (+$500), for a total unit cost of RFQ</t>
  </si>
  <si>
    <t>776.061 nm single-frequency DBR High Power Chip Architecture (RFQ) with output power of 40-120 mW, Mode Hop Free Mounting (+$700), Virtual Point Source (VPS) Lens (+$700), in a TOSA Package (+$500). Base chip architecture price and total unit cost are available upon request.</t>
  </si>
  <si>
    <t>776.061DBRH-TO8</t>
  </si>
  <si>
    <t>776.061 nm single-frequency DBR High Power Chip Architecture ($3750) with output power of 40-120 mW, in a TO-8 Package (+$500), for a total unit cost of RFQ</t>
  </si>
  <si>
    <t>776.061 nm single-frequency DBR High Power Chip Architecture (RFQ) with output power of 40-120 mW, in a TO-8 Package (+$500). Base chip architecture price and total unit cost are available upon request.</t>
  </si>
  <si>
    <t>776.061DBRH-TOSA</t>
  </si>
  <si>
    <t>776.061 nm single-frequency DBR High Power Chip Architecture ($3750) with output power of 40-120 mW, in a TOSA Package (+$500), for a total unit cost of RFQ</t>
  </si>
  <si>
    <t>776.061 nm single-frequency DBR High Power Chip Architecture (RFQ) with output power of 40-120 mW, in a TOSA Package (+$500). Base chip architecture price and total unit cost are available upon request.</t>
  </si>
  <si>
    <t>1083.33DBRL-DEC-CS</t>
  </si>
  <si>
    <t>Low Power (40-120 mW) $2,750</t>
  </si>
  <si>
    <t>1083.33 nm single-frequency DBR Low Power Chip Architecture ($2750) with output power of 40-120 mW, Direct-Edge Coupling (DEC) (+$100), chip on submount, for a total unit cost of $2850</t>
  </si>
  <si>
    <t>This laser diode is based on Photodigm's proprietary Distributed Bragg Reflector (DBR) design. It is augmented by the Low Power laser diode architecture, a product designed for applications where low threshold currents are desired and power output isn't application critical. Power output is between  40-120 mW</t>
  </si>
  <si>
    <t>778.105DBRH-BF</t>
  </si>
  <si>
    <t>778.105 nm single-frequency DBR High Power Chip Architecture ($3750) with output power of 40-80 mW, in a Butterfly Package (+$2500), for a total unit cost of $6250</t>
  </si>
  <si>
    <t>The 778.105 nm DBR Series of high-performance edge-emitting laser diodes are based on Photodigm’s advanced monolithic single-frequency Gallium Arsenide (GaAs) based laser technology. It provides a single spatial mode beam and has passivated facets for reliability. The 778.105 nm Series DBR devices are used in atomic spectroscopy for rubidium-based (Rb) applications. The 778.105 nm Series DBR devices are Spectroscopy Certified; guaranteed to hit the Rb two-photon transition ± 10 °C from room temperature.</t>
  </si>
  <si>
    <t>778.105 DBR Specification Sheet 11.2.23.pdf</t>
  </si>
  <si>
    <t>778.105DBRH-BFISO</t>
  </si>
  <si>
    <t>778.105 nm single-frequency DBR High Power Chip Architecture ($3750) with output power of 20-40 mW, in a Butterfly-ISO Package (+$3000), for a total unit cost of $6750</t>
  </si>
  <si>
    <t>778.105DBRH-CM</t>
  </si>
  <si>
    <t>80-180</t>
  </si>
  <si>
    <t>High Power (80-180 mW) $3,750</t>
  </si>
  <si>
    <t>778.105 nm single-frequency DBR High Power Chip Architecture ($3750) with output power of 80-180 mW, in a C-Mount Package (+$100), for a total unit cost of $3850</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</si>
  <si>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80-180 mW</t>
  </si>
  <si>
    <t>778.105DBRH-CS</t>
  </si>
  <si>
    <t>778.105 nm single-frequency DBR High Power Chip Architecture ($3750) with output power of 80-180 mW, chip on submount, for a total unit cost of $3750</t>
  </si>
  <si>
    <t>778.105DBRH-L-CM</t>
  </si>
  <si>
    <t>778.105 nm single-frequency DBR High Power Chip Architecture ($3750) with output power of 80-180 mW, Virtual Point Source (VPS) Lens (+$700), in a C-Mount Package (+$100), for a total unit cost of $4550</t>
  </si>
  <si>
    <t>778.105DBRH-L-CS</t>
  </si>
  <si>
    <t>778.105 nm single-frequency DBR High Power Chip Architecture ($3750) with output power of 80-180 mW, Virtual Point Source (VPS) Lens (+$700), chip on submount, for a total unit cost of $4450</t>
  </si>
  <si>
    <t>778.105DBRH-L-TO8</t>
  </si>
  <si>
    <t>778.105 nm single-frequency DBR High Power Chip Architecture ($3750) with output power of 80-180 mW, Virtual Point Source (VPS) Lens (+$700), in a TO-8 Package (+$500) with an angled window cap, for a total unit cost of $4950</t>
  </si>
  <si>
    <t>778.105DBRH-L-TOSA</t>
  </si>
  <si>
    <t>778.105 nm single-frequency DBR High Power Chip Architecture ($3750) with output power of 80-180 mW, Virtual Point Source (VPS) Lens (+$700), in a TOSA Package (+$500), for a total unit cost of $4950</t>
  </si>
  <si>
    <t>778.105DBRH-MHF-BF</t>
  </si>
  <si>
    <t>778.105 nm single-frequency DBR High Power Chip Architecture ($3750) with output power of 40-80 mW, Mode Hop Free Mounting (+$700), in a Butterfly Package (+$2500), for a total unit cost of $6950</t>
  </si>
  <si>
    <t>778.105DBRH-MHF-BFISO</t>
  </si>
  <si>
    <t>778.105 nm single-frequency DBR High Power Chip Architecture ($3750) with output power of 20-40 mW, Mode Hop Free Mounting (+$700), in a Butterfly-ISO Package (+$3000), for a total unit cost of $7450</t>
  </si>
  <si>
    <t>778.105DBRH-MHF-CM</t>
  </si>
  <si>
    <t>778.105 nm single-frequency DBR High Power Chip Architecture ($3750) with output power of 80-180 mW, Mode Hop Free Mounting (+$700), in a C-Mount Package (+$100), for a total unit cost of $4550</t>
  </si>
  <si>
    <t>778.105DBRH-MHF-CS</t>
  </si>
  <si>
    <t>778.105 nm single-frequency DBR High Power Chip Architecture ($3750) with output power of 80-180 mW, Mode Hop Free Mounting (+$700), chip on submount, for a total unit cost of $4450</t>
  </si>
  <si>
    <t>778.105DBRH-MHF-TO8</t>
  </si>
  <si>
    <t>778.105 nm single-frequency DBR High Power Chip Architecture ($3750) with output power of 80-180 mW, Mode Hop Free Mounting (+$700), in a TO-8 Package (+$500), for a total unit cost of $4950</t>
  </si>
  <si>
    <t>778.105DBRH-MHF-TOSA</t>
  </si>
  <si>
    <t>778.105 nm single-frequency DBR High Power Chip Architecture ($3750) with output power of 80-180 mW, Mode Hop Free Mounting (+$700), in a TOSA Package (+$500), for a total unit cost of $4950</t>
  </si>
  <si>
    <t>778.105DBRH-MHFL-CM</t>
  </si>
  <si>
    <t>778.105 nm single-frequency DBR High Power Chip Architecture ($3750) with output power of 80-180 mW, Mode Hop Free Mounting (+$700), Virtual Point Source (VPS) Lens (+$700), in a C-Mount Package (+$100), for a total unit cost of $5250</t>
  </si>
  <si>
    <t>778.105DBRH-MHFL-CS</t>
  </si>
  <si>
    <t>778.105 nm single-frequency DBR High Power Chip Architecture ($3750) with output power of 80-180 mW, Mode Hop Free Mounting (+$700), Virtual Point Source (VPS) Lens (+$700), chip on submount, for a total unit cost of $5150</t>
  </si>
  <si>
    <t>778.105DBRH-MHFL-TO8</t>
  </si>
  <si>
    <t>778.105 nm single-frequency DBR High Power Chip Architecture ($3750) with output power of 80-180 mW, Mode Hop Free Mounting (+$700), Virtual Point Source (VPS) Lens (+$700), in a TO-8 Package (+$500) with an angled window cap, for a total unit cost of $5650</t>
  </si>
  <si>
    <t>778.105DBRH-MHFL-TOSA</t>
  </si>
  <si>
    <t>778.105 nm single-frequency DBR High Power Chip Architecture ($3750) with output power of 80-180 mW, Mode Hop Free Mounting (+$700), Virtual Point Source (VPS) Lens (+$700), in a TOSA Package (+$500), for a total unit cost of $5650</t>
  </si>
  <si>
    <t>778.105DBRH-TO8</t>
  </si>
  <si>
    <t>778.105 nm single-frequency DBR High Power Chip Architecture ($3750) with output power of 80-180 mW, in a TO-8 Package (+$500), for a total unit cost of $4250</t>
  </si>
  <si>
    <t>778.105DBRH-TOSA</t>
  </si>
  <si>
    <t>778.105 nm single-frequency DBR High Power Chip Architecture ($3750) with output power of 80-180 mW, in a TOSA Package (+$500), for a total unit cost of $4250</t>
  </si>
  <si>
    <t>1090DBRL-DEC-CS</t>
  </si>
  <si>
    <t>1090</t>
  </si>
  <si>
    <t>1090 nm single-frequency DBR Low Power Chip Architecture ($2750) with output power of 40-180 mW, Direct-Edge Coupling (DEC) (+$100), chip on submount, for a total unit cost of $2850</t>
  </si>
  <si>
    <t>Scientific Research
Quantum
Spectroscopy</t>
  </si>
  <si>
    <t>The 1090 nm DBR Series of high-performance edge-emitting laser diodes are based on Photodigm’s advanced monolithic single-frequency Gallium Arsenide (GaAs) based laser technology. It provides a single spatial mode beam and has passivated facets for reliability. The 1090 nm Series DBR devices are used in atomic spectroscopy for strontium-based (Sr) applications.</t>
  </si>
  <si>
    <t>1090 DBR Specification Sheet 11-2-23.pdf</t>
  </si>
  <si>
    <t>780DAF100-CS</t>
  </si>
  <si>
    <t>780</t>
  </si>
  <si>
    <t>Gain Chip</t>
  </si>
  <si>
    <t>DAF</t>
  </si>
  <si>
    <t>10-100</t>
  </si>
  <si>
    <t>Double-Angle Facet $800</t>
  </si>
  <si>
    <t>780 nm double-angle facet (DAF) gain chip ($800) with an amplification of 10-100 mW , in a Chip-on Submount (CoS) Package, for a total unit cost of $800</t>
  </si>
  <si>
    <t>All</t>
  </si>
  <si>
    <t xml:space="preserve">The 780 nm DAF Series of high-performance edge-emitting gain chip are based on Photodigm’s advanced monolithic Gallium Arsenide (GaAs) based laser technology. It provides a single spatial mode beam, a unique anti-reflective coating pair (&lt;3% AR both sides) and has passivated facets for reliability. The 780 nm Series DAF gain chip devices have an angled waveguide at the output facet to minimize internal reflections and are frequently used in applications to recover isolator and fiber insertion losses. </t>
  </si>
  <si>
    <t>780 DAF Specification Sheet Final.pdf</t>
  </si>
  <si>
    <t>This gain chip is based on Photodigm's proprietary single-mode ridgewaveguide design. It is augmented by the Double-Angle Facet architecture, a product designed with a diagonal waveguide to amplify laser light in a single-pass process. Amplification is between 10 - 100 mW</t>
  </si>
  <si>
    <t>Chip on submount (CoS) is the most fundamental packaging option offered. The laser diode sits on a 2.0x1.5x0.5 mm^3 metallized submount. They are the perfect platform for designing your own package around and creative engineering.</t>
  </si>
  <si>
    <t>Gain Chips -&gt; DAF CoS</t>
  </si>
  <si>
    <t>DAF CoS</t>
  </si>
  <si>
    <t>Studio-DaF-CoS.png|Right-DaF-CoS.png|Top-DaF-CoS.png</t>
  </si>
  <si>
    <t>780SAF100-CS-AE-DEC</t>
  </si>
  <si>
    <t>SAF</t>
  </si>
  <si>
    <t>Single-Angle Facet Angled Emission $800</t>
  </si>
  <si>
    <t>780 nm single-angle facet (SAF) gain chip ($800) with an amplification of 10-100 mW , in a Chip-on Submount (CoS) Package designed for Angled Emission (AE) with customized Direct Edge Coupling ($100), for a total unit cost of $900</t>
  </si>
  <si>
    <t xml:space="preserve">The 780 nm SAF Series of high-performance edge-emitting gain chips are based on Photodigm’s advanced monolithic Gallium Arsenide (GaAs) based laser technology. It provides a single spatial mode beam, a unique anti-reflective and highly reflective coating pair (&gt;90% HR, &lt;0.1% AR), and has passivated facets for reliability. The 780 nm Series SAF gain chip devices have a curved waveguide forming a 5° angle exit at the facet and are frequently used in applications involving external-cavity diode lasers (ECDLs). </t>
  </si>
  <si>
    <t>780 SAF Specification Sheet Final.pdf</t>
  </si>
  <si>
    <t>This gain chip is based on Photodigm's proprietary single-mode ridgewaveguide design. It is augmented by the Single-Angle Facet architecture, a product designed with a 5° curved waveguide to feedback amplified laser light in a dual-pass process. Amplification is between 10 - 100 mW</t>
  </si>
  <si>
    <t>Chip on submount (CoS) is the most fundamental packaging option offered. The laser diode sits on a 2.0x1.5x0.5 mm^3 metallized submount. They are the perfect platform for designing your own package around and creative engineering. This package holds the gain chip in a Angled-Emission (AE) orientation; where the gain chip is parallel to the submount edge and feedback light emits at a 17° relative to the submount front facet. 
This product also features Direct Edge-Coupling (DEC), where the gain chip overhangs slightly by +20 microns for easy butt-coupling to Photonic Integrated Circuits (PICs). DEC has the precision of ± 3 microns positional placement with ± 1° rotational placement.</t>
  </si>
  <si>
    <t>Gain Chips -&gt; SAF CoS AE</t>
  </si>
  <si>
    <t>SAF CoS AE</t>
  </si>
  <si>
    <t>Studio-SAF-CoS-AE.png|Right-SAF-CoS-AE.png|
Top-SAF-CoS-AE.png</t>
  </si>
  <si>
    <t>780SAF100-CS-DEC</t>
  </si>
  <si>
    <t>Single-Angle Facet Direct Emission $800</t>
  </si>
  <si>
    <t>780 nm single-angle facet (SAF) gain chip ($800) with an amplification of 10-100 mW , in a Chip-on Submount (CoS) Package designed for Direct Emission (DE), for a total unit cost of $800</t>
  </si>
  <si>
    <t xml:space="preserve">Chip on submount (CoS) is the most fundamental packaging option offered. The laser diode sits on a 2.0x1.5x0.5 mm^3 metallized submount. They are the perfect platform for designing your own package around and creative engineering. This package holds the gain chip in a Direct-Emission (DE) orientation; where the gain chip is angled relative to the submount front facet to feedback light perpendicular to the submount front facet. </t>
  </si>
  <si>
    <t>Gain Chips -&gt; SAF CoS DE</t>
  </si>
  <si>
    <t>SAF CoS DE</t>
  </si>
  <si>
    <t>Studio-SAF-CoS-DE.png|Right-SAF-CoS-DE.png|Top-SAF-CoS-DE.png</t>
  </si>
  <si>
    <t>780.241DBRH-BF</t>
  </si>
  <si>
    <t>780.241 nm single-frequency DBR High Power Chip Architecture ($3750) with output power of 40-80 mW, in a Butterfly Package (+$2500), for a total unit cost of $6250</t>
  </si>
  <si>
    <t>The 780.241 nm DBR Series of high-performance edge-emitting laser diodes are based on Photodigm’s advanced monolithic single-frequency Gallium Arsenide (GaAs) based laser technology. It provides a single spatial mode beam and has passivated facets for reliability. The 780.241 nm Series DBR devices are used in atomic spectroscopy for rubidium-based (Rb) applications. The 780.241 nm Series DBR devices are Spectroscopy Certified; guaranteed to hit the Rb D2 transition ± 10 °C from room temperature.</t>
  </si>
  <si>
    <t>780.241 DBR Specification Sheet 11.2.23.pdf</t>
  </si>
  <si>
    <t>780.241DBRH-BFISO</t>
  </si>
  <si>
    <t>780.241 nm single-frequency DBR High Power Chip Architecture ($3750) with output power of 20-40 mW, in a Butterfly-ISO Package (+$3000), for a total unit cost of $6750</t>
  </si>
  <si>
    <t>780.241DBRH-CM</t>
  </si>
  <si>
    <t>780.241 nm single-frequency DBR High Power Chip Architecture ($3750) with output power of 80-180 mW, in a C-Mount Package (+$100), for a total unit cost of $3850</t>
  </si>
  <si>
    <t>780.241DBRH-CS</t>
  </si>
  <si>
    <t>780.241 nm single-frequency DBR High Power Chip Architecture ($3750) with output power of 80-180 mW, chip on submount, for a total unit cost of $3750</t>
  </si>
  <si>
    <t>780.241DBRH-L-CM</t>
  </si>
  <si>
    <t>780.241 nm single-frequency DBR High Power Chip Architecture ($3750) with output power of 80-180 mW, Virtual Point Source (VPS) Lens (+$700), in a C-Mount Package (+$100), for a total unit cost of $4550</t>
  </si>
  <si>
    <t>780.241DBRH-L-CS</t>
  </si>
  <si>
    <t>780.241 nm single-frequency DBR High Power Chip Architecture ($3750) with output power of 80-180 mW, Virtual Point Source (VPS) Lens (+$700), chip on submount, for a total unit cost of $4450</t>
  </si>
  <si>
    <t>780.241DBRH-L-TO8</t>
  </si>
  <si>
    <t>780.241 nm single-frequency DBR High Power Chip Architecture ($3750) with output power of 80-180 mW, Virtual Point Source (VPS) Lens (+$700), in a TO-8 Package (+$500) with an angled window cap, for a total unit cost of $4950</t>
  </si>
  <si>
    <t>780.241DBRL-L-TOSA</t>
  </si>
  <si>
    <t>Low Power (40-80 mW) $2,750</t>
  </si>
  <si>
    <t>780.241 nm single-frequency DBR Low Power Chip Architecture ($2750) with output power of 40-80 mW, Virtual Point Source (VPS) Lens (+$700), in a TOSA Package (+$500), for a total unit cost of $3950</t>
  </si>
  <si>
    <t>This laser diode is based on Photodigm's proprietary Distributed Bragg Reflector (DBR) design. It is augmented by the Low Power laser diode architecture, a product designed for applications where low threshold currents are desired and power output isn't application critical. Power output is between  40-80 mW</t>
  </si>
  <si>
    <t>780.241DBRH-L-TOSA</t>
  </si>
  <si>
    <t>780.241 nm single-frequency DBR High Power Chip Architecture ($3750) with output power of 80-180 mW, Virtual Point Source (VPS) Lens (+$700), in a TOSA Package (+$500), for a total unit cost of $4950</t>
  </si>
  <si>
    <t>780.241DBRHOT-L-TOSA</t>
  </si>
  <si>
    <t>HOT</t>
  </si>
  <si>
    <t>10-30</t>
  </si>
  <si>
    <t>High Operating Temperature (10-30 mW) $4,250</t>
  </si>
  <si>
    <t>780.241 nm single-frequency DBR High Operating Temperature (HOT) Chip Architecture ($4250) with output power of 10-30 mW, Virtual Point Source (VPS) Lens (+$700), in a TOSA Package (+$500), for a total unit cost of $5450</t>
  </si>
  <si>
    <t>This laser diode is based on Photodigm's proprietary Distributed Bragg Reflector (DBR) design. It is augmented by the HOT laser diode architecture, a product specifically optimized for high operating temperature in applications where cooling the laser diode might be cumbersome. Power output is between  10-30 mW</t>
  </si>
  <si>
    <t>780.241DBRH-MHF-BF</t>
  </si>
  <si>
    <t>780.241 nm single-frequency DBR High Power Chip Architecture ($3750) with output power of 40-80 mW, Mode Hop Free Mounting (+$700), in a Butterfly Package (+$2500), for a total unit cost of $6950</t>
  </si>
  <si>
    <t>780.241DBRH-MHF-BFISO</t>
  </si>
  <si>
    <t>780.241 nm single-frequency DBR High Power Chip Architecture ($3750) with output power of 20-40 mW, Mode Hop Free Mounting (+$700), in a Butterfly-ISO Package (+$3000), for a total unit cost of $7450</t>
  </si>
  <si>
    <t>780.241DBRH-MHF-CM</t>
  </si>
  <si>
    <t>780.241 nm single-frequency DBR High Power Chip Architecture ($3750) with output power of 80-180 mW, Mode Hop Free Mounting (+$700), in a C-Mount Package (+$100), for a total unit cost of $4550</t>
  </si>
  <si>
    <t>780.241DBRH-MHF-CS</t>
  </si>
  <si>
    <t>780.241 nm single-frequency DBR High Power Chip Architecture ($3750) with output power of 80-180 mW, Mode Hop Free Mounting (+$700), chip on submount, for a total unit cost of $4450</t>
  </si>
  <si>
    <t>780.241DBRH-MHF-TO8</t>
  </si>
  <si>
    <t>780.241 nm single-frequency DBR High Power Chip Architecture ($3750) with output power of 80-180 mW, Mode Hop Free Mounting (+$700), in a TO-8 Package (+$500), for a total unit cost of $4950</t>
  </si>
  <si>
    <t>780.241DBRL-MHF-TOSA</t>
  </si>
  <si>
    <t>780.241 nm single-frequency DBR Low Power Chip Architecture ($2750) with output power of 40-80 mW, Mode Hop Free Mounting (+$700), in a TOSA Package (+$500), for a total unit cost of $3950</t>
  </si>
  <si>
    <t>780.241DBRH-MHF-TOSA</t>
  </si>
  <si>
    <t>780.241 nm single-frequency DBR High Power Chip Architecture ($3750) with output power of 80-180 mW, Mode Hop Free Mounting (+$700), in a TOSA Package (+$500), for a total unit cost of $4950</t>
  </si>
  <si>
    <t>780.241DBRH-MHFL-CM</t>
  </si>
  <si>
    <t>780.241 nm single-frequency DBR High Power Chip Architecture ($3750) with output power of 80-180 mW, Mode Hop Free Mounting (+$700), Virtual Point Source (VPS) Lens (+$700), in a C-Mount Package (+$100), for a total unit cost of $5250</t>
  </si>
  <si>
    <t>780.241DBRH-MHFL-CS</t>
  </si>
  <si>
    <t>780.241 nm single-frequency DBR High Power Chip Architecture ($3750) with output power of 80-180 mW, Mode Hop Free Mounting (+$700), Virtual Point Source (VPS) Lens (+$700), chip on submount, for a total unit cost of $5150</t>
  </si>
  <si>
    <t>780.241DBRH-MHFL-TO8</t>
  </si>
  <si>
    <t>780.241 nm single-frequency DBR High Power Chip Architecture ($3750) with output power of 80-180 mW, Mode Hop Free Mounting (+$700), Virtual Point Source (VPS) Lens (+$700), in a TO-8 Package (+$500) with an angled window cap, for a total unit cost of $5650</t>
  </si>
  <si>
    <t>780.241DBRL-MHFL-TOSA</t>
  </si>
  <si>
    <t>780.241 nm single-frequency DBR Low Power Chip Architecture ($2750) with output power of 40-80 mW, Mode Hop Free Mounting (+$700), Virtual Point Source (VPS) Lens (+$700), in a TOSA Package (+$500), for a total unit cost of $4650</t>
  </si>
  <si>
    <t>780.241DBRH-MHFL-TOSA</t>
  </si>
  <si>
    <t>780.241 nm single-frequency DBR High Power Chip Architecture ($3750) with output power of 80-180 mW, Mode Hop Free Mounting (+$700), Virtual Point Source (VPS) Lens (+$700), in a TOSA Package (+$500), for a total unit cost of $5650</t>
  </si>
  <si>
    <t>780.241DBRHOT-9M</t>
  </si>
  <si>
    <t>9M</t>
  </si>
  <si>
    <t xml:space="preserve">9MM +$150 </t>
  </si>
  <si>
    <t>780.241 nm single-frequency DBR High Operating Temperature (HOT) Chip Architecture ($4250) with output power of 10-30 mW, in a 9mm Package (+$150), for a total unit cost of $4400</t>
  </si>
  <si>
    <t xml:space="preserve">9MM is the ideal package for simple integration of a low-power part that is also hermetically sealed; shielding it from ambient conditions. Features 3 terminals with an optional photodiode.  </t>
  </si>
  <si>
    <t>9MM.jpg</t>
  </si>
  <si>
    <t>9MM</t>
  </si>
  <si>
    <t>Studio-9MM.png|Right-9MM.png|Top-9MM.png</t>
  </si>
  <si>
    <t>780.241DBRHOT-BF</t>
  </si>
  <si>
    <t>5-15</t>
  </si>
  <si>
    <t>High Operating Temperature (5-15 mW) $4,250</t>
  </si>
  <si>
    <t>780.241 nm single-frequency DBR High Operating Temperature (HOT) Chip Architecture ($4250) with output power of 5-15 mW, in a Butterfly Package (+$2500), for a total unit cost of $6750</t>
  </si>
  <si>
    <t>This laser diode is based on Photodigm's proprietary Distributed Bragg Reflector (DBR) design. It is augmented by the HOT laser diode architecture, a product specifically optimized for high operating temperature in applications where cooling the laser diode might be cumbersome. Power output is between  5-15 mW</t>
  </si>
  <si>
    <t>780.241DBRHOT-CM</t>
  </si>
  <si>
    <t>780.241 nm single-frequency DBR High Operating Temperature (HOT) Chip Architecture ($4250) with output power of 10-30 mW, in a C-Mount Package (+$100), for a total unit cost of $4350</t>
  </si>
  <si>
    <t>780.241DBRHOT-CS</t>
  </si>
  <si>
    <t>780.241 nm single-frequency DBR High Operating Temperature (HOT) Chip Architecture ($4250) with output power of 10-30 mW, chip on submount, for a total unit cost of $4250</t>
  </si>
  <si>
    <t>780.241DBRHOT-TO8</t>
  </si>
  <si>
    <t>780.241 nm single-frequency DBR High Operating Temperature (HOT) Chip Architecture ($4250) with output power of 10-30 mW, in a TO-8 Package (+$500), for a total unit cost of $4750</t>
  </si>
  <si>
    <t>Studio-TO8.png|Front-TO8.png|Top-TO8.png</t>
  </si>
  <si>
    <t>780.241DBRH-TO8</t>
  </si>
  <si>
    <t>780.241 nm single-frequency DBR High Power Chip Architecture ($3750) with output power of 80-180 mW, in a TO-8 Package (+$500), for a total unit cost of $4250</t>
  </si>
  <si>
    <t>780.241DBRL-TOSA</t>
  </si>
  <si>
    <t>Low Power (40-80 mW) $3,750</t>
  </si>
  <si>
    <t>780.241 nm single-frequency DBR Low Power Chip Architecture ($2750) with output power of 40-80 mW, in a TOSA Package (+$500), for a total unit cost of $3250</t>
  </si>
  <si>
    <t>780.241DBRH-TOSA</t>
  </si>
  <si>
    <t>780.241 nm single-frequency DBR High Power Chip Architecture ($3750) with output power of 80-180 mW, in a TOSA Package (+$500), for a total unit cost of $4250</t>
  </si>
  <si>
    <t>780.241DBRHOT-L-CM</t>
  </si>
  <si>
    <t>780.241 nm single-frequency DBR High Operating Temperature (HOT) Chip Architecture ($4250) with output power of 10-30 mW, Virtual Point Source (VPS) Lens (+$700), in a C-Mount Package (+$100), for a total unit cost of $5050</t>
  </si>
  <si>
    <t>780.241DBRHOT-L-CS</t>
  </si>
  <si>
    <t>780.241 nm single-frequency DBR High Operating Temperature (HOT) Chip Architecture ($4250) with output power of 10-30 mW, Virtual Point Source (VPS) Lens (+$700), chip on submount, for a total unit cost of $4950</t>
  </si>
  <si>
    <t>Studio-G4-TQS-L.png|Front-G4-TQS-L.png|Top-G4-TQS-L.png</t>
  </si>
  <si>
    <t>780.241DBRHOT-L-TO8</t>
  </si>
  <si>
    <t>780.241 nm single-frequency DBR High Operating Temperature (HOT) Chip Architecture ($4250) with output power of 10-30 mW, Virtual Point Source (VPS) Lens (+$700), in a TO-8 Package (+$500) with an angled window cap, for a total unit cost of $5450</t>
  </si>
  <si>
    <t>780.241DBRHOT-TOSA</t>
  </si>
  <si>
    <t>780.241 nm single-frequency DBR High Operating Temperature (HOT) Chip Architecture ($4250) with output power of 10-30 mW, in a TOSA Package (+$500), for a total unit cost of $4750</t>
  </si>
  <si>
    <t>780.241DBRL-9M</t>
  </si>
  <si>
    <t>780.241 nm single-frequency DBR Low Power Chip Architecture ($2750) with output power of 40-80 mW, in a 9mm Package (+$150), for a total unit cost of $2900</t>
  </si>
  <si>
    <t>Studio-9MM.png|Front-9MM.png|Top-9MM.png</t>
  </si>
  <si>
    <t>780.241DBRL-BF</t>
  </si>
  <si>
    <t>Low Power (20-40 mW) $2,750</t>
  </si>
  <si>
    <t>780.241 nm single-frequency DBR Low Power Chip Architecture ($2750) with output power of 20-40 mW, in a Butterfly Package (+$2500), for a total unit cost of $5250</t>
  </si>
  <si>
    <t>This laser diode is based on Photodigm's proprietary Distributed Bragg Reflector (DBR) design. It is augmented by the Low Power laser diode architecture, a product designed for applications where low threshold currents are desired and power output isn't application critical. Power output is between  20-40 mW</t>
  </si>
  <si>
    <t>Studio-Butterfly.png|Front-Butterfly.png|Top-Butterfly.png</t>
  </si>
  <si>
    <t>780.241DBRL-BFISO</t>
  </si>
  <si>
    <t>Low Power (5-10 mW) $2,750</t>
  </si>
  <si>
    <t>780.241 nm single-frequency DBR Low Power Chip Architecture ($2750) with output power of 5-10 mW, in a Butterfly-ISO Package (+$3000), for a total unit cost of $5750</t>
  </si>
  <si>
    <t>This laser diode is based on Photodigm's proprietary Distributed Bragg Reflector (DBR) design. It is augmented by the Low Power laser diode architecture, a product designed for applications where low threshold currents are desired and power output isn't application critical. Power output is between  5-10 mW</t>
  </si>
  <si>
    <t>780.241DBRL-CM</t>
  </si>
  <si>
    <t>780.241 nm single-frequency DBR Low Power Chip Architecture ($2750) with output power of 40-80 mW, in a C-Mount Package (+$100), for a total unit cost of $2850</t>
  </si>
  <si>
    <t>780.241DBRL-CS</t>
  </si>
  <si>
    <t>780.241 nm single-frequency DBR Low Power Chip Architecture ($2750) with output power of 40-80 mW, chip on submount, for a total unit cost of $2750</t>
  </si>
  <si>
    <t>Studio-G4-TQS.png|Front-G4-TQS.png|Top-G4-TQS.png</t>
  </si>
  <si>
    <t>780.241DBRL-L-CM</t>
  </si>
  <si>
    <t>780.241 nm single-frequency DBR Low Power Chip Architecture ($2750) with output power of 40-80 mW, Virtual Point Source (VPS) Lens (+$700), in a C-Mount Package (+$100), for a total unit cost of $3550</t>
  </si>
  <si>
    <t>780.241DBRL-L-CS</t>
  </si>
  <si>
    <t>780.241 nm single-frequency DBR Low Power Chip Architecture ($2750) with output power of 40-80 mW, Virtual Point Source (VPS) Lens (+$700), chip on submount, for a total unit cost of $3450</t>
  </si>
  <si>
    <t>780.241DBRL-L-TO8</t>
  </si>
  <si>
    <t>780.241 nm single-frequency DBR Low Power Chip Architecture ($2750) with output power of 40-80 mW, Virtual Point Source (VPS) Lens (+$700), in a TO-8 Package (+$500) with an angled window cap, for a total unit cost of $3950</t>
  </si>
  <si>
    <t>780.241DBRL-MHF-BF</t>
  </si>
  <si>
    <t>780.241 nm single-frequency DBR Low Power Chip Architecture ($2750) with output power of 20-40 mW, Mode Hop Free Mounting (+$700), in a Butterfly Package (+$2500), for a total unit cost of $5950</t>
  </si>
  <si>
    <t>780.241DBRL-MHF-BFISO</t>
  </si>
  <si>
    <t>780.241 nm single-frequency DBR Low Power Chip Architecture ($2750) with output power of 5-10 mW, Mode Hop Free Mounting (+$700), in a Butterfly-ISO Package (+$3000), for a total unit cost of $6450</t>
  </si>
  <si>
    <t>780.241DBRL-MHF-CM</t>
  </si>
  <si>
    <t>780.241 nm single-frequency DBR Low Power Chip Architecture ($2750) with output power of 40-80 mW, Mode Hop Free Mounting (+$700), in a C-Mount Package (+$100), for a total unit cost of $3550</t>
  </si>
  <si>
    <t>780.241DBRL-MHF-CS</t>
  </si>
  <si>
    <t>780.241 nm single-frequency DBR Low Power Chip Architecture ($2750) with output power of 40-80 mW, Mode Hop Free Mounting (+$700), chip on submount, for a total unit cost of $3450</t>
  </si>
  <si>
    <t>Studio-G4-TQMHF.png|Front-G4-TQMHF.png|Top-G4-TQMHF.png</t>
  </si>
  <si>
    <t>780.241DBRL-MHF-TO8</t>
  </si>
  <si>
    <t>780.241 nm single-frequency DBR Low Power Chip Architecture ($2750) with output power of 40-80 mW, Mode Hop Free Mounting (+$700), in a TO-8 Package (+$500), for a total unit cost of $3950</t>
  </si>
  <si>
    <t>780.241DBRL-MHFL-CM</t>
  </si>
  <si>
    <t>780.241 nm single-frequency DBR Low Power Chip Architecture ($2750) with output power of 40-80 mW, Mode Hop Free Mounting (+$700), Virtual Point Source (VPS) Lens (+$700), in a C-Mount Package (+$100), for a total unit cost of $4250</t>
  </si>
  <si>
    <t>780.241DBRL-MHFL-CS</t>
  </si>
  <si>
    <t>780.241 nm single-frequency DBR Low Power Chip Architecture ($2750) with output power of 40-80 mW, Mode Hop Free Mounting (+$700), Virtual Point Source (VPS) Lens (+$700), chip on submount, for a total unit cost of $4150</t>
  </si>
  <si>
    <t>Studio-G4-TQMHF-L.png|Front-G4-TQMHF-L.png|Top-G4-TQMHF-L.png</t>
  </si>
  <si>
    <t>780.241DBRL-MHFL-TO8</t>
  </si>
  <si>
    <t>780.241 nm single-frequency DBR Low Power Chip Architecture ($2750) with output power of 40-80 mW, Mode Hop Free Mounting (+$700), Virtual Point Source (VPS) Lens (+$700), in a TO-8 Package (+$500) with an angled window cap, for a total unit cost of $4650</t>
  </si>
  <si>
    <t>780.241DBRL-TO8</t>
  </si>
  <si>
    <t>780.241 nm single-frequency DBR Low Power Chip Architecture ($2750) with output power of 40-80 mW, in a TO-8 Package (+$500), for a total unit cost of $3250</t>
  </si>
  <si>
    <t>730DBRH-DEC-CS</t>
  </si>
  <si>
    <t>730</t>
  </si>
  <si>
    <t>730 nm single-frequency DBR High Power Chip Architecture ($3750) with output power of 40-80 mW, Direct-Edge Coupling (DEC) (+$100), chip on submount, for a total unit cost of $3850</t>
  </si>
  <si>
    <t>737DBRH-DEC-CS</t>
  </si>
  <si>
    <t>737</t>
  </si>
  <si>
    <t>737 nm single-frequency DBR High Power Chip Architecture ($3750) with output power of 40-80 mW, Direct-Edge Coupling (DEC) (+$100), chip on submount, for a total unit cost of $3850</t>
  </si>
  <si>
    <t>739DBRH-DEC-CS</t>
  </si>
  <si>
    <t>739</t>
  </si>
  <si>
    <t>739 nm single-frequency DBR High Power Chip Architecture ($3750) with output power of 40-80 mW, Direct-Edge Coupling (DEC) (+$100), chip on submount, for a total unit cost of $3850</t>
  </si>
  <si>
    <t>785DBRH-BF</t>
  </si>
  <si>
    <t>785 nm single-frequency DBR High Power Chip Architecture ($3750) with output power of 40-80 mW, in a Butterfly Package (+$2500), for a total unit cost of $6250</t>
  </si>
  <si>
    <t>Spectroscopy
Scientific Research
Materials Characterization</t>
  </si>
  <si>
    <t>The 785 nm DBR Series of high-performance edge-emitting laser diodes are based on Photodigm’s advanced monolithic single-frequency Gallium Arsenide (GaAs) based laser technology. It provides a single spatial mode beam and has passivated facets for reliability. The 785 nm Series DBR devices are used in Raman spectroscopy and materials characterization applications.</t>
  </si>
  <si>
    <t>785 DBR Specification Sheet Rev 11.2.23.pdf</t>
  </si>
  <si>
    <t>785DBRH-BFISO</t>
  </si>
  <si>
    <t>785 nm single-frequency DBR High Power Chip Architecture ($3750) with output power of 20-40 mW, in a Butterfly-ISO Package (+$3000), for a total unit cost of $6750</t>
  </si>
  <si>
    <t>785DBRH-CM</t>
  </si>
  <si>
    <t>785 nm single-frequency DBR High Power Chip Architecture ($3750) with output power of 80-180 mW, in a C-Mount Package (+$100), for a total unit cost of $3850</t>
  </si>
  <si>
    <t>785DBRH-CS</t>
  </si>
  <si>
    <t>785 nm single-frequency DBR High Power Chip Architecture ($3750) with output power of 80-180 mW, chip on submount, for a total unit cost of $3750</t>
  </si>
  <si>
    <t>785DBRH-L-CM</t>
  </si>
  <si>
    <t>785 nm single-frequency DBR High Power Chip Architecture ($3750) with output power of 80-180 mW, Virtual Point Source (VPS) Lens (+$700), in a C-Mount Package (+$100), for a total unit cost of $4550</t>
  </si>
  <si>
    <t>785DBRH-L-CS</t>
  </si>
  <si>
    <t>785 nm single-frequency DBR High Power Chip Architecture ($3750) with output power of 80-180 mW, Virtual Point Source (VPS) Lens (+$700), chip on submount, for a total unit cost of $4450</t>
  </si>
  <si>
    <t>785DBRH-L-TO8</t>
  </si>
  <si>
    <t>785 nm single-frequency DBR High Power Chip Architecture ($3750) with output power of 80-180 mW, Virtual Point Source (VPS) Lens (+$700), in a TO-8 Package (+$500) with an angled window cap, for a total unit cost of $4950</t>
  </si>
  <si>
    <t>785DBRL-L-TOSA</t>
  </si>
  <si>
    <t>785 nm single-frequency DBR Low Power Chip Architecture ($2750) with output power of 40-80 mW, Virtual Point Source (VPS) Lens (+$700), in a TOSA Package (+$500), for a total unit cost of $3950</t>
  </si>
  <si>
    <t>785DBRH-L-TOSA</t>
  </si>
  <si>
    <t>785 nm single-frequency DBR High Power Chip Architecture ($3750) with output power of 80-180 mW, Virtual Point Source (VPS) Lens (+$700), in a TOSA Package (+$500), for a total unit cost of $4950</t>
  </si>
  <si>
    <t>785DBRH-MHF-BF</t>
  </si>
  <si>
    <t>785 nm single-frequency DBR High Power Chip Architecture ($3750) with output power of 40-80 mW, Mode Hop Free Mounting (+$700), in a Butterfly Package (+$2500), for a total unit cost of $6950</t>
  </si>
  <si>
    <t>785DBRH-MHF-BFISO</t>
  </si>
  <si>
    <t>785 nm single-frequency DBR High Power Chip Architecture ($3750) with output power of 20-40 mW, Mode Hop Free Mounting (+$700), in a Butterfly-ISO Package (+$3000), for a total unit cost of $7450</t>
  </si>
  <si>
    <t>785DBRH-MHF-CM</t>
  </si>
  <si>
    <t>785 nm single-frequency DBR High Power Chip Architecture ($3750) with output power of 80-180 mW, Mode Hop Free Mounting (+$700), in a C-Mount Package (+$100), for a total unit cost of $4550</t>
  </si>
  <si>
    <t>785DBRH-MHF-CS</t>
  </si>
  <si>
    <t>785 nm single-frequency DBR High Power Chip Architecture ($3750) with output power of 80-180 mW, Mode Hop Free Mounting (+$700), chip on submount, for a total unit cost of $4450</t>
  </si>
  <si>
    <t>785DBRH-MHF-TO8</t>
  </si>
  <si>
    <t>785 nm single-frequency DBR High Power Chip Architecture ($3750) with output power of 80-180 mW, Mode Hop Free Mounting (+$700), in a TO-8 Package (+$500), for a total unit cost of $4950</t>
  </si>
  <si>
    <t>785DBRL-MHF-TOSA</t>
  </si>
  <si>
    <t>785 nm single-frequency DBR Low Power Chip Architecture ($2750) with output power of 40-80 mW, Mode Hop Free Mounting (+$700), in a TOSA Package (+$500), for a total unit cost of $3950</t>
  </si>
  <si>
    <t>785DBRH-MHF-TOSA</t>
  </si>
  <si>
    <t>785 nm single-frequency DBR High Power Chip Architecture ($3750) with output power of 80-180 mW, Mode Hop Free Mounting (+$700), in a TOSA Package (+$500), for a total unit cost of $4950</t>
  </si>
  <si>
    <t>785DBRH-MHFL-CM</t>
  </si>
  <si>
    <t>785 nm single-frequency DBR High Power Chip Architecture ($3750) with output power of 80-180 mW, Mode Hop Free Mounting (+$700), Virtual Point Source (VPS) Lens (+$700), in a C-Mount Package (+$100), for a total unit cost of $5250</t>
  </si>
  <si>
    <t>785DBRH-MHFL-CS</t>
  </si>
  <si>
    <t>785 nm single-frequency DBR High Power Chip Architecture ($3750) with output power of 80-180 mW, Mode Hop Free Mounting (+$700), Virtual Point Source (VPS) Lens (+$700), chip on submount, for a total unit cost of $5150</t>
  </si>
  <si>
    <t>785DBRH-MHFL-TO8</t>
  </si>
  <si>
    <t>785 nm single-frequency DBR High Power Chip Architecture ($3750) with output power of 80-180 mW, Mode Hop Free Mounting (+$700), Virtual Point Source (VPS) Lens (+$700), in a TO-8 Package (+$500) with an angled window cap, for a total unit cost of $5650</t>
  </si>
  <si>
    <t>785DBRL-MHFL-TOSA</t>
  </si>
  <si>
    <t>785 nm single-frequency DBR Low Power Chip Architecture ($2750) with output power of 40-80 mW, Mode Hop Free Mounting (+$700), Virtual Point Source (VPS) Lens (+$700), in a TOSA Package (+$500), for a total unit cost of $4650</t>
  </si>
  <si>
    <t>785DBRH-MHFL-TOSA</t>
  </si>
  <si>
    <t>785 nm single-frequency DBR High Power Chip Architecture ($3750) with output power of 80-180 mW, Mode Hop Free Mounting (+$700), Virtual Point Source (VPS) Lens (+$700), in a TOSA Package (+$500), for a total unit cost of $5650</t>
  </si>
  <si>
    <t>785DBRH-TO8</t>
  </si>
  <si>
    <t>785 nm single-frequency DBR High Power Chip Architecture ($3750) with output power of 80-180 mW, in a TO-8 Package (+$500), for a total unit cost of $4250</t>
  </si>
  <si>
    <t>785DBRL-TOSA</t>
  </si>
  <si>
    <t>785 nm single-frequency DBR Low Power Chip Architecture ($2750) with output power of 40-80 mW, in a TOSA Package (+$500), for a total unit cost of $3250</t>
  </si>
  <si>
    <t>785DBRH-TOSA</t>
  </si>
  <si>
    <t>785 nm single-frequency DBR High Power Chip Architecture ($3750) with output power of 80-180 mW, in a TOSA Package (+$500), for a total unit cost of $4250</t>
  </si>
  <si>
    <t>785DBRL-9M</t>
  </si>
  <si>
    <t>785 nm single-frequency DBR Low Power Chip Architecture ($2750) with output power of 40-80 mW, in a 9mm Package (+$150), for a total unit cost of $2900</t>
  </si>
  <si>
    <t>785DBRL-BF</t>
  </si>
  <si>
    <t>785 nm single-frequency DBR Low Power Chip Architecture ($2750) with output power of 20-40 mW, in a Butterfly Package (+$2500), for a total unit cost of $5250</t>
  </si>
  <si>
    <t>785DBRL-BFISO</t>
  </si>
  <si>
    <t>785 nm single-frequency DBR Low Power Chip Architecture ($2750) with output power of 5-10 mW, in a Butterfly-ISO Package (+$3000), for a total unit cost of $5750</t>
  </si>
  <si>
    <t>785DBRL-CM</t>
  </si>
  <si>
    <t>785 nm single-frequency DBR Low Power Chip Architecture ($2750) with output power of 40-80 mW, in a C-Mount Package (+$100), for a total unit cost of $2850</t>
  </si>
  <si>
    <t>785DBRL-CS</t>
  </si>
  <si>
    <t>785 nm single-frequency DBR Low Power Chip Architecture ($2750) with output power of 40-80 mW, chip on submount, for a total unit cost of $2750</t>
  </si>
  <si>
    <t>785DBRL-L-CM</t>
  </si>
  <si>
    <t>785 nm single-frequency DBR Low Power Chip Architecture ($2750) with output power of 40-80 mW, Virtual Point Source (VPS) Lens (+$700), in a C-Mount Package (+$100), for a total unit cost of $3550</t>
  </si>
  <si>
    <t>785DBRL-L-CS</t>
  </si>
  <si>
    <t>785 nm single-frequency DBR Low Power Chip Architecture ($2750) with output power of 40-80 mW, Virtual Point Source (VPS) Lens (+$700), chip on submount, for a total unit cost of $3450</t>
  </si>
  <si>
    <t>785DBRL-L-TO8</t>
  </si>
  <si>
    <t>785 nm single-frequency DBR Low Power Chip Architecture ($2750) with output power of 40-80 mW, Virtual Point Source (VPS) Lens (+$700), in a TO-8 Package (+$500) with an angled window cap, for a total unit cost of $3950</t>
  </si>
  <si>
    <t>785DBRL-MHF-BF</t>
  </si>
  <si>
    <t>785 nm single-frequency DBR Low Power Chip Architecture ($2750) with output power of 20-40 mW, Mode Hop Free Mounting (+$700), in a Butterfly Package (+$2500), for a total unit cost of $5950</t>
  </si>
  <si>
    <t>785DBRL-MHF-BFISO</t>
  </si>
  <si>
    <t>785 nm single-frequency DBR Low Power Chip Architecture ($2750) with output power of 5-10 mW, Mode Hop Free Mounting (+$700), in a Butterfly-ISO Package (+$3000), for a total unit cost of $6450</t>
  </si>
  <si>
    <t>785DBRL-MHF-CM</t>
  </si>
  <si>
    <t>785 nm single-frequency DBR Low Power Chip Architecture ($2750) with output power of 40-80 mW, Mode Hop Free Mounting (+$700), in a C-Mount Package (+$100), for a total unit cost of $3550</t>
  </si>
  <si>
    <t>785DBRL-MHF-CS</t>
  </si>
  <si>
    <t>785 nm single-frequency DBR Low Power Chip Architecture ($2750) with output power of 40-80 mW, Mode Hop Free Mounting (+$700), chip on submount, for a total unit cost of $3450</t>
  </si>
  <si>
    <t>785DBRL-MHF-TO8</t>
  </si>
  <si>
    <t>785 nm single-frequency DBR Low Power Chip Architecture ($2750) with output power of 40-80 mW, Mode Hop Free Mounting (+$700), in a TO-8 Package (+$500), for a total unit cost of $3950</t>
  </si>
  <si>
    <t>785DBRL-MHFL-CM</t>
  </si>
  <si>
    <t>785 nm single-frequency DBR Low Power Chip Architecture ($2750) with output power of 40-80 mW, Mode Hop Free Mounting (+$700), Virtual Point Source (VPS) Lens (+$700), in a C-Mount Package (+$100), for a total unit cost of $4250</t>
  </si>
  <si>
    <t>785DBRL-MHFL-CS</t>
  </si>
  <si>
    <t>785 nm single-frequency DBR Low Power Chip Architecture ($2750) with output power of 40-80 mW, Mode Hop Free Mounting (+$700), Virtual Point Source (VPS) Lens (+$700), chip on submount, for a total unit cost of $4150</t>
  </si>
  <si>
    <t>785DBRL-MHFL-TO8</t>
  </si>
  <si>
    <t>785 nm single-frequency DBR Low Power Chip Architecture ($2750) with output power of 40-80 mW, Mode Hop Free Mounting (+$700), Virtual Point Source (VPS) Lens (+$700), in a TO-8 Package (+$500) with an angled window cap, for a total unit cost of $4650</t>
  </si>
  <si>
    <t>785DBRL-TO8</t>
  </si>
  <si>
    <t>785 nm single-frequency DBR Low Power Chip Architecture ($2750) with output power of 40-80 mW, in a TO-8 Package (+$500), for a total unit cost of $3250</t>
  </si>
  <si>
    <t>760DBRH-DEC-CS</t>
  </si>
  <si>
    <t>760</t>
  </si>
  <si>
    <t>760 nm single-frequency DBR High Power Chip Architecture ($3750) with output power of 40-60 mW, Direct-Edge Coupling (DEC) (+$100), chip on submount, for a total unit cost of $3850</t>
  </si>
  <si>
    <t>766.700DBRH-DEC-CS</t>
  </si>
  <si>
    <t>766.700 nm single-frequency DBR High Power Chip Architecture ($3750) with output power of 40-80 mW, Direct-Edge Coupling (DEC) (+$100), chip on submount, for a total unit cost of $3850</t>
  </si>
  <si>
    <t>794.978DBRH-BF</t>
  </si>
  <si>
    <t>794.978 nm single-frequency DBR High Power Chip Architecture ($3750) with output power of 40-80 mW, in a Butterfly Package (+$2500), for a total unit cost of $6250</t>
  </si>
  <si>
    <t>The 794.978 nm DBR Series of high-performance edge-emitting laser diodes are based on Photodigm’s advanced monolithic single-frequency Gallium Arsenide (GaAs) based laser technology. It provides a single spatial mode beam and has passivated facets for reliability. The 794.978 nm Series DBR devices are used in atomic spectroscopy for rubidium-based (Rb) and optically pumped magnetometry applications. The 794.978 nm Series DBR devices are Spectroscopy Certified; guaranteed to hit the Rb D1 transition ± 10 °C from room temperature.</t>
  </si>
  <si>
    <t>794.978 DBR Specification Sheet 11.2.23.pdf</t>
  </si>
  <si>
    <t>794.978DBRH-BFISO</t>
  </si>
  <si>
    <t>794.978 nm single-frequency DBR High Power Chip Architecture ($3750) with output power of 20-40 mW, in a Butterfly-ISO Package (+$3000), for a total unit cost of $6750</t>
  </si>
  <si>
    <t>794.978DBRH-CM</t>
  </si>
  <si>
    <t>794.978 nm single-frequency DBR High Power Chip Architecture ($3750) with output power of 80-180 mW, in a C-Mount Package (+$100), for a total unit cost of $3850</t>
  </si>
  <si>
    <t>794.978DBRH-CS</t>
  </si>
  <si>
    <t>794.978 nm single-frequency DBR High Power Chip Architecture ($3750) with output power of 80-180 mW, chip on submount, for a total unit cost of $3750</t>
  </si>
  <si>
    <t>794.978DBRH-L-CM</t>
  </si>
  <si>
    <t>794.978 nm single-frequency DBR High Power Chip Architecture ($3750) with output power of 80-180 mW, Virtual Point Source (VPS) Lens (+$700), in a C-Mount Package (+$100), for a total unit cost of $4550</t>
  </si>
  <si>
    <t>794.978DBRH-L-CS</t>
  </si>
  <si>
    <t>794.978 nm single-frequency DBR High Power Chip Architecture ($3750) with output power of 80-180 mW, Virtual Point Source (VPS) Lens (+$700), chip on submount, for a total unit cost of $4450</t>
  </si>
  <si>
    <t>794.978DBRH-L-TO8</t>
  </si>
  <si>
    <t>794.978 nm single-frequency DBR High Power Chip Architecture ($3750) with output power of 80-180 mW, Virtual Point Source (VPS) Lens (+$700), in a TO-8 Package (+$500) with an angled window cap, for a total unit cost of $4950</t>
  </si>
  <si>
    <t>794.978DBRL-L-TOSA</t>
  </si>
  <si>
    <t>794.978 nm single-frequency DBR Low Power Chip Architecture ($2750) with output power of 40-80 mW, Virtual Point Source (VPS) Lens (+$700), in a TOSA Package (+$500), for a total unit cost of $3950</t>
  </si>
  <si>
    <t>794.978DBRH-L-TOSA</t>
  </si>
  <si>
    <t>794.978 nm single-frequency DBR High Power Chip Architecture ($3750) with output power of 80-180 mW, Virtual Point Source (VPS) Lens (+$700), in a TOSA Package (+$500), for a total unit cost of $4950</t>
  </si>
  <si>
    <t>794.978DBRHOT-L-TOSA</t>
  </si>
  <si>
    <t>794.978 nm single-frequency DBR High Operating Temperature (HOT) Chip Architecture ($4250) with output power of 10-30 mW, Virtual Point Source (VPS) Lens (+$700), in a TOSA Package (+$500), for a total unit cost of $5450</t>
  </si>
  <si>
    <t>794.978DBRH-MHF-BF</t>
  </si>
  <si>
    <t>794.978 nm single-frequency DBR High Power Chip Architecture ($3750) with output power of 40-80 mW, Mode Hop Free Mounting (+$700), in a Butterfly Package (+$2500), for a total unit cost of $6950</t>
  </si>
  <si>
    <t>794.978DBRH-MHF-BFISO</t>
  </si>
  <si>
    <t>794.978 nm single-frequency DBR High Power Chip Architecture ($3750) with output power of 20-40 mW, Mode Hop Free Mounting (+$700), in a Butterfly-ISO Package (+$3000), for a total unit cost of $7450</t>
  </si>
  <si>
    <t>794.978DBRH-MHF-CM</t>
  </si>
  <si>
    <t>794.978 nm single-frequency DBR High Power Chip Architecture ($3750) with output power of 80-180 mW, Mode Hop Free Mounting (+$700), in a C-Mount Package (+$100), for a total unit cost of $4550</t>
  </si>
  <si>
    <t>794.978DBRH-MHF-CS</t>
  </si>
  <si>
    <t>794.978 nm single-frequency DBR High Power Chip Architecture ($3750) with output power of 80-180 mW, Mode Hop Free Mounting (+$700), chip on submount, for a total unit cost of $4450</t>
  </si>
  <si>
    <t>794.978DBRH-MHF-TO8</t>
  </si>
  <si>
    <t>794.978 nm single-frequency DBR High Power Chip Architecture ($3750) with output power of 80-180 mW, Mode Hop Free Mounting (+$700), in a TO-8 Package (+$500), for a total unit cost of $4950</t>
  </si>
  <si>
    <t>794.978DBRL-MHF-TOSA</t>
  </si>
  <si>
    <t>794.978 nm single-frequency DBR Low Power Chip Architecture ($2750) with output power of 40-80 mW, Mode Hop Free Mounting (+$700), in a TOSA Package (+$500), for a total unit cost of $3950</t>
  </si>
  <si>
    <t>794.978DBRH-MHF-TOSA</t>
  </si>
  <si>
    <t>794.978 nm single-frequency DBR High Power Chip Architecture ($3750) with output power of 80-180 mW, Mode Hop Free Mounting (+$700), in a TOSA Package (+$500), for a total unit cost of $4950</t>
  </si>
  <si>
    <t>794.978DBRH-MHFL-CM</t>
  </si>
  <si>
    <t>794.978 nm single-frequency DBR High Power Chip Architecture ($3750) with output power of 80-180 mW, Mode Hop Free Mounting (+$700), Virtual Point Source (VPS) Lens (+$700), in a C-Mount Package (+$100), for a total unit cost of $5250</t>
  </si>
  <si>
    <t>794.978DBRH-MHFL-CS</t>
  </si>
  <si>
    <t>794.978 nm single-frequency DBR High Power Chip Architecture ($3750) with output power of 80-180 mW, Mode Hop Free Mounting (+$700), Virtual Point Source (VPS) Lens (+$700), chip on submount, for a total unit cost of $5150</t>
  </si>
  <si>
    <t>794.978DBRH-MHFL-TO8</t>
  </si>
  <si>
    <t>794.978 nm single-frequency DBR High Power Chip Architecture ($3750) with output power of 80-180 mW, Mode Hop Free Mounting (+$700), Virtual Point Source (VPS) Lens (+$700), in a TO-8 Package (+$500) with an angled window cap, for a total unit cost of $5650</t>
  </si>
  <si>
    <t>794.978DBRL-MHFL-TOSA</t>
  </si>
  <si>
    <t>794.978 nm single-frequency DBR Low Power Chip Architecture ($2750) with output power of 40-80 mW, Mode Hop Free Mounting (+$700), Virtual Point Source (VPS) Lens (+$700), in a TOSA Package (+$500), for a total unit cost of $4650</t>
  </si>
  <si>
    <t>794.978DBRH-MHFL-TOSA</t>
  </si>
  <si>
    <t>794.978 nm single-frequency DBR High Power Chip Architecture ($3750) with output power of 80-180 mW, Mode Hop Free Mounting (+$700), Virtual Point Source (VPS) Lens (+$700), in a TOSA Package (+$500), for a total unit cost of $5650</t>
  </si>
  <si>
    <t>794.978DBRHOT-9M</t>
  </si>
  <si>
    <t>794.978 nm single-frequency DBR High Operating Temperature (HOT) Chip Architecture ($4250) with output power of 10-30 mW, in a 9mm Package (+$150), for a total unit cost of $4400</t>
  </si>
  <si>
    <t>794.978DBRHOT-BF</t>
  </si>
  <si>
    <t>794.978 nm single-frequency DBR High Operating Temperature (HOT) Chip Architecture ($4250) with output power of 5-15 mW, in a Butterfly Package (+$2500), for a total unit cost of $6750</t>
  </si>
  <si>
    <t>794.978DBRHOT-CM</t>
  </si>
  <si>
    <t>794.978 nm single-frequency DBR High Operating Temperature (HOT) Chip Architecture ($4250) with output power of 10-30 mW, in a C-Mount Package (+$100), for a total unit cost of $4350</t>
  </si>
  <si>
    <t>794.978DBRHOT-CS</t>
  </si>
  <si>
    <t>794.978 nm single-frequency DBR High Operating Temperature (HOT) Chip Architecture ($4250) with output power of 10-30 mW, chip on submount, for a total unit cost of $4250</t>
  </si>
  <si>
    <t>794.978DBRHOT-TO8</t>
  </si>
  <si>
    <t>794.978 nm single-frequency DBR High Operating Temperature (HOT) Chip Architecture ($4250) with output power of 10-30 mW, in a TO-8 Package (+$500), for a total unit cost of $4750</t>
  </si>
  <si>
    <t>794.978DBRH-TO8</t>
  </si>
  <si>
    <t>794.978 nm single-frequency DBR High Power Chip Architecture ($3750) with output power of 80-180 mW, in a TO-8 Package (+$500), for a total unit cost of $4250</t>
  </si>
  <si>
    <t>794.978DBRL-TOSA</t>
  </si>
  <si>
    <t>794.978 nm single-frequency DBR Low Power Chip Architecture ($2750) with output power of 40-80 mW, in a TOSA Package (+$500), for a total unit cost of $3250</t>
  </si>
  <si>
    <t>794.978DBRH-TOSA</t>
  </si>
  <si>
    <t>794.978 nm single-frequency DBR High Power Chip Architecture ($3750) with output power of 80-180 mW, in a TOSA Package (+$500), for a total unit cost of $4250</t>
  </si>
  <si>
    <t>794.978DBRHOT-L-CM</t>
  </si>
  <si>
    <t>794.978 nm single-frequency DBR High Operating Temperature (HOT) Chip Architecture ($4250) with output power of 10-30 mW, Virtual Point Source (VPS) Lens (+$700), in a C-Mount Package (+$100), for a total unit cost of $5050</t>
  </si>
  <si>
    <t>794.978DBRHOT-L-CS</t>
  </si>
  <si>
    <t>794.978 nm single-frequency DBR High Operating Temperature (HOT) Chip Architecture ($4250) with output power of 10-30 mW, Virtual Point Source (VPS) Lens (+$700), chip on submount, for a total unit cost of $4950</t>
  </si>
  <si>
    <t>794.978DBRHOT-L-TO8</t>
  </si>
  <si>
    <t>794.978 nm single-frequency DBR High Operating Temperature (HOT) Chip Architecture ($4250) with output power of 10-30 mW, Virtual Point Source (VPS) Lens (+$700), in a TO-8 Package (+$500) with an angled window cap, for a total unit cost of $5450</t>
  </si>
  <si>
    <t>794.978DBRHOT-TOSA</t>
  </si>
  <si>
    <t>794.978 nm single-frequency DBR High Operating Temperature (HOT) Chip Architecture ($4250) with output power of 10-30 mW, in a TOSA Package (+$500), for a total unit cost of $4750</t>
  </si>
  <si>
    <t>794.978DBRL-9M</t>
  </si>
  <si>
    <t>794.978 nm single-frequency DBR Low Power Chip Architecture ($2750) with output power of 40-80 mW, in a 9mm Package (+$150), for a total unit cost of $2900</t>
  </si>
  <si>
    <t>794.978DBRL-BF</t>
  </si>
  <si>
    <t>794.978 nm single-frequency DBR Low Power Chip Architecture ($2750) with output power of 20-40 mW, in a Butterfly Package (+$2500), for a total unit cost of $5250</t>
  </si>
  <si>
    <t>794.978DBRL-BFISO</t>
  </si>
  <si>
    <t>794.978 nm single-frequency DBR Low Power Chip Architecture ($2750) with output power of 5-10 mW, in a Butterfly-ISO Package (+$3000), for a total unit cost of $5750</t>
  </si>
  <si>
    <t>794.978DBRL-CM</t>
  </si>
  <si>
    <t>794.978 nm single-frequency DBR Low Power Chip Architecture ($2750) with output power of 40-80 mW, in a C-Mount Package (+$100), for a total unit cost of $2850</t>
  </si>
  <si>
    <t>794.978DBRL-CS</t>
  </si>
  <si>
    <t>794.978 nm single-frequency DBR Low Power Chip Architecture ($2750) with output power of 40-80 mW, chip on submount, for a total unit cost of $2750</t>
  </si>
  <si>
    <t>794.978DBRL-L-CM</t>
  </si>
  <si>
    <t>794.978 nm single-frequency DBR Low Power Chip Architecture ($2750) with output power of 40-80 mW, Virtual Point Source (VPS) Lens (+$700), in a C-Mount Package (+$100), for a total unit cost of $3550</t>
  </si>
  <si>
    <t>794.978DBRL-L-CS</t>
  </si>
  <si>
    <t>794.978 nm single-frequency DBR Low Power Chip Architecture ($2750) with output power of 40-80 mW, Virtual Point Source (VPS) Lens (+$700), chip on submount, for a total unit cost of $3450</t>
  </si>
  <si>
    <t>794.978DBRL-L-TO8</t>
  </si>
  <si>
    <t>794.978 nm single-frequency DBR Low Power Chip Architecture ($2750) with output power of 40-80 mW, Virtual Point Source (VPS) Lens (+$700), in a TO-8 Package (+$500) with an angled window cap, for a total unit cost of $3950</t>
  </si>
  <si>
    <t>794.978DBRL-MHF-BF</t>
  </si>
  <si>
    <t>794.978 nm single-frequency DBR Low Power Chip Architecture ($2750) with output power of 20-40 mW, Mode Hop Free Mounting (+$700), in a Butterfly Package (+$2500), for a total unit cost of $5950</t>
  </si>
  <si>
    <t>794.978DBRL-MHF-BFISO</t>
  </si>
  <si>
    <t>794.978 nm single-frequency DBR Low Power Chip Architecture ($2750) with output power of 5-10 mW, Mode Hop Free Mounting (+$700), in a Butterfly-ISO Package (+$3000), for a total unit cost of $6450</t>
  </si>
  <si>
    <t>794.978DBRL-MHF-CM</t>
  </si>
  <si>
    <t>794.978 nm single-frequency DBR Low Power Chip Architecture ($2750) with output power of 40-80 mW, Mode Hop Free Mounting (+$700), in a C-Mount Package (+$100), for a total unit cost of $3550</t>
  </si>
  <si>
    <t>794.978DBRL-MHF-CS</t>
  </si>
  <si>
    <t>794.978 nm single-frequency DBR Low Power Chip Architecture ($2750) with output power of 40-80 mW, Mode Hop Free Mounting (+$700), chip on submount, for a total unit cost of $3450</t>
  </si>
  <si>
    <t>794.978DBRL-MHF-TO8</t>
  </si>
  <si>
    <t>794.978 nm single-frequency DBR Low Power Chip Architecture ($2750) with output power of 40-80 mW, Mode Hop Free Mounting (+$700), in a TO-8 Package (+$500), for a total unit cost of $3950</t>
  </si>
  <si>
    <t>794.978DBRL-MHFL-CM</t>
  </si>
  <si>
    <t>794.978 nm single-frequency DBR Low Power Chip Architecture ($2750) with output power of 40-80 mW, Mode Hop Free Mounting (+$700), Virtual Point Source (VPS) Lens (+$700), in a C-Mount Package (+$100), for a total unit cost of $4250</t>
  </si>
  <si>
    <t>794.978DBRL-MHFL-CS</t>
  </si>
  <si>
    <t>794.978 nm single-frequency DBR Low Power Chip Architecture ($2750) with output power of 40-80 mW, Mode Hop Free Mounting (+$700), Virtual Point Source (VPS) Lens (+$700), chip on submount, for a total unit cost of $4150</t>
  </si>
  <si>
    <t>794.978DBRL-MHFL-TO8</t>
  </si>
  <si>
    <t>794.978 nm single-frequency DBR Low Power Chip Architecture ($2750) with output power of 40-80 mW, Mode Hop Free Mounting (+$700), Virtual Point Source (VPS) Lens (+$700), in a TO-8 Package (+$500) with an angled window cap, for a total unit cost of $4650</t>
  </si>
  <si>
    <t>794.978DBRL-TO8</t>
  </si>
  <si>
    <t>794.978 nm single-frequency DBR Low Power Chip Architecture ($2750) with output power of 40-80 mW, in a TO-8 Package (+$500), for a total unit cost of $3250</t>
  </si>
  <si>
    <t>770.108DBRH-DEC-CS</t>
  </si>
  <si>
    <t>770.108</t>
  </si>
  <si>
    <t>770.108 nm single-frequency DBR High Power Chip Architecture ($3750) with output power of 40-100 mW, Direct-Edge Coupling (DEC) (+$100), chip on submount, for a total unit cost of $3850</t>
  </si>
  <si>
    <t>776.061DBRH-DEC-CS</t>
  </si>
  <si>
    <t>776.061</t>
  </si>
  <si>
    <t>High Power (40-120 mW) $3,750</t>
  </si>
  <si>
    <t>776.061 nm single-frequency DBR High Power Chip Architecture ($3750) with output power of 40-120 mW, Direct-Edge Coupling (DEC) (+$100), chip on submount, for a total unit cost of $3850</t>
  </si>
  <si>
    <t>778.105DBRH-DEC-CS</t>
  </si>
  <si>
    <t>778.105</t>
  </si>
  <si>
    <t>778.105 nm single-frequency DBR High Power Chip Architecture ($3750) with output power of 80-180 mW, Direct-Edge Coupling (DEC) (+$100), chip on submount, for a total unit cost of $3850</t>
  </si>
  <si>
    <t>795DAF100-CS</t>
  </si>
  <si>
    <t>795</t>
  </si>
  <si>
    <t>795 nm double-angle facet (DAF) gain chip ($800) with an amplification of 10-100 mW , in a Chip-on Submount (CoS) Package, for a total unit cost of $800</t>
  </si>
  <si>
    <t xml:space="preserve">The 795 nm DAF Series of high-performance edge-emitting gain chip are based on Photodigm’s advanced monolithic Gallium Arsenide (GaAs) based laser technology. It provides a single spatial mode beam, a unique anti-reflective coating pair (&lt;3% AR both sides) and has passivated facets for reliability. The 795 nm Series DAF gain chip devices have an angled waveguide at the output facet to minimize internal reflections and are frequently used in applications to recover isolator and fiber insertion losses. </t>
  </si>
  <si>
    <t>795 DAF Specification Sheet.pdf</t>
  </si>
  <si>
    <t>795SAF100-CS-AE-DEC</t>
  </si>
  <si>
    <t>795 nm single-angle facet (SAF) gain chip ($800) with an amplification of 10-100 mW , in a Chip-on Submount (CoS) Package designed for Angled Emission (AE) with customized Direct Edge Coupling ($100), for a total unit cost of $900</t>
  </si>
  <si>
    <t xml:space="preserve">The 795 nm SAF Series of high-performance edge-emitting gain chips are based on Photodigm’s advanced monolithic Gallium Arsenide (GaAs) based laser technology. It provides a single spatial mode beam, a unique anti-reflective and highly reflective coating pair (&gt;90% HR, &lt;0.1% AR), and has passivated facets for reliability. The 950 nm Series SAF gain chip devices have a curved waveguide forming a 5° angle exit at the facet and are frequently used in applications involving external-cavity diode lasers (ECDLs). </t>
  </si>
  <si>
    <t>795 SAF Specification Sheet.pdf</t>
  </si>
  <si>
    <t>795SAF100-CS-DEC</t>
  </si>
  <si>
    <t>795 nm single-angle facet (SAF) gain chip ($800) with an amplification of 10-100 mW , in a Chip-on Submount (CoS) Package designed for Direct Emission (DE), for a total unit cost of $800</t>
  </si>
  <si>
    <t>800DBRH-BF</t>
  </si>
  <si>
    <t>800 nm single-frequency DBR High Power Chip Architecture ($3750) with output power of 40-80 mW, in a Butterfly Package (+$2500), for a total unit cost of $6250</t>
  </si>
  <si>
    <t>Biomedical
Scientific Research</t>
  </si>
  <si>
    <t>The 800 nm DBR Series of high-performance edge-emitting laser diodes are based on Photodigm’s advanced monolithic single-frequency Gallium Arsenide (GaAs) based laser technology. It provides a single spatial mode beam and has passivated facets for reliability. The 800 nm Series DBR devices are used in as low-noise pump sources for biomedical diagnostics and imaging applications.</t>
  </si>
  <si>
    <t>800 DBR Specification Sheet 11-2-23.pdf</t>
  </si>
  <si>
    <t>800DBRH-BFISO</t>
  </si>
  <si>
    <t>800 nm single-frequency DBR High Power Chip Architecture ($3750) with output power of 20-40 mW, in a Butterfly-ISO Package (+$3000), for a total unit cost of $6750</t>
  </si>
  <si>
    <t>800DBRH-CM</t>
  </si>
  <si>
    <t>800 nm single-frequency DBR High Power Chip Architecture ($3750) with output power of 80-180 mW, in a C-Mount Package (+$100), for a total unit cost of $3850</t>
  </si>
  <si>
    <t>800DBRH-CS</t>
  </si>
  <si>
    <t>800 nm single-frequency DBR High Power Chip Architecture ($3750) with output power of 80-180 mW, chip on submount, for a total unit cost of $3750</t>
  </si>
  <si>
    <t>800DBRH-L-CM</t>
  </si>
  <si>
    <t>800 nm single-frequency DBR High Power Chip Architecture ($3750) with output power of 80-180 mW, Virtual Point Source (VPS) Lens (+$700), in a C-Mount Package (+$100), for a total unit cost of $4550</t>
  </si>
  <si>
    <t>800DBRH-L-CS</t>
  </si>
  <si>
    <t>800 nm single-frequency DBR High Power Chip Architecture ($3750) with output power of 80-180 mW, Virtual Point Source (VPS) Lens (+$700), chip on submount, for a total unit cost of $4450</t>
  </si>
  <si>
    <t>800DBRH-L-TO8</t>
  </si>
  <si>
    <t>800 nm single-frequency DBR High Power Chip Architecture ($3750) with output power of 80-180 mW, Virtual Point Source (VPS) Lens (+$700), in a TO-8 Package (+$500) with an angled window cap, for a total unit cost of $4950</t>
  </si>
  <si>
    <t>800DBRH-L-TOSA</t>
  </si>
  <si>
    <t>800 nm single-frequency DBR High Power Chip Architecture ($3750) with output power of 80-180 mW, Virtual Point Source (VPS) Lens (+$700), in a TOSA Package (+$500), for a total unit cost of $4950</t>
  </si>
  <si>
    <t>800DBRH-MHF-BF</t>
  </si>
  <si>
    <t>800 nm single-frequency DBR High Power Chip Architecture ($3750) with output power of 40-80 mW, Mode Hop Free Mounting (+$700), in a Butterfly Package (+$2500), for a total unit cost of $6950</t>
  </si>
  <si>
    <t>800DBRH-MHF-BFISO</t>
  </si>
  <si>
    <t>800 nm single-frequency DBR High Power Chip Architecture ($3750) with output power of 20-40 mW, Mode Hop Free Mounting (+$700), in a Butterfly-ISO Package (+$3000), for a total unit cost of $7450</t>
  </si>
  <si>
    <t>800DBRH-MHF-CM</t>
  </si>
  <si>
    <t>800 nm single-frequency DBR High Power Chip Architecture ($3750) with output power of 80-180 mW, Mode Hop Free Mounting (+$700), in a C-Mount Package (+$100), for a total unit cost of $4550</t>
  </si>
  <si>
    <t>800DBRH-MHF-CS</t>
  </si>
  <si>
    <t>800 nm single-frequency DBR High Power Chip Architecture ($3750) with output power of 80-180 mW, Mode Hop Free Mounting (+$700), chip on submount, for a total unit cost of $4450</t>
  </si>
  <si>
    <t>800DBRH-MHF-TO8</t>
  </si>
  <si>
    <t>800 nm single-frequency DBR High Power Chip Architecture ($3750) with output power of 80-180 mW, Mode Hop Free Mounting (+$700), in a TO-8 Package (+$500), for a total unit cost of $4950</t>
  </si>
  <si>
    <t>800DBRH-MHF-TOSA</t>
  </si>
  <si>
    <t>800 nm single-frequency DBR High Power Chip Architecture ($3750) with output power of 80-180 mW, Mode Hop Free Mounting (+$700), in a TOSA Package (+$500), for a total unit cost of $4950</t>
  </si>
  <si>
    <t>800DBRH-MHFL-CM</t>
  </si>
  <si>
    <t>800 nm single-frequency DBR High Power Chip Architecture ($3750) with output power of 80-180 mW, Mode Hop Free Mounting (+$700), Virtual Point Source (VPS) Lens (+$700), in a C-Mount Package (+$100), for a total unit cost of $5250</t>
  </si>
  <si>
    <t>800DBRH-MHFL-CS</t>
  </si>
  <si>
    <t>800 nm single-frequency DBR High Power Chip Architecture ($3750) with output power of 80-180 mW, Mode Hop Free Mounting (+$700), Virtual Point Source (VPS) Lens (+$700), chip on submount, for a total unit cost of $5150</t>
  </si>
  <si>
    <t>800DBRH-MHFL-TO8</t>
  </si>
  <si>
    <t>800 nm single-frequency DBR High Power Chip Architecture ($3750) with output power of 80-180 mW, Mode Hop Free Mounting (+$700), Virtual Point Source (VPS) Lens (+$700), in a TO-8 Package (+$500) with an angled window cap, for a total unit cost of $5650</t>
  </si>
  <si>
    <t>800DBRH-MHFL-TOSA</t>
  </si>
  <si>
    <t>800 nm single-frequency DBR High Power Chip Architecture ($3750) with output power of 80-180 mW, Mode Hop Free Mounting (+$700), Virtual Point Source (VPS) Lens (+$700), in a TOSA Package (+$500), for a total unit cost of $5650</t>
  </si>
  <si>
    <t>800DBRH-TO8</t>
  </si>
  <si>
    <t>800 nm single-frequency DBR High Power Chip Architecture ($3750) with output power of 80-180 mW, in a TO-8 Package (+$500), for a total unit cost of $4250</t>
  </si>
  <si>
    <t>800DBRH-TOSA</t>
  </si>
  <si>
    <t>800 nm single-frequency DBR High Power Chip Architecture ($3750) with output power of 80-180 mW, in a TOSA Package (+$500), for a total unit cost of $4250</t>
  </si>
  <si>
    <t>780.241DBRH-DEC-CS</t>
  </si>
  <si>
    <t>780.241</t>
  </si>
  <si>
    <t>780.241 nm single-frequency DBR High Power Chip Architecture ($3750) with output power of 80-180 mW, Direct-Edge Coupling (DEC) (+$100), chip on submount, for a total unit cost of $3850</t>
  </si>
  <si>
    <t>808DBRH-BF</t>
  </si>
  <si>
    <t>808 nm single-frequency DBR High Power Chip Architecture ($3750) with output power of 40-80 mW, in a Butterfly Package (+$2500), for a total unit cost of $6250</t>
  </si>
  <si>
    <t>The 808 nm DBR Series of high-performance edge-emitting laser diodes are based on Photodigm’s advanced monolithic single-frequency Gallium Arsenide (GaAs) based laser technology. It provides a single spatial mode beam and has passivated facets for reliability. The 808 nm Series DBR devices are used in as low-noise pump sources for biomedical diagnostics and imaging applications.</t>
  </si>
  <si>
    <t>808 DBR Specification Sheet 11-2-23.pdf</t>
  </si>
  <si>
    <t>808DBRH-BFISO</t>
  </si>
  <si>
    <t>808 nm single-frequency DBR High Power Chip Architecture ($3750) with output power of 20-40 mW, in a Butterfly-ISO Package (+$3000), for a total unit cost of $6750</t>
  </si>
  <si>
    <t>808DBRH-CM</t>
  </si>
  <si>
    <t>808 nm single-frequency DBR High Power Chip Architecture ($3750) with output power of 80-180 mW, in a C-Mount Package (+$100), for a total unit cost of $3850</t>
  </si>
  <si>
    <t>808DBRH-CS</t>
  </si>
  <si>
    <t>808 nm single-frequency DBR High Power Chip Architecture ($3750) with output power of 80-180 mW, chip on submount, for a total unit cost of $3750</t>
  </si>
  <si>
    <t>808DBRH-MHF-BF</t>
  </si>
  <si>
    <t>808 nm single-frequency DBR High Power Chip Architecture ($3750) with output power of 40-80 mW, Mode Hop Free Mounting (+$700), in a Butterfly Package (+$2500), for a total unit cost of $6950</t>
  </si>
  <si>
    <t>808DBRH-MHF-BFISO</t>
  </si>
  <si>
    <t>808 nm single-frequency DBR High Power Chip Architecture ($3750) with output power of 20-40 mW, Mode Hop Free Mounting (+$700), in a Butterfly-ISO Package (+$3000), for a total unit cost of $7450</t>
  </si>
  <si>
    <t>808DBRH-MHF-CM</t>
  </si>
  <si>
    <t>808 nm single-frequency DBR High Power Chip Architecture ($3750) with output power of 80-180 mW, Mode Hop Free Mounting (+$700), in a C-Mount Package (+$100), for a total unit cost of $4550</t>
  </si>
  <si>
    <t>808DBRH-MHF-CS</t>
  </si>
  <si>
    <t>808 nm single-frequency DBR High Power Chip Architecture ($3750) with output power of 80-180 mW, Mode Hop Free Mounting (+$700), chip on submount, for a total unit cost of $4450</t>
  </si>
  <si>
    <t>808DBRH-MHF-TO8</t>
  </si>
  <si>
    <t>808 nm single-frequency DBR High Power Chip Architecture ($3750) with output power of 80-180 mW, Mode Hop Free Mounting (+$700), in a TO-8 Package (+$500), for a total unit cost of $4950</t>
  </si>
  <si>
    <t>808DBRH-MHF-TOSA</t>
  </si>
  <si>
    <t>808 nm single-frequency DBR High Power Chip Architecture ($3750) with output power of 80-180 mW, Mode Hop Free Mounting (+$700), in a TOSA Package (+$500), for a total unit cost of $4950</t>
  </si>
  <si>
    <t>808DBRH-TO8</t>
  </si>
  <si>
    <t>808 nm single-frequency DBR High Power Chip Architecture ($3750) with output power of 80-180 mW, in a TO-8 Package (+$500), for a total unit cost of $4250</t>
  </si>
  <si>
    <t>808DBRH-TOSA</t>
  </si>
  <si>
    <t>808 nm single-frequency DBR High Power Chip Architecture ($3750) with output power of 80-180 mW, in a TOSA Package (+$500), for a total unit cost of $4250</t>
  </si>
  <si>
    <t>780.241DBRHOT-DEC-CS</t>
  </si>
  <si>
    <t>780.241 nm single-frequency DBR High Operating Temperature (HOT) Chip Architecture ($4250) with output power of 10-30 mW, Direct-Edge Coupling (DEC) (+$100), chip on submount, for a total unit cost of $4350</t>
  </si>
  <si>
    <t>810DBRH-BF</t>
  </si>
  <si>
    <t>810 nm single-frequency DBR High Power Chip Architecture ($3750) with output power of 40-80 mW, in a Butterfly Package (+$2500), for a total unit cost of $6250</t>
  </si>
  <si>
    <t>The 810 nm DBR Series of high-performance edge-emitting laser diodes are based on Photodigm’s advanced monolithic single-frequency Gallium Arsenide (GaAs) based laser technology. It provides a single spatial mode beam and has passivated facets for reliability. The 810 nm Series DBR devices are used in as low-noise pump sources for biomedical diagnostics and imaging applications.</t>
  </si>
  <si>
    <t>810 Specification Sheet 11-2-23.pdf</t>
  </si>
  <si>
    <t>810DBRH-BFISO</t>
  </si>
  <si>
    <t>810 nm single-frequency DBR High Power Chip Architecture ($3750) with output power of 20-40 mW, in a Butterfly-ISO Package (+$3000), for a total unit cost of $6750</t>
  </si>
  <si>
    <t>810DBRH-CM</t>
  </si>
  <si>
    <t>810 nm single-frequency DBR High Power Chip Architecture ($3750) with output power of 80-180 mW, in a C-Mount Package (+$100), for a total unit cost of $3850</t>
  </si>
  <si>
    <t>810DBRH-CS</t>
  </si>
  <si>
    <t>810 nm single-frequency DBR High Power Chip Architecture ($3750) with output power of 80-180 mW, chip on submount, for a total unit cost of $3750</t>
  </si>
  <si>
    <t>810DBRH-MHF-BF</t>
  </si>
  <si>
    <t>810 nm single-frequency DBR High Power Chip Architecture ($3750) with output power of 40-80 mW, Mode Hop Free Mounting (+$700), in a Butterfly Package (+$2500), for a total unit cost of $6950</t>
  </si>
  <si>
    <t>810DBRH-MHF-BFISO</t>
  </si>
  <si>
    <t>810 nm single-frequency DBR High Power Chip Architecture ($3750) with output power of 20-40 mW, Mode Hop Free Mounting (+$700), in a Butterfly-ISO Package (+$3000), for a total unit cost of $7450</t>
  </si>
  <si>
    <t>810DBRH-MHF-CM</t>
  </si>
  <si>
    <t>810 nm single-frequency DBR High Power Chip Architecture ($3750) with output power of 80-180 mW, Mode Hop Free Mounting (+$700), in a C-Mount Package (+$100), for a total unit cost of $4550</t>
  </si>
  <si>
    <t>810DBRH-MHF-CS</t>
  </si>
  <si>
    <t>810 nm single-frequency DBR High Power Chip Architecture ($3750) with output power of 80-180 mW, Mode Hop Free Mounting (+$700), chip on submount, for a total unit cost of $4450</t>
  </si>
  <si>
    <t>810DBRH-MHF-TO8</t>
  </si>
  <si>
    <t>810 nm single-frequency DBR High Power Chip Architecture ($3750) with output power of 80-180 mW, Mode Hop Free Mounting (+$700), in a TO-8 Package (+$500), for a total unit cost of $4950</t>
  </si>
  <si>
    <t>810DBRH-MHF-TOSA</t>
  </si>
  <si>
    <t>810 nm single-frequency DBR High Power Chip Architecture ($3750) with output power of 80-180 mW, Mode Hop Free Mounting (+$700), in a TOSA Package (+$500), for a total unit cost of $4950</t>
  </si>
  <si>
    <t>810DBRH-TO8</t>
  </si>
  <si>
    <t>810 nm single-frequency DBR High Power Chip Architecture ($3750) with output power of 80-180 mW, in a TO-8 Package (+$500), for a total unit cost of $4250</t>
  </si>
  <si>
    <t>810DBRH-TOSA</t>
  </si>
  <si>
    <t>810 nm single-frequency DBR High Power Chip Architecture ($3750) with output power of 80-180 mW, in a TOSA Package (+$500), for a total unit cost of $4250</t>
  </si>
  <si>
    <t>780.241DBRL-DEC-CS</t>
  </si>
  <si>
    <t>780.241 nm single-frequency DBR Low Power Chip Architecture ($2750) with output power of 40-80 mW, Direct-Edge Coupling (DEC) (+$100), chip on submount, for a total unit cost of $2850</t>
  </si>
  <si>
    <t>816DBRH-BF</t>
  </si>
  <si>
    <t>35-70</t>
  </si>
  <si>
    <t>High Power (35-70 mW) $3,750</t>
  </si>
  <si>
    <t>816 nm single-frequency DBR High Power Chip Architecture ($3750) with output power of 35-70 mW, in a Butterfly Package (+$2500), for a total unit cost of $6250</t>
  </si>
  <si>
    <t>The 816 nm DBR Series of high-performance edge-emitting laser diodes are based on Photodigm’s advanced monolithic single-frequency Gallium Arsenide (GaAs) based laser technology. It provides a single spatial mode beam and has passivated facets for reliability. The 816 nm Series DBR devices are used in as low-noise pump sources for biomedical diagnostics and imaging applications.</t>
  </si>
  <si>
    <t>816 DBR Specification Sheet 11-2-23.pdf</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</si>
  <si>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35-70 mW</t>
  </si>
  <si>
    <t>816DBRH-BFISO</t>
  </si>
  <si>
    <t>15-35</t>
  </si>
  <si>
    <t>High Power (15-35 mW) $3,750</t>
  </si>
  <si>
    <t>816 nm single-frequency DBR High Power Chip Architecture ($3750) with output power of 15-35 mW, in a Butterfly-ISO Package (+$3000), for a total unit cost of $6750</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</si>
  <si>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15-35 mW</t>
  </si>
  <si>
    <t>816DBRH-CM</t>
  </si>
  <si>
    <t>816 nm single-frequency DBR High Power Chip Architecture ($3750) with output power of 80-180 mW, in a C-Mount Package (+$100), for a total unit cost of $3850</t>
  </si>
  <si>
    <t>816DBRH-CS</t>
  </si>
  <si>
    <t>816 nm single-frequency DBR High Power Chip Architecture ($3750) with output power of 80-180 mW, chip on submount, for a total unit cost of $3750</t>
  </si>
  <si>
    <t>816DBRH-MHF-BF</t>
  </si>
  <si>
    <t>816 nm single-frequency DBR High Power Chip Architecture ($3750) with output power of 35-70 mW, Mode Hop Free Mounting (+$700), in a Butterfly Package (+$2500), for a total unit cost of $6950</t>
  </si>
  <si>
    <t>816DBRH-MHF-BFISO</t>
  </si>
  <si>
    <t>816 nm single-frequency DBR High Power Chip Architecture ($3750) with output power of 15-35 mW, Mode Hop Free Mounting (+$700), in a Butterfly-ISO Package (+$3000), for a total unit cost of $7450</t>
  </si>
  <si>
    <t>816DBRH-MHF-CM</t>
  </si>
  <si>
    <t>816 nm single-frequency DBR High Power Chip Architecture ($3750) with output power of 80-180 mW, Mode Hop Free Mounting (+$700), in a C-Mount Package (+$100), for a total unit cost of $4550</t>
  </si>
  <si>
    <t>816DBRH-MHF-CS</t>
  </si>
  <si>
    <t>816 nm single-frequency DBR High Power Chip Architecture ($3750) with output power of 80-180 mW, Mode Hop Free Mounting (+$700), chip on submount, for a total unit cost of $4450</t>
  </si>
  <si>
    <t>816DBRH-MHF-TO8</t>
  </si>
  <si>
    <t>816 nm single-frequency DBR High Power Chip Architecture ($3750) with output power of 80-180 mW, Mode Hop Free Mounting (+$700), in a TO-8 Package (+$500), for a total unit cost of $4950</t>
  </si>
  <si>
    <t>816DBRH-MHF-TOSA</t>
  </si>
  <si>
    <t>816 nm single-frequency DBR High Power Chip Architecture ($3750) with output power of 80-180 mW, Mode Hop Free Mounting (+$700), in a TOSA Package (+$500), for a total unit cost of $4950</t>
  </si>
  <si>
    <t>816DBRH-TO8</t>
  </si>
  <si>
    <t>816 nm single-frequency DBR High Power Chip Architecture ($3750) with output power of 80-180 mW, in a TO-8 Package (+$500), for a total unit cost of $4250</t>
  </si>
  <si>
    <t>816DBRH-TOSA</t>
  </si>
  <si>
    <t>816 nm single-frequency DBR High Power Chip Architecture ($3750) with output power of 80-180 mW, in a TOSA Package (+$500), for a total unit cost of $4250</t>
  </si>
  <si>
    <t>785DBRH-DEC-CS</t>
  </si>
  <si>
    <t>785</t>
  </si>
  <si>
    <t>785 nm single-frequency DBR High Power Chip Architecture ($3750) with output power of 80-180 mW, Direct-Edge Coupling (DEC) (+$100), chip on submount, for a total unit cost of $3850</t>
  </si>
  <si>
    <t>823DBRH-BF</t>
  </si>
  <si>
    <t>823 nm single-frequency DBR High Power Chip Architecture ($3750) with output power of 35-70 mW, in a Butterfly Package (+$2500), for a total unit cost of $6250</t>
  </si>
  <si>
    <t>The 823 nm DBR Series of high-performance edge-emitting laser diodes are based on Photodigm’s advanced monolithic single-frequency Gallium Arsenide (GaAs) based laser technology. It provides a single spatial mode beam and has passivated facets for reliability. The 823 nm Series DBR devices are used in as low-noise pump sources for biomedical diagnostics and imaging applications.</t>
  </si>
  <si>
    <t>823 DBR Specification Sheet 11-2-23.pdf</t>
  </si>
  <si>
    <t>823DBRH-BFISO</t>
  </si>
  <si>
    <t>823 nm single-frequency DBR High Power Chip Architecture ($3750) with output power of 15-35 mW, in a Butterfly-ISO Package (+$3000), for a total unit cost of $6750</t>
  </si>
  <si>
    <t>823DBRH-CM</t>
  </si>
  <si>
    <t>823 nm single-frequency DBR High Power Chip Architecture ($3750) with output power of 80-180 mW, in a C-Mount Package (+$100), for a total unit cost of $3850</t>
  </si>
  <si>
    <t>823DBRH-CS</t>
  </si>
  <si>
    <t>823 nm single-frequency DBR High Power Chip Architecture ($3750) with output power of 80-180 mW, chip on submount, for a total unit cost of $3750</t>
  </si>
  <si>
    <t>823DBRH-MHF-BF</t>
  </si>
  <si>
    <t>823 nm single-frequency DBR High Power Chip Architecture ($3750) with output power of 35-70 mW, Mode Hop Free Mounting (+$700), in a Butterfly Package (+$2500), for a total unit cost of $6950</t>
  </si>
  <si>
    <t>823DBRH-MHF-BFISO</t>
  </si>
  <si>
    <t>823 nm single-frequency DBR High Power Chip Architecture ($3750) with output power of 15-35 mW, Mode Hop Free Mounting (+$700), in a Butterfly-ISO Package (+$3000), for a total unit cost of $7450</t>
  </si>
  <si>
    <t>823DBRH-MHF-CM</t>
  </si>
  <si>
    <t>823 nm single-frequency DBR High Power Chip Architecture ($3750) with output power of 80-180 mW, Mode Hop Free Mounting (+$700), in a C-Mount Package (+$100), for a total unit cost of $4550</t>
  </si>
  <si>
    <t>823DBRH-MHF-CS</t>
  </si>
  <si>
    <t>823 nm single-frequency DBR High Power Chip Architecture ($3750) with output power of 80-180 mW, Mode Hop Free Mounting (+$700), chip on submount, for a total unit cost of $4450</t>
  </si>
  <si>
    <t>823DBRH-MHF-TO8</t>
  </si>
  <si>
    <t>823 nm single-frequency DBR High Power Chip Architecture ($3750) with output power of 80-180 mW, Mode Hop Free Mounting (+$700), in a TO-8 Package (+$500), for a total unit cost of $4950</t>
  </si>
  <si>
    <t>823DBRH-MHF-TOSA</t>
  </si>
  <si>
    <t>823 nm single-frequency DBR High Power Chip Architecture ($3750) with output power of 80-180 mW, Mode Hop Free Mounting (+$700), in a TOSA Package (+$500), for a total unit cost of $4950</t>
  </si>
  <si>
    <t>823DBRH-TO8</t>
  </si>
  <si>
    <t>823 nm single-frequency DBR High Power Chip Architecture ($3750) with output power of 80-180 mW, in a TO-8 Package (+$500), for a total unit cost of $4250</t>
  </si>
  <si>
    <t>823DBRH-TOSA</t>
  </si>
  <si>
    <t>823 nm single-frequency DBR High Power Chip Architecture ($3750) with output power of 80-180 mW, in a TOSA Package (+$500), for a total unit cost of $4250</t>
  </si>
  <si>
    <t>785DBRL-DEC-CS</t>
  </si>
  <si>
    <t>785 nm single-frequency DBR Low Power Chip Architecture ($2750) with output power of 40-80 mW, Direct-Edge Coupling (DEC) (+$100), chip on submount, for a total unit cost of $2850</t>
  </si>
  <si>
    <t>828DBRH-BF</t>
  </si>
  <si>
    <t>828 nm single-frequency DBR High Power Chip Architecture ($3750) with output power of 40-80 mW, in a Butterfly Package (+$2500), for a total unit cost of $6250</t>
  </si>
  <si>
    <t>Remote Sensing/LiDAR
Biomedical</t>
  </si>
  <si>
    <t xml:space="preserve">The 828 nm DBR Series of high-performance edge-emitting laser diodes are based on Photodigm’s advanced monolithic single-frequency Gallium Arsenide (GaAs) based laser technology. It provides a single spatial mode beam and has passivated facets for reliability. The 828 nm Series DBR devices are used in Light detection and ranging (LIDAR) and water vapor sensing. </t>
  </si>
  <si>
    <t>828 DBR Specification Sheet 11.2.23.pdf</t>
  </si>
  <si>
    <t>828DBRH-BFISO</t>
  </si>
  <si>
    <t>828 nm single-frequency DBR High Power Chip Architecture ($3750) with output power of 10-20 mW, in a Butterfly-ISO Package (+$3000), for a total unit cost of $6750</t>
  </si>
  <si>
    <t>828DBRH-CM</t>
  </si>
  <si>
    <t>828 nm single-frequency DBR High Power Chip Architecture ($3750) with output power of 80-180 mW, in a C-Mount Package (+$100), for a total unit cost of $3850</t>
  </si>
  <si>
    <t>828DBRH-CS</t>
  </si>
  <si>
    <t>828 nm single-frequency DBR High Power Chip Architecture ($3750) with output power of 80-180 mW, chip on submount, for a total unit cost of $3750</t>
  </si>
  <si>
    <t>828DBRH-L-CM</t>
  </si>
  <si>
    <t>828 nm single-frequency DBR High Power Chip Architecture ($3750) with output power of 80-180 mW, Virtual Point Source (VPS) Lens (+$700), in a C-Mount Package (+$100), for a total unit cost of $4550</t>
  </si>
  <si>
    <t>828DBRH-L-CS</t>
  </si>
  <si>
    <t>828 nm single-frequency DBR High Power Chip Architecture ($3750) with output power of 80-180 mW, Virtual Point Source (VPS) Lens (+$700), chip on submount, for a total unit cost of $4450</t>
  </si>
  <si>
    <t>828DBRH-L-TO8</t>
  </si>
  <si>
    <t>828 nm single-frequency DBR High Power Chip Architecture ($3750) with output power of 80-180 mW, Virtual Point Source (VPS) Lens (+$700), in a TO-8 Package (+$500) with an angled window cap, for a total unit cost of $4950</t>
  </si>
  <si>
    <t>828DBRH-L-TOSA</t>
  </si>
  <si>
    <t>828 nm single-frequency DBR High Power Chip Architecture ($3750) with output power of 80-180 mW, Virtual Point Source (VPS) Lens (+$700), in a TOSA Package (+$500), for a total unit cost of $4950</t>
  </si>
  <si>
    <t>828DBRH-MHF-BF</t>
  </si>
  <si>
    <t>828 nm single-frequency DBR High Power Chip Architecture ($3750) with output power of 40-80 mW, Mode Hop Free Mounting (+$700), in a Butterfly Package (+$2500), for a total unit cost of $6950</t>
  </si>
  <si>
    <t>828DBRH-MHF-BFISO</t>
  </si>
  <si>
    <t>828 nm single-frequency DBR High Power Chip Architecture ($3750) with output power of 10-20 mW, Mode Hop Free Mounting (+$700), in a Butterfly-ISO Package (+$3000), for a total unit cost of $7450</t>
  </si>
  <si>
    <t>828DBRH-MHF-CM</t>
  </si>
  <si>
    <t>828 nm single-frequency DBR High Power Chip Architecture ($3750) with output power of 80-180 mW, Mode Hop Free Mounting (+$700), in a C-Mount Package (+$100), for a total unit cost of $4550</t>
  </si>
  <si>
    <t>828DBRH-MHF-CS</t>
  </si>
  <si>
    <t>828 nm single-frequency DBR High Power Chip Architecture ($3750) with output power of 80-180 mW, Mode Hop Free Mounting (+$700), chip on submount, for a total unit cost of $4450</t>
  </si>
  <si>
    <t>828DBRH-MHF-TO8</t>
  </si>
  <si>
    <t>828 nm single-frequency DBR High Power Chip Architecture ($3750) with output power of 80-180 mW, Mode Hop Free Mounting (+$700), in a TO-8 Package (+$500), for a total unit cost of $4950</t>
  </si>
  <si>
    <t>828DBRH-MHF-TOSA</t>
  </si>
  <si>
    <t>828 nm single-frequency DBR High Power Chip Architecture ($3750) with output power of 80-180 mW, Mode Hop Free Mounting (+$700), in a TOSA Package (+$500), for a total unit cost of $4950</t>
  </si>
  <si>
    <t>828DBRH-MHFL-CM</t>
  </si>
  <si>
    <t>828 nm single-frequency DBR High Power Chip Architecture ($3750) with output power of 80-180 mW, Mode Hop Free Mounting (+$700), Virtual Point Source (VPS) Lens (+$700), in a C-Mount Package (+$100), for a total unit cost of $5250</t>
  </si>
  <si>
    <t>828DBRH-MHFL-CS</t>
  </si>
  <si>
    <t>828 nm single-frequency DBR High Power Chip Architecture ($3750) with output power of 80-180 mW, Mode Hop Free Mounting (+$700), Virtual Point Source (VPS) Lens (+$700), chip on submount, for a total unit cost of $5150</t>
  </si>
  <si>
    <t>828DBRH-MHFL-TO8</t>
  </si>
  <si>
    <t>828 nm single-frequency DBR High Power Chip Architecture ($3750) with output power of 80-180 mW, Mode Hop Free Mounting (+$700), Virtual Point Source (VPS) Lens (+$700), in a TO-8 Package (+$500) with an angled window cap, for a total unit cost of $5650</t>
  </si>
  <si>
    <t>828DBRH-MHFL-TOSA</t>
  </si>
  <si>
    <t>828 nm single-frequency DBR High Power Chip Architecture ($3750) with output power of 80-180 mW, Mode Hop Free Mounting (+$700), Virtual Point Source (VPS) Lens (+$700), in a TOSA Package (+$500), for a total unit cost of $5650</t>
  </si>
  <si>
    <t>828DBRH-TO8</t>
  </si>
  <si>
    <t>828 nm single-frequency DBR High Power Chip Architecture ($3750) with output power of 80-180 mW, in a TO-8 Package (+$500), for a total unit cost of $4250</t>
  </si>
  <si>
    <t>828DBRH-TOSA</t>
  </si>
  <si>
    <t>828 nm single-frequency DBR High Power Chip Architecture ($3750) with output power of 80-180 mW, in a TOSA Package (+$500), for a total unit cost of $4250</t>
  </si>
  <si>
    <t>794.978DBRH-DEC-CS</t>
  </si>
  <si>
    <t>794.978</t>
  </si>
  <si>
    <t>794.978 nm single-frequency DBR High Power Chip Architecture ($3750) with output power of 80-180 mW, Direct-Edge Coupling (DEC) (+$100), chip on submount, for a total unit cost of $3850</t>
  </si>
  <si>
    <t>794.978 nm single-frequency DBR High Power Chip Architecture ($3750) with output power of 80-180 mW, in a Direct-Edge Coupling (DEC) configuration (+$100), for a total unit cost of $3850</t>
  </si>
  <si>
    <t>The 794.978 nm DBR Series of high-performance edge-emitting laser diodes are based on Photodigm’s advanced monolithic single-frequency Gallium Arsenide (GaAs) based laser technology. It provides a single spatial mode beam and has passivated facets for reliability. The 794.978 nm Series DBR devices are used in atomic spectroscopy for rubidium-based (Rb) and optically pumped magnetometry applications. The 780.241 nm Series DBR devices are Spectroscopy Certified; guaranteed to hit the Rb D1 transition ± 10 °C from room temperature.</t>
  </si>
  <si>
    <t>830DBRH-BF</t>
  </si>
  <si>
    <t>830 nm single-frequency DBR High Power Chip Architecture ($3750) with output power of 40-80 mW, in a Butterfly Package (+$2500), for a total unit cost of $6250</t>
  </si>
  <si>
    <t>The 830 nm DBR Series of high-performance edge-emitting laser diodes are based on Photodigm’s advanced monolithic single-frequency Gallium Arsenide (GaAs) based laser technology. It provides a single spatial mode beam and has passivated facets for reliability. The 830 nm Series DBR devices are used in as low-noise pump sources for biomedical diagnostics and imaging applications.</t>
  </si>
  <si>
    <t>830 DBR Specification Sheet 11-2-23.pdf</t>
  </si>
  <si>
    <t>830DBRH-BFISO</t>
  </si>
  <si>
    <t>830 nm single-frequency DBR High Power Chip Architecture ($3750) with output power of 10-20 mW, in a Butterfly-ISO Package (+$3000), for a total unit cost of $6750</t>
  </si>
  <si>
    <t>830DBRH-CM</t>
  </si>
  <si>
    <t>830 nm single-frequency DBR High Power Chip Architecture ($3750) with output power of 80-180 mW, in a C-Mount Package (+$100), for a total unit cost of $3850</t>
  </si>
  <si>
    <t>830DBRH-CS</t>
  </si>
  <si>
    <t>830 nm single-frequency DBR High Power Chip Architecture ($3750) with output power of 80-180 mW, chip on submount, for a total unit cost of $3750</t>
  </si>
  <si>
    <t>830DBRH-L-CM</t>
  </si>
  <si>
    <t>830 nm single-frequency DBR High Power Chip Architecture ($3750) with output power of 80-180 mW, Virtual Point Source (VPS) Lens (+$700), in a C-Mount Package (+$100), for a total unit cost of $4550</t>
  </si>
  <si>
    <t>830DBRH-L-CS</t>
  </si>
  <si>
    <t>830 nm single-frequency DBR High Power Chip Architecture ($3750) with output power of 80-180 mW, Virtual Point Source (VPS) Lens (+$700), chip on submount, for a total unit cost of $4450</t>
  </si>
  <si>
    <t>830DBRH-L-TO8</t>
  </si>
  <si>
    <t>830 nm single-frequency DBR High Power Chip Architecture ($3750) with output power of 80-180 mW, Virtual Point Source (VPS) Lens (+$700), in a TO-8 Package (+$500) with an angled window cap, for a total unit cost of $4950</t>
  </si>
  <si>
    <t>830DBRH-L-TOSA</t>
  </si>
  <si>
    <t>830 nm single-frequency DBR High Power Chip Architecture ($3750) with output power of 80-180 mW, Virtual Point Source (VPS) Lens (+$700), in a TOSA Package (+$500), for a total unit cost of $4950</t>
  </si>
  <si>
    <t>830DBRH-MHF-BF</t>
  </si>
  <si>
    <t>830 nm single-frequency DBR High Power Chip Architecture ($3750) with output power of 40-80 mW, Mode Hop Free Mounting (+$700), in a Butterfly Package (+$2500), for a total unit cost of $6950</t>
  </si>
  <si>
    <t>830DBRH-MHF-BFISO</t>
  </si>
  <si>
    <t>830 nm single-frequency DBR High Power Chip Architecture ($3750) with output power of 10-20 mW, Mode Hop Free Mounting (+$700), in a Butterfly-ISO Package (+$3000), for a total unit cost of $7450</t>
  </si>
  <si>
    <t>830DBRH-MHF-CM</t>
  </si>
  <si>
    <t>830 nm single-frequency DBR High Power Chip Architecture ($3750) with output power of 80-180 mW, Mode Hop Free Mounting (+$700), in a C-Mount Package (+$100), for a total unit cost of $4550</t>
  </si>
  <si>
    <t>830DBRH-MHF-CS</t>
  </si>
  <si>
    <t>830 nm single-frequency DBR High Power Chip Architecture ($3750) with output power of 80-180 mW, Mode Hop Free Mounting (+$700), chip on submount, for a total unit cost of $4450</t>
  </si>
  <si>
    <t>830DBRH-MHF-TO8</t>
  </si>
  <si>
    <t>830 nm single-frequency DBR High Power Chip Architecture ($3750) with output power of 80-180 mW, Mode Hop Free Mounting (+$700), in a TO-8 Package (+$500), for a total unit cost of $4950</t>
  </si>
  <si>
    <t>830DBRH-MHF-TOSA</t>
  </si>
  <si>
    <t>830 nm single-frequency DBR High Power Chip Architecture ($3750) with output power of 80-180 mW, Mode Hop Free Mounting (+$700), in a TOSA Package (+$500), for a total unit cost of $4950</t>
  </si>
  <si>
    <t>830DBRH-MHFL-CM</t>
  </si>
  <si>
    <t>830 nm single-frequency DBR High Power Chip Architecture ($3750) with output power of 80-180 mW, Mode Hop Free Mounting (+$700), Virtual Point Source (VPS) Lens (+$700), in a C-Mount Package (+$100), for a total unit cost of $5250</t>
  </si>
  <si>
    <t>830DBRH-MHFL-CS</t>
  </si>
  <si>
    <t>830 nm single-frequency DBR High Power Chip Architecture ($3750) with output power of 80-180 mW, Mode Hop Free Mounting (+$700), Virtual Point Source (VPS) Lens (+$700), chip on submount, for a total unit cost of $5150</t>
  </si>
  <si>
    <t>830DBRH-MHFL-TO8</t>
  </si>
  <si>
    <t>830 nm single-frequency DBR High Power Chip Architecture ($3750) with output power of 80-180 mW, Mode Hop Free Mounting (+$700), Virtual Point Source (VPS) Lens (+$700), in a TO-8 Package (+$500) with an angled window cap, for a total unit cost of $5650</t>
  </si>
  <si>
    <t>830DBRH-MHFL-TOSA</t>
  </si>
  <si>
    <t>830 nm single-frequency DBR High Power Chip Architecture ($3750) with output power of 80-180 mW, Mode Hop Free Mounting (+$700), Virtual Point Source (VPS) Lens (+$700), in a TOSA Package (+$500), for a total unit cost of $5650</t>
  </si>
  <si>
    <t>830DBRH-TO8</t>
  </si>
  <si>
    <t>830 nm single-frequency DBR High Power Chip Architecture ($3750) with output power of 80-180 mW, in a TO-8 Package (+$500), for a total unit cost of $4250</t>
  </si>
  <si>
    <t>830DBRH-TOSA</t>
  </si>
  <si>
    <t>830 nm single-frequency DBR High Power Chip Architecture ($3750) with output power of 80-180 mW, in a TOSA Package (+$500), for a total unit cost of $4250</t>
  </si>
  <si>
    <t>794.978DBRHOT-DEC-CS</t>
  </si>
  <si>
    <t>794.978 nm single-frequency DBR High Operating Temperature (HOT) Chip Architecture ($4250) with output power of 10-30 mW, Direct-Edge Coupling (DEC) (+$100), chip on submount, for a total unit cost of $4350</t>
  </si>
  <si>
    <t>794.978 nm single-frequency DBR High Operating Temperature (HOT) Chip Architecture ($4250) with output power of 10-30 mW, in a Direct-Edge Coupling (DEC) configuration (+$100), for a total unit cost of $4350</t>
  </si>
  <si>
    <t>845.584DBRH-BF</t>
  </si>
  <si>
    <t>845.584 nm single-frequency DBR High Power Chip Architecture ($3750) with output power of 40-120 mW, in a Butterfly Package (+$2500), for a total unit cost of $6250</t>
  </si>
  <si>
    <t>The 845.584 nm DBR Series of high-performance edge-emitting laser diodes are based on Photodigm’s advanced monolithic single-frequency Gallium Arsenide (GaAs) based laser technology. It provides a single spatial mode beam and has passivated facets for reliability. The 845.584 nm Series DBR devices are used in atomic spectroscopy for calcium based (Ca) applications. The 845.584 nm Series DBR devices are Spectroscopy Certified; guaranteed to hit the frequency doubled Ca cooling transition ± 10 °C from room temperature.</t>
  </si>
  <si>
    <t>845.584 DBR Specification Sheet 11-2-23.pdf</t>
  </si>
  <si>
    <t>845.584DBRH-BFISO</t>
  </si>
  <si>
    <t>10-25</t>
  </si>
  <si>
    <t>High Power (10-25 mW) $3,750</t>
  </si>
  <si>
    <t>845.584 nm single-frequency DBR High Power Chip Architecture ($3750) with output power of 10-25 mW, in a Butterfly-ISO Package (+$3000), for a total unit cost of $6750</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</si>
  <si>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10-25 mW</t>
  </si>
  <si>
    <t>845.584DBRH-CM</t>
  </si>
  <si>
    <t>80-240</t>
  </si>
  <si>
    <t>High Power (80-240 mW) $3,750</t>
  </si>
  <si>
    <t>845.584 nm single-frequency DBR High Power Chip Architecture ($3750) with output power of 80-240 mW, in a C-Mount Package (+$100), for a total unit cost of $3850</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</si>
  <si>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80-240 mW</t>
  </si>
  <si>
    <t>845.584DBRH-CS</t>
  </si>
  <si>
    <t>845.584 nm single-frequency DBR High Power Chip Architecture ($3750) with output power of 80-240 mW, chip on submount, for a total unit cost of $3750</t>
  </si>
  <si>
    <t>845.584DBRH-L-CM</t>
  </si>
  <si>
    <t>845.584 nm single-frequency DBR High Power Chip Architecture ($3750) with output power of 80-240 mW, Virtual Point Source (VPS) Lens (+$700), in a C-Mount Package (+$100), for a total unit cost of $4550</t>
  </si>
  <si>
    <t>845.584DBRH-L-CS</t>
  </si>
  <si>
    <t>845.584 nm single-frequency DBR High Power Chip Architecture ($3750) with output power of 80-240 mW, Virtual Point Source (VPS) Lens (+$700), chip on submount, for a total unit cost of $4450</t>
  </si>
  <si>
    <t>845.584DBRH-L-TO8</t>
  </si>
  <si>
    <t>845.584 nm single-frequency DBR High Power Chip Architecture ($3750) with output power of 80-240 mW, Virtual Point Source (VPS) Lens (+$700), in a TO-8 Package (+$500) with an angled window cap, for a total unit cost of $4950</t>
  </si>
  <si>
    <t>845.584DBRH-L-TOSA</t>
  </si>
  <si>
    <t>845.584 nm single-frequency DBR High Power Chip Architecture ($3750) with output power of 80-240 mW, Virtual Point Source (VPS) Lens (+$700), in a TOSA Package (+$500), for a total unit cost of $4950</t>
  </si>
  <si>
    <t>845.584DBRH-MHF-BF</t>
  </si>
  <si>
    <t>845.584 nm single-frequency DBR High Power Chip Architecture ($3750) with output power of 40-120 mW, Mode Hop Free Mounting (+$700), in a Butterfly Package (+$2500), for a total unit cost of $6950</t>
  </si>
  <si>
    <t>845.584DBRH-MHF-BFISO</t>
  </si>
  <si>
    <t>845.584 nm single-frequency DBR High Power Chip Architecture ($3750) with output power of 10-25 mW, Mode Hop Free Mounting (+$700), in a Butterfly-ISO Package (+$3000), for a total unit cost of $7450</t>
  </si>
  <si>
    <t>845.584DBRH-MHF-CM</t>
  </si>
  <si>
    <t>845.584 nm single-frequency DBR High Power Chip Architecture ($3750) with output power of 80-240 mW, Mode Hop Free Mounting (+$700), in a C-Mount Package (+$100), for a total unit cost of $4550</t>
  </si>
  <si>
    <t>845.584DBRH-MHF-CS</t>
  </si>
  <si>
    <t>845.584 nm single-frequency DBR High Power Chip Architecture ($3750) with output power of 80-240 mW, Mode Hop Free Mounting (+$700), chip on submount, for a total unit cost of $4450</t>
  </si>
  <si>
    <t>845.584DBRH-MHF-TO8</t>
  </si>
  <si>
    <t>845.584 nm single-frequency DBR High Power Chip Architecture ($3750) with output power of 80-240 mW, Mode Hop Free Mounting (+$700), in a TO-8 Package (+$500), for a total unit cost of $4950</t>
  </si>
  <si>
    <t>845.584DBRH-MHF-TOSA</t>
  </si>
  <si>
    <t>845.584 nm single-frequency DBR High Power Chip Architecture ($3750) with output power of 80-240 mW, Mode Hop Free Mounting (+$700), in a TOSA Package (+$500), for a total unit cost of $4950</t>
  </si>
  <si>
    <t>845.584DBRH-MHFL-CM</t>
  </si>
  <si>
    <t>845.584 nm single-frequency DBR High Power Chip Architecture ($3750) with output power of 80-240 mW, Mode Hop Free Mounting (+$700), Virtual Point Source (VPS) Lens (+$700), in a C-Mount Package (+$100), for a total unit cost of $5250</t>
  </si>
  <si>
    <t>845.584DBRH-MHFL-CS</t>
  </si>
  <si>
    <t>845.584 nm single-frequency DBR High Power Chip Architecture ($3750) with output power of 80-240 mW, Mode Hop Free Mounting (+$700), Virtual Point Source (VPS) Lens (+$700), chip on submount, for a total unit cost of $5150</t>
  </si>
  <si>
    <t>845.584DBRH-MHFL-TO8</t>
  </si>
  <si>
    <t>845.584 nm single-frequency DBR High Power Chip Architecture ($3750) with output power of 80-240 mW, Mode Hop Free Mounting (+$700), Virtual Point Source (VPS) Lens (+$700), in a TO-8 Package (+$500) with an angled window cap, for a total unit cost of $5650</t>
  </si>
  <si>
    <t>845.584DBRH-MHFL-TOSA</t>
  </si>
  <si>
    <t>845.584 nm single-frequency DBR High Power Chip Architecture ($3750) with output power of 80-240 mW, Mode Hop Free Mounting (+$700), Virtual Point Source (VPS) Lens (+$700), in a TOSA Package (+$500), for a total unit cost of $5650</t>
  </si>
  <si>
    <t>845.584DBRH-TO8</t>
  </si>
  <si>
    <t>845.584 nm single-frequency DBR High Power Chip Architecture ($3750) with output power of 80-240 mW, in a TO-8 Package (+$500), for a total unit cost of $4250</t>
  </si>
  <si>
    <t>794.978DBRL-DEC-CS</t>
  </si>
  <si>
    <t>794.978 nm single-frequency DBR Low Power Chip Architecture ($2750) with output power of 40-80 mW, Direct-Edge Coupling (DEC) (+$100), chip on submount, for a total unit cost of $2850</t>
  </si>
  <si>
    <t>794.978 nm single-frequency DBR Low Power Chip Architecture ($2750) with output power of 40-80 mW, in a a Direct-Edge Coupling (DEC) configruation (+$100), for a total unit cost of $2850</t>
  </si>
  <si>
    <t>845.584DBRH-TOSA</t>
  </si>
  <si>
    <t>845.584 nm single-frequency DBR High Power Chip Architecture ($3750) with output power of 80-240 mW, in a TOSA Package (+$500), for a total unit cost of $4250</t>
  </si>
  <si>
    <t>850DAF100-CS</t>
  </si>
  <si>
    <t>850</t>
  </si>
  <si>
    <t>850 nm double-angle facet (DAF) gain chip ($800) with an amplification of 10-100 mW , in a Chip-on Submount (CoS) Package, for a total unit cost of $800</t>
  </si>
  <si>
    <t>The 850 nm DAF Series of high-performance edge-emitting gain chip are based on Photodigm’s advanced monolithic Gallium Arsenide (GaAs) based laser technology. It provides a single spatial mode beam, a unique anti-reflective coating pair (&lt;3% AR both sides) and has passivated facets for reliability. The 850 nm Series DAF gain chip devices have an angled waveguide at the output facet to minimize internal reflections and are frequently used in applications to recover isolator and fiber insertion losses.</t>
  </si>
  <si>
    <t>850 DAF Specification Sheet Final.pdf</t>
  </si>
  <si>
    <t>850SAF100-CS-AE-DEC</t>
  </si>
  <si>
    <t>850 nm single-angle facet (SAF) gain chip ($800) with an amplification of 10-100 mW , in a Chip-on Submount (CoS) Package designed for Angled Emission (AE) with customized Direct Edge Coupling ($100), for a total unit cost of $900</t>
  </si>
  <si>
    <t xml:space="preserve">The 850 nm SAF Series of high-performance edge-emitting gain chips are based on Photodigm’s advanced monolithic Gallium Arsenide (GaAs) based laser technology. It provides a single spatial mode beam, a unique anti-reflective and highly reflective coating pair (&gt;90% HR, &lt;0.1% AR), and has passivated facets for reliability. The 850 nm Series SAF gain chip devices have a curved waveguide forming a 5° angle exit at the facet and are frequently used in applications involving external-cavity diode lasers (ECDLs). </t>
  </si>
  <si>
    <t>850-SAF</t>
  </si>
  <si>
    <t>850SAF100-CS-DEC</t>
  </si>
  <si>
    <t>850 nm single-angle facet (SAF) gain chip ($800) with an amplification of 10-100 mW , in a Chip-on Submount (CoS) Package designed for Direct Emission (DE), for a total unit cost of $800</t>
  </si>
  <si>
    <t>852.347DBRH-BF</t>
  </si>
  <si>
    <t>852.347 nm single-frequency DBR High Power Chip Architecture ($3750) with output power of 40-120 mW, in a Butterfly Package (+$2500), for a total unit cost of $6250</t>
  </si>
  <si>
    <t>The 852.347 nm DBR Series of high-performance edge-emitting laser diodes are based on Photodigm’s advanced monolithic single-frequency Gallium Arsenide (GaAs) based laser technology. It provides a single spatial mode beam and has passivated facets for reliability. The 852.347 nm Series DBR devices are used in atomic spectroscopy for cesium-based (Cs) and Raman spectroscopy applications. The 852.347 nm Series DBR devices are Spectroscopy Certified; guaranteed to hit the Cs D2 transition ± 10 °C from room temperature.</t>
  </si>
  <si>
    <t>852.347 DBR Specification Sheet 11.2.23.pdf</t>
  </si>
  <si>
    <t>852.347DBRH-BFISO</t>
  </si>
  <si>
    <t>852.347 nm single-frequency DBR High Power Chip Architecture ($3750) with output power of 10-25 mW, in a Butterfly-ISO Package (+$3000), for a total unit cost of $6750</t>
  </si>
  <si>
    <t>852.347DBRH-CM</t>
  </si>
  <si>
    <t>852.347 nm single-frequency DBR High Power Chip Architecture ($3750) with output power of 80-240 mW, in a C-Mount Package (+$100), for a total unit cost of $3850</t>
  </si>
  <si>
    <t>852.347DBRH-CS</t>
  </si>
  <si>
    <t>852.347 nm single-frequency DBR High Power Chip Architecture ($3750) with output power of 80-240 mW, chip on submount, for a total unit cost of $3750</t>
  </si>
  <si>
    <t>852.347DBRH-L-CM</t>
  </si>
  <si>
    <t>852.347 nm single-frequency DBR High Power Chip Architecture ($3750) with output power of 80-240 mW, Virtual Point Source (VPS) Lens (+$700), in a C-Mount Package (+$100), for a total unit cost of $4550</t>
  </si>
  <si>
    <t>852.347DBRH-L-CS</t>
  </si>
  <si>
    <t>852.347 nm single-frequency DBR High Power Chip Architecture ($3750) with output power of 80-240 mW, Virtual Point Source (VPS) Lens (+$700), chip on submount, for a total unit cost of $4450</t>
  </si>
  <si>
    <t>852.347DBRH-L-TO8</t>
  </si>
  <si>
    <t>852.347 nm single-frequency DBR High Power Chip Architecture ($3750) with output power of 80-240 mW, Virtual Point Source (VPS) Lens (+$700), in a TO-8 Package (+$500) with an angled window cap, for a total unit cost of $4950</t>
  </si>
  <si>
    <t>852.347DBRL-L-TOSA</t>
  </si>
  <si>
    <t>852.347 nm single-frequency DBR Low Power Chip Architecture ($2750) with output power of 40-80 mW, Virtual Point Source (VPS) Lens (+$700), in a TOSA Package (+$500), for a total unit cost of $3950</t>
  </si>
  <si>
    <t>852.347DBRH-L-TOSA</t>
  </si>
  <si>
    <t>852.347 nm single-frequency DBR High Power Chip Architecture ($3750) with output power of 80-240 mW, Virtual Point Source (VPS) Lens (+$700), in a TOSA Package (+$500), for a total unit cost of $4950</t>
  </si>
  <si>
    <t>852.347DBRHOT-L-TOSA</t>
  </si>
  <si>
    <t>852.347 nm single-frequency DBR High Operating Temperature (HOT) Chip Architecture ($4250) with output power of 10-30 mW, Virtual Point Source (VPS) Lens (+$700), in a TOSA Package (+$500), for a total unit cost of $5450</t>
  </si>
  <si>
    <t>852.347DBRH-MHF-BF</t>
  </si>
  <si>
    <t>852.347 nm single-frequency DBR High Power Chip Architecture ($3750) with output power of 40-120 mW, Mode Hop Free Mounting (+$700), in a Butterfly Package (+$2500), for a total unit cost of $6950</t>
  </si>
  <si>
    <t>852.347DBRH-MHF-BFISO</t>
  </si>
  <si>
    <t>852.347 nm single-frequency DBR High Power Chip Architecture ($3750) with output power of 10-25 mW, Mode Hop Free Mounting (+$700), in a Butterfly-ISO Package (+$3000), for a total unit cost of $7450</t>
  </si>
  <si>
    <t>852.347DBRH-MHF-CM</t>
  </si>
  <si>
    <t>852.347 nm single-frequency DBR High Power Chip Architecture ($3750) with output power of 80-240 mW, Mode Hop Free Mounting (+$700), in a C-Mount Package (+$100), for a total unit cost of $4550</t>
  </si>
  <si>
    <t>852.347DBRH-MHF-CS</t>
  </si>
  <si>
    <t>852.347 nm single-frequency DBR High Power Chip Architecture ($3750) with output power of 80-240 mW, Mode Hop Free Mounting (+$700), chip on submount, for a total unit cost of $4450</t>
  </si>
  <si>
    <t>852.347DBRH-MHF-TO8</t>
  </si>
  <si>
    <t>852.347 nm single-frequency DBR High Power Chip Architecture ($3750) with output power of 80-240 mW, Mode Hop Free Mounting (+$700), in a TO-8 Package (+$500), for a total unit cost of $4950</t>
  </si>
  <si>
    <t>852.347DBRL-MHF-TOSA</t>
  </si>
  <si>
    <t>852.347 nm single-frequency DBR Low Power Chip Architecture ($2750) with output power of 40-80 mW, Mode Hop Free Mounting (+$700), in a TOSA Package (+$500), for a total unit cost of $3950</t>
  </si>
  <si>
    <t>852.347DBRH-MHF-TOSA</t>
  </si>
  <si>
    <t>852.347 nm single-frequency DBR High Power Chip Architecture ($3750) with output power of 80-240 mW, Mode Hop Free Mounting (+$700), in a TOSA Package (+$500), for a total unit cost of $4950</t>
  </si>
  <si>
    <t>852.347DBRH-MHFL-CM</t>
  </si>
  <si>
    <t>852.347 nm single-frequency DBR High Power Chip Architecture ($3750) with output power of 80-240 mW, Mode Hop Free Mounting (+$700), Virtual Point Source (VPS) Lens (+$700), in a C-Mount Package (+$100), for a total unit cost of $5250</t>
  </si>
  <si>
    <t>852.347DBRH-MHFL-CS</t>
  </si>
  <si>
    <t>852.347 nm single-frequency DBR High Power Chip Architecture ($3750) with output power of 80-240 mW, Mode Hop Free Mounting (+$700), Virtual Point Source (VPS) Lens (+$700), chip on submount, for a total unit cost of $5150</t>
  </si>
  <si>
    <t>852.347DBRH-MHFL-TO8</t>
  </si>
  <si>
    <t>852.347 nm single-frequency DBR High Power Chip Architecture ($3750) with output power of 80-240 mW, Mode Hop Free Mounting (+$700), Virtual Point Source (VPS) Lens (+$700), in a TO-8 Package (+$500) with an angled window cap, for a total unit cost of $5650</t>
  </si>
  <si>
    <t>852.347DBRL-MHFL-TOSA</t>
  </si>
  <si>
    <t>852.347 nm single-frequency DBR Low Power Chip Architecture ($2750) with output power of 40-80 mW, Mode Hop Free Mounting (+$700), Virtual Point Source (VPS) Lens (+$700), in a TOSA Package (+$500), for a total unit cost of $4650</t>
  </si>
  <si>
    <t>852.347DBRH-MHFL-TOSA</t>
  </si>
  <si>
    <t>852.347 nm single-frequency DBR High Power Chip Architecture ($3750) with output power of 80-240 mW, Mode Hop Free Mounting (+$700), Virtual Point Source (VPS) Lens (+$700), in a TOSA Package (+$500), for a total unit cost of $5650</t>
  </si>
  <si>
    <t>852.347DBRHOT-9M</t>
  </si>
  <si>
    <t>852.347 nm single-frequency DBR High Operating Temperature (HOT) Chip Architecture ($4250) with output power of 10-30 mW, in a 9mm Package (+$150), for a total unit cost of $4400</t>
  </si>
  <si>
    <t>852.347DBRHOT-BF</t>
  </si>
  <si>
    <t>852.347 nm single-frequency DBR High Operating Temperature (HOT) Chip Architecture ($4250) with output power of 5-15 mW, in a Butterfly Package (+$2500), for a total unit cost of $6750</t>
  </si>
  <si>
    <t>852.347DBRHOT-CM</t>
  </si>
  <si>
    <t>852.347 nm single-frequency DBR High Operating Temperature (HOT) Chip Architecture ($4250) with output power of 10-30 mW, in a C-Mount Package (+$100), for a total unit cost of $4350</t>
  </si>
  <si>
    <t>852.347DBRHOT-CS</t>
  </si>
  <si>
    <t>852.347 nm single-frequency DBR High Operating Temperature (HOT) Chip Architecture ($4250) with output power of 10-30 mW, chip on submount, for a total unit cost of $4250</t>
  </si>
  <si>
    <t>852.347DBRHOT-TO8</t>
  </si>
  <si>
    <t>852.347 nm single-frequency DBR High Operating Temperature (HOT) Chip Architecture ($4250) with output power of 10-30 mW, in a TO-8 Package (+$500), for a total unit cost of $4750</t>
  </si>
  <si>
    <t>852.347DBRH-TO8</t>
  </si>
  <si>
    <t>852.347 nm single-frequency DBR High Power Chip Architecture ($3750) with output power of 80-240 mW, in a TO-8 Package (+$500), for a total unit cost of $4250</t>
  </si>
  <si>
    <t>852.347DBRL-TOSA</t>
  </si>
  <si>
    <t>852.347 nm single-frequency DBR Low Power Chip Architecture ($2750) with output power of 40-80 mW, in a TOSA Package (+$500), for a total unit cost of $3250</t>
  </si>
  <si>
    <t>852.347DBRH-TOSA</t>
  </si>
  <si>
    <t>852.347 nm single-frequency DBR High Power Chip Architecture ($3750) with output power of 80-240 mW, in a TOSA Package (+$500), for a total unit cost of $4250</t>
  </si>
  <si>
    <t>852.347DBRHOT-L-CM</t>
  </si>
  <si>
    <t>852.347 nm single-frequency DBR High Operating Temperature (HOT) Chip Architecture ($4250) with output power of 10-30 mW, Virtual Point Source (VPS) Lens (+$700), in a C-Mount Package (+$100), for a total unit cost of $5050</t>
  </si>
  <si>
    <t>852.347DBRHOT-L-CS</t>
  </si>
  <si>
    <t>852.347 nm single-frequency DBR High Operating Temperature (HOT) Chip Architecture ($4250) with output power of 10-30 mW, Virtual Point Source (VPS) Lens (+$700), chip on submount, for a total unit cost of $4950</t>
  </si>
  <si>
    <t>852.347DBRHOT-L-TO8</t>
  </si>
  <si>
    <t>852.347 nm single-frequency DBR High Operating Temperature (HOT) Chip Architecture ($4250) with output power of 10-30 mW, Virtual Point Source (VPS) Lens (+$700), in a TO-8 Package (+$500) with an angled window cap, for a total unit cost of $5450</t>
  </si>
  <si>
    <t>852.347DBRHOT-TOSA</t>
  </si>
  <si>
    <t>852.347 nm single-frequency DBR High Operating Temperature (HOT) Chip Architecture ($4250) with output power of 10-30 mW, in a TOSA Package (+$500), for a total unit cost of $4750</t>
  </si>
  <si>
    <t>852.347DBRL-9M</t>
  </si>
  <si>
    <t>852.347 nm single-frequency DBR Low Power Chip Architecture ($2750) with output power of 40-80 mW, in a 9mm Package (+$150), for a total unit cost of $2900</t>
  </si>
  <si>
    <t>852.347DBRL-BF</t>
  </si>
  <si>
    <t>852.347 nm single-frequency DBR Low Power Chip Architecture ($2750) with output power of 20-40 mW, in a Butterfly Package (+$2500), for a total unit cost of $5250</t>
  </si>
  <si>
    <t>852.347DBRL-BFISO</t>
  </si>
  <si>
    <t>7-15</t>
  </si>
  <si>
    <t>Low Power (7-15 mW) $2,750</t>
  </si>
  <si>
    <t>852.347 nm single-frequency DBR Low Power Chip Architecture ($2750) with output power of 7-15 mW, in a Butterfly-ISO Package (+$3000), for a total unit cost of $5750</t>
  </si>
  <si>
    <t>This laser diode is based on Photodigm's proprietary Distributed Bragg Reflector (DBR) design. It is augmented by the Low Power laser diode architecture, a product designed for applications where low threshold currents are desired and power output isn't application critical. Power output is between  7-15 mW</t>
  </si>
  <si>
    <t>852.347DBRL-CM</t>
  </si>
  <si>
    <t>852.347 nm single-frequency DBR Low Power Chip Architecture ($2750) with output power of 40-80 mW, in a C-Mount Package (+$100), for a total unit cost of $2850</t>
  </si>
  <si>
    <t>852.347DBRL-CS</t>
  </si>
  <si>
    <t>852.347 nm single-frequency DBR Low Power Chip Architecture ($2750) with output power of 40-80 mW, chip on submount, for a total unit cost of $2750</t>
  </si>
  <si>
    <t>852.347DBRL-L-CM</t>
  </si>
  <si>
    <t>852.347 nm single-frequency DBR Low Power Chip Architecture ($2750) with output power of 40-80 mW, Virtual Point Source (VPS) Lens (+$700), in a C-Mount Package (+$100), for a total unit cost of $3550</t>
  </si>
  <si>
    <t>852.347DBRL-L-CS</t>
  </si>
  <si>
    <t>852.347 nm single-frequency DBR Low Power Chip Architecture ($2750) with output power of 40-80 mW, Virtual Point Source (VPS) Lens (+$700), chip on submount, for a total unit cost of $3450</t>
  </si>
  <si>
    <t>852.347DBRL-L-TO8</t>
  </si>
  <si>
    <t>852.347 nm single-frequency DBR Low Power Chip Architecture ($2750) with output power of 40-80 mW, Virtual Point Source (VPS) Lens (+$700), in a TO-8 Package (+$500) with an angled window cap, for a total unit cost of $3950</t>
  </si>
  <si>
    <t>852.347DBRL-MHF-BF</t>
  </si>
  <si>
    <t>852.347 nm single-frequency DBR Low Power Chip Architecture ($2750) with output power of 20-40 mW, Mode Hop Free Mounting (+$700), in a Butterfly Package (+$2500), for a total unit cost of $5950</t>
  </si>
  <si>
    <t>852.347DBRL-MHF-BFISO</t>
  </si>
  <si>
    <t>852.347 nm single-frequency DBR Low Power Chip Architecture ($2750) with output power of 7-15 mW, Mode Hop Free Mounting (+$700), in a Butterfly-ISO Package (+$3000), for a total unit cost of $6450</t>
  </si>
  <si>
    <t>852.347DBRL-MHF-CM</t>
  </si>
  <si>
    <t>852.347 nm single-frequency DBR Low Power Chip Architecture ($2750) with output power of 40-80 mW, Mode Hop Free Mounting (+$700), in a C-Mount Package (+$100), for a total unit cost of $3550</t>
  </si>
  <si>
    <t>852.347DBRL-MHF-CS</t>
  </si>
  <si>
    <t>852.347 nm single-frequency DBR Low Power Chip Architecture ($2750) with output power of 40-80 mW, Mode Hop Free Mounting (+$700), chip on submount, for a total unit cost of $3450</t>
  </si>
  <si>
    <t>852.347DBRL-MHF-TO8</t>
  </si>
  <si>
    <t>852.347 nm single-frequency DBR Low Power Chip Architecture ($2750) with output power of 40-80 mW, Mode Hop Free Mounting (+$700), in a TO-8 Package (+$500), for a total unit cost of $3950</t>
  </si>
  <si>
    <t>852.347DBRL-MHFL-CM</t>
  </si>
  <si>
    <t>852.347 nm single-frequency DBR Low Power Chip Architecture ($2750) with output power of 40-80 mW, Mode Hop Free Mounting (+$700), Virtual Point Source (VPS) Lens (+$700), in a C-Mount Package (+$100), for a total unit cost of $4250</t>
  </si>
  <si>
    <t>852.347DBRL-MHFL-CS</t>
  </si>
  <si>
    <t>852.347 nm single-frequency DBR Low Power Chip Architecture ($2750) with output power of 40-80 mW, Mode Hop Free Mounting (+$700), Virtual Point Source (VPS) Lens (+$700), chip on submount, for a total unit cost of $4150</t>
  </si>
  <si>
    <t>852.347DBRL-MHFL-TO8</t>
  </si>
  <si>
    <t>852.347 nm single-frequency DBR Low Power Chip Architecture ($2750) with output power of 40-80 mW, Mode Hop Free Mounting (+$700), Virtual Point Source (VPS) Lens (+$700), in a TO-8 Package (+$500) with an angled window cap, for a total unit cost of $4650</t>
  </si>
  <si>
    <t>852.347DBRL-TO8</t>
  </si>
  <si>
    <t>852.347 nm single-frequency DBR Low Power Chip Architecture ($2750) with output power of 40-80 mW, in a TO-8 Package (+$500), for a total unit cost of $3250</t>
  </si>
  <si>
    <t>800DBRH-DEC-CS</t>
  </si>
  <si>
    <t>800</t>
  </si>
  <si>
    <t>800 nm single-frequency DBR High Power Chip Architecture ($3750) with output power of 80-180 mW, Direct-Edge Coupling (DEC) (+$100), chip on submount, for a total unit cost of $3850</t>
  </si>
  <si>
    <t>808DBRH-DEC-CS</t>
  </si>
  <si>
    <t>808</t>
  </si>
  <si>
    <t>808 nm single-frequency DBR High Power Chip Architecture ($3750) with output power of 80-180 mW, Direct-Edge Coupling (DEC) (+$100), chip on submount, for a total unit cost of $3850</t>
  </si>
  <si>
    <t>810DBRH-DEC-CS</t>
  </si>
  <si>
    <t>810</t>
  </si>
  <si>
    <t>810 nm single-frequency DBR High Power Chip Architecture ($3750) with output power of 80-180 mW, Direct-Edge Coupling (DEC) (+$100), chip on submount, for a total unit cost of $3850</t>
  </si>
  <si>
    <t>854.209DBRH-BF</t>
  </si>
  <si>
    <t>854.209 nm single-frequency DBR High Power Chip Architecture ($3750) with output power of 40-120 mW, in a Butterfly Package (+$2500), for a total unit cost of $6250</t>
  </si>
  <si>
    <t>The 854.209 nm DBR Series of high-performance edge-emitting laser diodes are based on Photodigm’s advanced monolithic single-frequency Gallium Arsenide (GaAs) based laser technology. It provides a single spatial mode beam and has passivated facets for reliability. The 854.209 nm Series DBR devices are used in atomic spectroscopy for calcium ion-based (Ca+) applications. The 854.209 nm Series DBR devices are Spectroscopy Certified; guaranteed to hit the Ca+ cooling transition ± 10 °C from room temperature.</t>
  </si>
  <si>
    <t>854.209 DBR Specification Sheet 11-2-23.pdf</t>
  </si>
  <si>
    <t>854.209DBRH-BFISO</t>
  </si>
  <si>
    <t>854.209 nm single-frequency DBR High Power Chip Architecture ($3750) with output power of 10-25 mW, in a Butterfly-ISO Package (+$3000), for a total unit cost of $6750</t>
  </si>
  <si>
    <t>854.209DBRH-CM</t>
  </si>
  <si>
    <t>854.209 nm single-frequency DBR High Power Chip Architecture ($3750) with output power of 80-240 mW, in a C-Mount Package (+$100), for a total unit cost of $3850</t>
  </si>
  <si>
    <t>854.209DBRH-CS</t>
  </si>
  <si>
    <t>854.209 nm single-frequency DBR High Power Chip Architecture ($3750) with output power of 80-240 mW, chip on submount, for a total unit cost of $3750</t>
  </si>
  <si>
    <t>854.209DBRH-L-CM</t>
  </si>
  <si>
    <t>854.209 nm single-frequency DBR High Power Chip Architecture ($3750) with output power of 80-240 mW, Virtual Point Source (VPS) Lens (+$700), in a C-Mount Package (+$100), for a total unit cost of $4550</t>
  </si>
  <si>
    <t>854.209DBRH-L-CS</t>
  </si>
  <si>
    <t>854.209 nm single-frequency DBR High Power Chip Architecture ($3750) with output power of 80-240 mW, Virtual Point Source (VPS) Lens (+$700), chip on submount, for a total unit cost of $4450</t>
  </si>
  <si>
    <t>854.209DBRH-L-TO8</t>
  </si>
  <si>
    <t>854.209 nm single-frequency DBR High Power Chip Architecture ($3750) with output power of 80-240 mW, Virtual Point Source (VPS) Lens (+$700), in a TO-8 Package (+$500) with an angled window cap, for a total unit cost of $4950</t>
  </si>
  <si>
    <t>854.209DBRH-MHF-BF</t>
  </si>
  <si>
    <t>854.209 nm single-frequency DBR High Power Chip Architecture ($3750) with output power of 40-120 mW, Mode Hop Free Mounting (+$700), in a Butterfly Package (+$2500), for a total unit cost of $6950</t>
  </si>
  <si>
    <t>854.209DBRH-MHF-BFISO</t>
  </si>
  <si>
    <t>854.209 nm single-frequency DBR High Power Chip Architecture ($3750) with output power of 10-25 mW, Mode Hop Free Mounting (+$700), in a Butterfly-ISO Package (+$3000), for a total unit cost of $7450</t>
  </si>
  <si>
    <t>854.209DBRH-MHF-CM</t>
  </si>
  <si>
    <t>854.209 nm single-frequency DBR High Power Chip Architecture ($3750) with output power of 80-240 mW, Mode Hop Free Mounting (+$700), in a C-Mount Package (+$100), for a total unit cost of $4550</t>
  </si>
  <si>
    <t>854.209DBRH-MHF-CS</t>
  </si>
  <si>
    <t>854.209 nm single-frequency DBR High Power Chip Architecture ($3750) with output power of 80-240 mW, Mode Hop Free Mounting (+$700), chip on submount, for a total unit cost of $4450</t>
  </si>
  <si>
    <t>854.209DBRH-MHF-TO8</t>
  </si>
  <si>
    <t>854.209 nm single-frequency DBR High Power Chip Architecture ($3750) with output power of 80-240 mW, Mode Hop Free Mounting (+$700), in a TO-8 Package (+$500), for a total unit cost of $4950</t>
  </si>
  <si>
    <t>854.209DBRH-MHFL-CM</t>
  </si>
  <si>
    <t>854.209 nm single-frequency DBR High Power Chip Architecture ($3750) with output power of 80-240 mW, Mode Hop Free Mounting (+$700), Virtual Point Source (VPS) Lens (+$700), in a C-Mount Package (+$100), for a total unit cost of $5250</t>
  </si>
  <si>
    <t>854.209DBRH-MHFL-CS</t>
  </si>
  <si>
    <t>854.209 nm single-frequency DBR High Power Chip Architecture ($3750) with output power of 80-240 mW, Mode Hop Free Mounting (+$700), Virtual Point Source (VPS) Lens (+$700), chip on submount, for a total unit cost of $5150</t>
  </si>
  <si>
    <t>854.209DBRH-MHFL-TO8</t>
  </si>
  <si>
    <t>854.209 nm single-frequency DBR High Power Chip Architecture ($3750) with output power of 80-240 mW, Mode Hop Free Mounting (+$700), Virtual Point Source (VPS) Lens (+$700), in a TO-8 Package (+$500) with an angled window cap, for a total unit cost of $5650</t>
  </si>
  <si>
    <t>854.209DBRH-TOSA</t>
  </si>
  <si>
    <t>854.209 nm single-frequency DBR High Power Chip Architecture ($3750) with output power of 80-240 mW, in a TOSA Package (+$500), for a total unit cost of $4250</t>
  </si>
  <si>
    <t>854.209 nm single-frequency DBR High Operating Temperature (HOT) Chip Architecture ($4250) with output power of 80-240 mW, in a TOSA Package (+$500), for a total unit cost of $4750</t>
  </si>
  <si>
    <t>854.209DBRH-L-TOSA</t>
  </si>
  <si>
    <t>854.209 nm single-frequency DBR High Power Chip Architecture ($3750) with output power of 80-240 mW, Virtual Point Source (VPS) Lens (+$700), in a TOSA Package (+$500), for a total unit cost of $4950</t>
  </si>
  <si>
    <t>854.209 nm single-frequency DBR High Operating Temperature (HOT) Chip Architecture ($4250) with output power of 80-240 mW, Virtual Point Source (VPS) Lens (+$700), in a TOSA Package (+$500), for a total unit cost of $5450</t>
  </si>
  <si>
    <t>854.209DBRH-MHF-TOSA</t>
  </si>
  <si>
    <t>854.209 nm single-frequency DBR High Power Chip Architecture ($3750) with output power of 80-240 mW, Mode Hop Free Mounting (+$700), in a TOSA Package (+$500), for a total unit cost of $4950</t>
  </si>
  <si>
    <t>854.209 nm single-frequency DBR High Operating Temperature (HOT) Chip Architecture ($4250) with output power of 80-240 mW, Mode Hop Free Mounting (+$700), in a TOSA Package (+$500), for a total unit cost of $5450</t>
  </si>
  <si>
    <t>854.209DBRH-MHFL-TOSA</t>
  </si>
  <si>
    <t>854.209 nm single-frequency DBR High Power Chip Architecture ($3750) with output power of 80-240 mW, Mode Hop Free Mounting (+$700), Virtual Point Source (VPS) Lens (+$700), in a TOSA Package (+$500), for a total unit cost of $5650</t>
  </si>
  <si>
    <t>854.209 nm single-frequency DBR High Operating Temperature (HOT) Chip Architecture ($4250) with output power of 80-240 mW, Mode Hop Free Mounting (+$700), Virtual Point Source (VPS) Lens (+$700), in a TOSA Package (+$500), for a total unit cost of $6150</t>
  </si>
  <si>
    <t>854.209DBRH-TO8</t>
  </si>
  <si>
    <t>854.209 nm single-frequency DBR High Power Chip Architecture ($3750) with output power of 80-240 mW, in a TO-8 Package (+$500), for a total unit cost of $4250</t>
  </si>
  <si>
    <t>816DBRH-DEC-CS</t>
  </si>
  <si>
    <t>816</t>
  </si>
  <si>
    <t>816 nm single-frequency DBR High Power Chip Architecture ($3750) with output power of 80-180 mW, Direct-Edge Coupling (DEC) (+$100), chip on submount, for a total unit cost of $3850</t>
  </si>
  <si>
    <t>866.214DBRH-BF</t>
  </si>
  <si>
    <t>866.214 nm single-frequency DBR High Power Chip Architecture ($3750) with output power of 40-120 mW, in a Butterfly Package (+$2500), for a total unit cost of $6250</t>
  </si>
  <si>
    <t>The 866.214 nm DBR Series of high-performance edge-emitting laser diodes are based on Photodigm’s advanced monolithic single-frequency Gallium Arsenide (GaAs) based laser technology. It provides a single spatial mode beam and has passivated facets for reliability. The 866.214 nm Series DBR devices are used in atomic spectroscopy for calcium ion-based (Ca+) applications. The 866.214 nm Series DBR devices are Spectroscopy Certified; guaranteed to hit the Ca+ cooling transition ± 10 °C from room temperature.</t>
  </si>
  <si>
    <t>866.214 DBR Specification Sheet 11-2-23.pdf</t>
  </si>
  <si>
    <t>866.214DBRH-BFISO</t>
  </si>
  <si>
    <t>866.214 nm single-frequency DBR High Power Chip Architecture ($3750) with output power of 10-25 mW, in a Butterfly-ISO Package (+$3000), for a total unit cost of $6750</t>
  </si>
  <si>
    <t>866.214DBRH-CM</t>
  </si>
  <si>
    <t>866.214 nm single-frequency DBR High Power Chip Architecture ($3750) with output power of 80-240 mW, in a C-Mount Package (+$100), for a total unit cost of $3850</t>
  </si>
  <si>
    <t>866.214DBRH-CS</t>
  </si>
  <si>
    <t>866.214 nm single-frequency DBR High Power Chip Architecture ($3750) with output power of 80-240 mW, chip on submount, for a total unit cost of $3750</t>
  </si>
  <si>
    <t>866.214DBRH-L-CM</t>
  </si>
  <si>
    <t>866.214 nm single-frequency DBR High Power Chip Architecture ($3750) with output power of 80-240 mW, Virtual Point Source (VPS) Lens (+$700), in a C-Mount Package (+$100), for a total unit cost of $4550</t>
  </si>
  <si>
    <t>866.214DBRH-L-CS</t>
  </si>
  <si>
    <t>866.214 nm single-frequency DBR High Power Chip Architecture ($3750) with output power of 80-240 mW, Virtual Point Source (VPS) Lens (+$700), chip on submount, for a total unit cost of $4450</t>
  </si>
  <si>
    <t>866.214DBRH-TOSA</t>
  </si>
  <si>
    <t>866.214 nm single-frequency DBR High Power Chip Architecture ($3750) with output power of 80-240 mW, in a TOSA Package (+$500), for a total unit cost of $4250</t>
  </si>
  <si>
    <t>866.214DBRH-MHF-TOSA</t>
  </si>
  <si>
    <t>866.214 nm single-frequency DBR High Power Chip Architecture ($3750) with output power of 80-240 mW, Mode Hop Free Mounting (+$700), in a TOSA Package (+$500), for a total unit cost of $4950</t>
  </si>
  <si>
    <t>866.214DBRH-L-TOSA</t>
  </si>
  <si>
    <t>866.214 nm single-frequency DBR High Power Chip Architecture ($3750) with output power of 80-240 mW, Virtual Point Source (VPS) Lens (+$700), in a TOSA Package (+$500), for a total unit cost of $4950</t>
  </si>
  <si>
    <t>866.214DBRH-MHFL-TOSA</t>
  </si>
  <si>
    <t>866.214 nm single-frequency DBR High Power Chip Architecture ($3750) with output power of 80-240 mW, Mode Hop Free Mounting (+$700), Virtual Point Source (VPS) Lens (+$700), in a TOSA Package (+$500), for a total unit cost of $5650</t>
  </si>
  <si>
    <t>866.214DBRH-L-TO8</t>
  </si>
  <si>
    <t>866.214 nm single-frequency DBR High Power Chip Architecture ($3750) with output power of 80-240 mW, Virtual Point Source (VPS) Lens (+$700), in a TO-8 Package (+$500) with an angled window cap, for a total unit cost of $4950</t>
  </si>
  <si>
    <t>866.214DBRH-MHF-BF</t>
  </si>
  <si>
    <t>866.214 nm single-frequency DBR High Power Chip Architecture ($3750) with output power of 40-120 mW, Mode Hop Free Mounting (+$700), in a Butterfly Package (+$2500), for a total unit cost of $6950</t>
  </si>
  <si>
    <t>866.214DBRH-MHF-BFISO</t>
  </si>
  <si>
    <t>866.214 nm single-frequency DBR High Power Chip Architecture ($3750) with output power of 10-25 mW, Mode Hop Free Mounting (+$700), in a Butterfly-ISO Package (+$3000), for a total unit cost of $7450</t>
  </si>
  <si>
    <t>866.214DBRH-MHF-CM</t>
  </si>
  <si>
    <t>866.214 nm single-frequency DBR High Power Chip Architecture ($3750) with output power of 80-240 mW, Mode Hop Free Mounting (+$700), in a C-Mount Package (+$100), for a total unit cost of $4550</t>
  </si>
  <si>
    <t>866.214DBRH-MHF-CS</t>
  </si>
  <si>
    <t>866.214 nm single-frequency DBR High Power Chip Architecture ($3750) with output power of 80-240 mW, Mode Hop Free Mounting (+$700), chip on submount, for a total unit cost of $4450</t>
  </si>
  <si>
    <t>866.214DBRH-MHF-TO8</t>
  </si>
  <si>
    <t>866.214 nm single-frequency DBR High Power Chip Architecture ($3750) with output power of 80-240 mW, Mode Hop Free Mounting (+$700), in a TO-8 Package (+$500), for a total unit cost of $4950</t>
  </si>
  <si>
    <t>866.214DBRH-MHFL-CM</t>
  </si>
  <si>
    <t>866.214 nm single-frequency DBR High Power Chip Architecture ($3750) with output power of 80-240 mW, Mode Hop Free Mounting (+$700), Virtual Point Source (VPS) Lens (+$700), in a C-Mount Package (+$100), for a total unit cost of $5250</t>
  </si>
  <si>
    <t>866.214DBRH-MHFL-CS</t>
  </si>
  <si>
    <t>866.214 nm single-frequency DBR High Power Chip Architecture ($3750) with output power of 80-240 mW, Mode Hop Free Mounting (+$700), Virtual Point Source (VPS) Lens (+$700), chip on submount, for a total unit cost of $5150</t>
  </si>
  <si>
    <t>866.214DBRH-MHFL-TO8</t>
  </si>
  <si>
    <t>866.214 nm single-frequency DBR High Power Chip Architecture ($3750) with output power of 80-240 mW, Mode Hop Free Mounting (+$700), Virtual Point Source (VPS) Lens (+$700), in a TO-8 Package (+$500) with an angled window cap, for a total unit cost of $5650</t>
  </si>
  <si>
    <t>866.214DBRH-TO8</t>
  </si>
  <si>
    <t>866.214 nm single-frequency DBR High Power Chip Architecture ($3750) with output power of 80-240 mW, in a TO-8 Package (+$500), for a total unit cost of $4250</t>
  </si>
  <si>
    <t>823DBRH-DEC-CS</t>
  </si>
  <si>
    <t>823</t>
  </si>
  <si>
    <t>823 nm single-frequency DBR High Power Chip Architecture ($3750) with output power of 80-180 mW, Direct-Edge Coupling (DEC) (+$100), chip on submount, for a total unit cost of $3850</t>
  </si>
  <si>
    <t>894.592DBRH-BF</t>
  </si>
  <si>
    <t>894.592 nm single-frequency DBR High Power Chip Architecture ($3750) with output power of 40-120 mW, in a Butterfly Package (+$2500), for a total unit cost of $6250</t>
  </si>
  <si>
    <t>The 894.592 nm DBR Series of high-performance edge-emitting laser diodes are based on Photodigm’s advanced monolithic single-frequency Gallium Arsenide (GaAs) based laser technology. It provides a single spatial mode beam and has passivated facets for reliability. The 894.592 nm Series DBR devices are used in atomic spectroscopy for cesium-based (Cs) applications. The 894.592 nm Series DBR devices are Spectroscopy Certified; guaranteed to hit the Cs D1 transition ± 10 °C from room temperature.</t>
  </si>
  <si>
    <t>894.592 DBR Specification Sheet 11.2.23.pdf</t>
  </si>
  <si>
    <t>894.592DBRH-BFISO</t>
  </si>
  <si>
    <t>High Power (5-15 mW) $3,750</t>
  </si>
  <si>
    <t>894.592 nm single-frequency DBR High Power Chip Architecture ($3750) with output power of 5-15 mW, in a Butterfly-ISO Package (+$3000), for a total unit cost of $6750</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</si>
  <si>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5-15 mW</t>
  </si>
  <si>
    <t>894.592DBRH-CM</t>
  </si>
  <si>
    <t>894.592 nm single-frequency DBR High Power Chip Architecture ($3750) with output power of 80-240 mW, in a C-Mount Package (+$100), for a total unit cost of $3850</t>
  </si>
  <si>
    <t>894.592DBRH-CS</t>
  </si>
  <si>
    <t>894.592 nm single-frequency DBR High Power Chip Architecture ($3750) with output power of 80-240 mW, chip on submount, for a total unit cost of $3750</t>
  </si>
  <si>
    <t>894.592DBRH-L-CM</t>
  </si>
  <si>
    <t>894.592 nm single-frequency DBR High Power Chip Architecture ($3750) with output power of 80-240 mW, Virtual Point Source (VPS) Lens (+$700), in a C-Mount Package (+$100), for a total unit cost of $4550</t>
  </si>
  <si>
    <t>894.592DBRH-L-CS</t>
  </si>
  <si>
    <t>894.592 nm single-frequency DBR High Power Chip Architecture ($3750) with output power of 80-240 mW, Virtual Point Source (VPS) Lens (+$700), chip on submount, for a total unit cost of $4450</t>
  </si>
  <si>
    <t>894.592DBRH-L-TO8</t>
  </si>
  <si>
    <t>894.592 nm single-frequency DBR High Power Chip Architecture ($3750) with output power of 80-240 mW, Virtual Point Source (VPS) Lens (+$700), in a TO-8 Package (+$500) with an angled window cap, for a total unit cost of $4950</t>
  </si>
  <si>
    <t>894.592DBRH-MHF-BF</t>
  </si>
  <si>
    <t>894.592 nm single-frequency DBR High Power Chip Architecture ($3750) with output power of 40-120 mW, Mode Hop Free Mounting (+$700), in a Butterfly Package (+$2500), for a total unit cost of $6950</t>
  </si>
  <si>
    <t>894.592DBRH-MHF-BFISO</t>
  </si>
  <si>
    <t>894.592 nm single-frequency DBR High Power Chip Architecture ($3750) with output power of 5-15 mW, Mode Hop Free Mounting (+$700), in a Butterfly-ISO Package (+$3000), for a total unit cost of $7450</t>
  </si>
  <si>
    <t>894.592DBRH-MHF-CM</t>
  </si>
  <si>
    <t>894.592 nm single-frequency DBR High Power Chip Architecture ($3750) with output power of 80-240 mW, Mode Hop Free Mounting (+$700), in a C-Mount Package (+$100), for a total unit cost of $4550</t>
  </si>
  <si>
    <t>894.592DBRH-MHF-CS</t>
  </si>
  <si>
    <t>894.592 nm single-frequency DBR High Power Chip Architecture ($3750) with output power of 80-240 mW, Mode Hop Free Mounting (+$700), chip on submount, for a total unit cost of $4450</t>
  </si>
  <si>
    <t>894.592DBRH-MHF-TO8</t>
  </si>
  <si>
    <t>894.592 nm single-frequency DBR High Power Chip Architecture ($3750) with output power of 80-240 mW, Mode Hop Free Mounting (+$700), in a TO-8 Package (+$500), for a total unit cost of $4950</t>
  </si>
  <si>
    <t>894.592DBRH-MHFL-CM</t>
  </si>
  <si>
    <t>894.592 nm single-frequency DBR High Power Chip Architecture ($3750) with output power of 80-240 mW, Mode Hop Free Mounting (+$700), Virtual Point Source (VPS) Lens (+$700), in a C-Mount Package (+$100), for a total unit cost of $5250</t>
  </si>
  <si>
    <t>894.592DBRH-MHFL-CS</t>
  </si>
  <si>
    <t>894.592 nm single-frequency DBR High Power Chip Architecture ($3750) with output power of 80-240 mW, Mode Hop Free Mounting (+$700), Virtual Point Source (VPS) Lens (+$700), chip on submount, for a total unit cost of $5150</t>
  </si>
  <si>
    <t>894.592DBRH-MHFL-TO8</t>
  </si>
  <si>
    <t>894.592 nm single-frequency DBR High Power Chip Architecture ($3750) with output power of 80-240 mW, Mode Hop Free Mounting (+$700), Virtual Point Source (VPS) Lens (+$700), in a TO-8 Package (+$500) with an angled window cap, for a total unit cost of $5650</t>
  </si>
  <si>
    <t>894.592DBRH-TO8</t>
  </si>
  <si>
    <t>894.592 nm single-frequency DBR High Power Chip Architecture ($3750) with output power of 80-240 mW, in a TO-8 Package (+$500), for a total unit cost of $4250</t>
  </si>
  <si>
    <t>894.592DBRL-9M</t>
  </si>
  <si>
    <t>894.592 nm single-frequency DBR Low Power Chip Architecture ($2750) with output power of 40-120 mW, in a 9mm Package (+$150), for a total unit cost of $2900</t>
  </si>
  <si>
    <t>894.592DBRL-BF</t>
  </si>
  <si>
    <t>20-60</t>
  </si>
  <si>
    <t>Low Power (20-60 mW) $2,750</t>
  </si>
  <si>
    <t>894.592 nm single-frequency DBR Low Power Chip Architecture ($2750) with output power of 20-60 mW, in a Butterfly Package (+$2500), for a total unit cost of $5250</t>
  </si>
  <si>
    <t>This laser diode is based on Photodigm's proprietary Distributed Bragg Reflector (DBR) design. It is augmented by the Low Power laser diode architecture, a product designed for applications where low threshold currents are desired and power output isn't application critical. Power output is between  20-60 mW</t>
  </si>
  <si>
    <t>894.592DBRL-CM</t>
  </si>
  <si>
    <t>894.592 nm single-frequency DBR Low Power Chip Architecture ($2750) with output power of 40-120 mW, in a C-Mount Package (+$100), for a total unit cost of $2850</t>
  </si>
  <si>
    <t>894.592DBRL-CS</t>
  </si>
  <si>
    <t>894.592 nm single-frequency DBR Low Power Chip Architecture ($2750) with output power of 40-120 mW, chip on submount, for a total unit cost of $2750</t>
  </si>
  <si>
    <t>894.592DBRL-L-CM</t>
  </si>
  <si>
    <t>894.592 nm single-frequency DBR Low Power Chip Architecture ($2750) with output power of 40-120 mW, Virtual Point Source (VPS) Lens (+$700), in a C-Mount Package (+$100), for a total unit cost of $3550</t>
  </si>
  <si>
    <t>894.592DBRL-L-CS</t>
  </si>
  <si>
    <t>894.592 nm single-frequency DBR Low Power Chip Architecture ($2750) with output power of 40-120 mW, Virtual Point Source (VPS) Lens (+$700), chip on submount, for a total unit cost of $3450</t>
  </si>
  <si>
    <t>894.592DBRL-L-TO8</t>
  </si>
  <si>
    <t>894.592 nm single-frequency DBR Low Power Chip Architecture ($2750) with output power of 40-120 mW, Virtual Point Source (VPS) Lens (+$700), in a TO-8 Package (+$500) with an angled window cap, for a total unit cost of $3950</t>
  </si>
  <si>
    <t>894.592DBRL-L-TOSA</t>
  </si>
  <si>
    <t>894.592 nm single-frequency DBR Low Power Chip Architecture ($2750) with output power of 40-120 mW, Virtual Point Source (VPS) Lens (+$700), in a TOSA Package (+$500), for a total unit cost of $3950</t>
  </si>
  <si>
    <t>894.592DBRH-L-TOSA</t>
  </si>
  <si>
    <t>894.592 nm single-frequency DBR High Power Chip Architecture ($3750) with output power of 80-240 mW, Virtual Point Source (VPS) Lens (+$700), in a TOSA Package (+$500), for a total unit cost of $4950</t>
  </si>
  <si>
    <t>894.592DBRL-MHF-BF</t>
  </si>
  <si>
    <t>894.592 nm single-frequency DBR Low Power Chip Architecture ($2750) with output power of 20-60 mW, Mode Hop Free Mounting (+$700), in a Butterfly Package (+$2500), for a total unit cost of $5950</t>
  </si>
  <si>
    <t>894.592DBRL-MHF-CM</t>
  </si>
  <si>
    <t>894.592 nm single-frequency DBR Low Power Chip Architecture ($2750) with output power of 40-120 mW, Mode Hop Free Mounting (+$700), in a C-Mount Package (+$100), for a total unit cost of $3550</t>
  </si>
  <si>
    <t>894.592DBRL-MHF-CS</t>
  </si>
  <si>
    <t>894.592 nm single-frequency DBR Low Power Chip Architecture ($2750) with output power of 40-120 mW, Mode Hop Free Mounting (+$700), chip on submount, for a total unit cost of $3450</t>
  </si>
  <si>
    <t>894.592DBRL-MHF-TO8</t>
  </si>
  <si>
    <t>894.592 nm single-frequency DBR Low Power Chip Architecture ($2750) with output power of 40-120 mW, Mode Hop Free Mounting (+$700), in a TO-8 Package (+$500), for a total unit cost of $3950</t>
  </si>
  <si>
    <t>894.592DBRL-MHF-TOSA</t>
  </si>
  <si>
    <t>894.592 nm single-frequency DBR Low Power Chip Architecture ($2750) with output power of 40-120 mW, Mode Hop Free Mounting (+$700), in a TOSA Package (+$500), for a total unit cost of $3950</t>
  </si>
  <si>
    <t>894.592DBRH-MHF-TOSA</t>
  </si>
  <si>
    <t>894.592 nm single-frequency DBR High Power Chip Architecture ($3750) with output power of 80-240 mW, Mode Hop Free Mounting (+$700), in a TOSA Package (+$500), for a total unit cost of $4950</t>
  </si>
  <si>
    <t>894.592DBRL-MHFL-CM</t>
  </si>
  <si>
    <t>894.592 nm single-frequency DBR Low Power Chip Architecture ($2750) with output power of 40-120 mW, Mode Hop Free Mounting (+$700), Virtual Point Source (VPS) Lens (+$700), in a C-Mount Package (+$100), for a total unit cost of $4250</t>
  </si>
  <si>
    <t>894.592DBRL-MHFL-CS</t>
  </si>
  <si>
    <t>894.592 nm single-frequency DBR Low Power Chip Architecture ($2750) with output power of 40-120 mW, Mode Hop Free Mounting (+$700), Virtual Point Source (VPS) Lens (+$700), chip on submount, for a total unit cost of $4150</t>
  </si>
  <si>
    <t>894.592DBRL-MHFL-TO8</t>
  </si>
  <si>
    <t>894.592 nm single-frequency DBR Low Power Chip Architecture ($2750) with output power of 40-120 mW, Mode Hop Free Mounting (+$700), Virtual Point Source (VPS) Lens (+$700), in a TO-8 Package (+$500) with an angled window cap, for a total unit cost of $4650</t>
  </si>
  <si>
    <t>894.592DBRL-MHFL-TOSA</t>
  </si>
  <si>
    <t>894.592 nm single-frequency DBR Low Power Chip Architecture ($2750) with output power of 40-120 mW, Mode Hop Free Mounting (+$700), Virtual Point Source (VPS) Lens (+$700), in a TOSA Package (+$500), for a total unit cost of $4650</t>
  </si>
  <si>
    <t>894.592DBRH-MHFL-TOSA</t>
  </si>
  <si>
    <t>894.592 nm single-frequency DBR High Power Chip Architecture ($3750) with output power of 80-240 mW, Mode Hop Free Mounting (+$700), Virtual Point Source (VPS) Lens (+$700), in a TOSA Package (+$500), for a total unit cost of $5650</t>
  </si>
  <si>
    <t>894.592DBRL-TO8</t>
  </si>
  <si>
    <t>894.592 nm single-frequency DBR Low Power Chip Architecture ($2750) with output power of 40-120 mW, in a TO-8 Package (+$500), for a total unit cost of $3250</t>
  </si>
  <si>
    <t>894.592DBRL-TOSA</t>
  </si>
  <si>
    <t>894.592 nm single-frequency DBR Low Power Chip Architecture ($2750) with output power of 40-120 mW, in a TOSA Package (+$500), for a total unit cost of $3250</t>
  </si>
  <si>
    <t>894.592DBRH-TOSA</t>
  </si>
  <si>
    <t>894.592 nm single-frequency DBR High Power Chip Architecture ($3750) with output power of 80-240 mW, in a TOSA Package (+$500), for a total unit cost of $4250</t>
  </si>
  <si>
    <t>828DBRH-DEC-CS</t>
  </si>
  <si>
    <t>828</t>
  </si>
  <si>
    <t>828 nm single-frequency DBR High Power Chip Architecture ($3750) with output power of 80-180 mW, Direct-Edge Coupling (DEC) (+$100), chip on submount, for a total unit cost of $3850</t>
  </si>
  <si>
    <t>830DBRH-DEC-CS</t>
  </si>
  <si>
    <t>830</t>
  </si>
  <si>
    <t>830 nm single-frequency DBR High Power Chip Architecture ($3750) with output power of 80-180 mW, Direct-Edge Coupling (DEC) (+$100), chip on submount, for a total unit cost of $3850</t>
  </si>
  <si>
    <t>920DBRH-BF</t>
  </si>
  <si>
    <t>920 nm single-frequency DBR High Power Chip Architecture ($3750) with output power of 40-120 mW, in a Butterfly Package (+$2500), for a total unit cost of RFQ</t>
  </si>
  <si>
    <t>920 nm single-frequency DBR High Power Chip Architecture (RFQ) with output power of 40-120 mW, in a Butterfly Package (+$2500). Base chip architecture price and total unit cost are available upon request.</t>
  </si>
  <si>
    <t>Biomedical
Quantum
Scientific Research</t>
  </si>
  <si>
    <t>The 920 nm DBR Series of high-performance edge-emitting laser diodes are based on Photodigm’s advanced monolithic single-frequency Gallium Arsenide (GaAs) based laser technology. It provides a single spatial mode beam and has passivated facets for reliability. The 920 nm Series DBR devices are used in atomic spectroscopy for strontium-based (Sr) and two-photon microscopy applications.</t>
  </si>
  <si>
    <t>920 DBR Specification Sheet 11-2-23.pdf</t>
  </si>
  <si>
    <t>920DBRH-BFISO</t>
  </si>
  <si>
    <t>High Power (5-15 mW) RFQ</t>
  </si>
  <si>
    <t>920 nm single-frequency DBR High Power Chip Architecture ($3750) with output power of 5-15 mW, in a Butterfly-ISO Package (+$3000), for a total unit cost of RFQ</t>
  </si>
  <si>
    <t>920 nm single-frequency DBR High Power Chip Architecture (RFQ) with output power of 5-15 mW, in a Butterfly-ISO Package (+$2500). Base chip architecture price and total unit cost are available upon request.</t>
  </si>
  <si>
    <t>920DBRH-CM</t>
  </si>
  <si>
    <t>High Power (80-240 mW) RFQ</t>
  </si>
  <si>
    <t>920 nm single-frequency DBR High Power Chip Architecture ($3750) with output power of 80-240 mW, in a C-Mount Package (+$100), for a total unit cost of RFQ</t>
  </si>
  <si>
    <t>920 nm single-frequency DBR High Power Chip Architecture (RFQ) with output power of 80-240 mW, in a C-Mount Package (+$100). Base chip architecture price and total unit cost are available upon request.</t>
  </si>
  <si>
    <t>920DBRH-CS</t>
  </si>
  <si>
    <t>920 nm single-frequency DBR High Power Chip Architecture ($3750) with output power of 80-240 mW, chip on submount, for a total unit cost of RFQ</t>
  </si>
  <si>
    <t>920 nm single-frequency DBR High Power Chip Architecture (RFQ) with output power of 80-240 mW, chip on submount. Base chip architecture price and total unit cost are available upon request.</t>
  </si>
  <si>
    <t>920DBRH-MHF-BF</t>
  </si>
  <si>
    <t>920 nm single-frequency DBR High Power Chip Architecture ($3750) with output power of 40-120 mW, Mode Hop Free Mounting (+$700), in a Butterfly Package (+$2500), for a total unit cost of RFQ</t>
  </si>
  <si>
    <t>920 nm single-frequency DBR High Power Chip Architecture (RFQ) with output power of 40-120 mW, Mode Hop Free Mounting (+$700), in a Butterfly Package (+$2500). Base chip architecture price and total unit cost are available upon request.</t>
  </si>
  <si>
    <t>920DBRH-MHF-BFISO</t>
  </si>
  <si>
    <t>920 nm single-frequency DBR High Power Chip Architecture ($3750) with output power of 5-15 mW, Mode Hop Free Mounting (+$700), in a Butterfly-ISO Package (+$3000), for a total unit cost of RFQ</t>
  </si>
  <si>
    <t>920 nm single-frequency DBR High Power Chip Architecture (RFQ) with output power of 5-15 mW, Mode Hop Free Mounting (+$700), in a Butterfly-ISO Package (+$3000). Base chip architecture price and total unit cost are available upon request.</t>
  </si>
  <si>
    <t>920DBRH-MHF-CM</t>
  </si>
  <si>
    <t>920 nm single-frequency DBR High Power Chip Architecture ($3750) with output power of 80-240 mW, Mode Hop Free Mounting (+$700), in a C-Mount Package (+$100), for a total unit cost of RFQ</t>
  </si>
  <si>
    <t>920 nm single-frequency DBR High Power Chip Architecture (RFQ) with output power of 80-240 mW, Mode Hop Free Mounting (+$700), in a C-Mount Package (+$100). Base chip architecture price and total unit cost are available upon request.</t>
  </si>
  <si>
    <t>920DBRH-MHF-CS</t>
  </si>
  <si>
    <t>920 nm single-frequency DBR High Power Chip Architecture ($3750) with output power of 80-240 mW, Mode Hop Free Mounting (+$700), chip on submount, for a total unit cost of RFQ</t>
  </si>
  <si>
    <t>920 nm single-frequency DBR High Power Chip Architecture (RFQ) with output power of 80-240 mW, Mode Hop Free Mounting (+$700), chip on submount. Base chip architecture price and total unit cost are available upon request.</t>
  </si>
  <si>
    <t>920DBRH-MHF-TO8</t>
  </si>
  <si>
    <t>920 nm single-frequency DBR High Power Chip Architecture ($3750) with output power of 80-240 mW, Mode Hop Free Mounting (+$700), in a TO-8 Package (+$500), for a total unit cost of RFQ</t>
  </si>
  <si>
    <t>920 nm single-frequency DBR High Power Chip Architecture (RFQ) with output power of 80-240 mW, Mode Hop Free Mounting (+$700), in a TO-8 Package (+$500). Base chip architecture price and total unit cost are available upon request.</t>
  </si>
  <si>
    <t>920DBRH-MHF-TOSA</t>
  </si>
  <si>
    <t>920 nm single-frequency DBR High Power Chip Architecture ($3750) with output power of 80-240 mW, Mode Hop Free Mounting (+$700), in a TOSA Package (+$500), for a total unit cost of RFQ</t>
  </si>
  <si>
    <t>920 nm single-frequency DBR High Power Chip Architecture (RFQ) with output power of 80-240 mW, Mode Hop Free Mounting (+$700), in a TOSA Package (+$500). Base chip architecture price and total unit cost are available upon request.</t>
  </si>
  <si>
    <t>920DBRH-TO8</t>
  </si>
  <si>
    <t>920 nm single-frequency DBR High Power Chip Architecture ($3750) with output power of 80-240 mW, in a TO-8 Package (+$500), for a total unit cost of RFQ</t>
  </si>
  <si>
    <t>920 nm single-frequency DBR High Power Chip Architecture (RFQ) with output power of 80-240 mW, in a TO-8 Package (+$500). Base chip architecture price and total unit cost are available upon request.</t>
  </si>
  <si>
    <t>920DBRH-TOSA</t>
  </si>
  <si>
    <t>920 nm single-frequency DBR High Power Chip Architecture ($3750) with output power of 80-240 mW, in a TOSA Package (+$500), for a total unit cost of RFQ</t>
  </si>
  <si>
    <t>920 nm single-frequency DBR High Power Chip Architecture (RFQ) with output power of 80-240 mW, in a TOSA Package (+$500). Base chip architecture price and total unit cost are available upon request.</t>
  </si>
  <si>
    <t>845.584DBRH-DEC-CS</t>
  </si>
  <si>
    <t>845.584 nm single-frequency DBR High Power Chip Architecture ($3750) with output power of 80-240 mW, Direct-Edge Coupling (DEC) (+$100), chip on submount, for a total unit cost of $3850</t>
  </si>
  <si>
    <t>935DBRH-BF</t>
  </si>
  <si>
    <t>935 nm single-frequency DBR High Power Chip Architecture ($3750) with output power of 40-120 mW, in a Butterfly Package (+$2500), for a total unit cost of $6250</t>
  </si>
  <si>
    <t>Biomedical
Quantum
Scientific Research
Remote Sensing/LiDAR</t>
  </si>
  <si>
    <t>The 935 nm DBR Series of high-performance edge-emitting laser diodes are based on Photodigm’s advanced monolithic single-frequency Gallium Arsenide (GaAs) based laser technology. It provides a single spatial mode beam and has passivated facets for reliability. The 935 nm Series DBR devices are used in atomic spectroscopy for ytterbium-based (Yb) applications.</t>
  </si>
  <si>
    <t>935 DBR Specification Sheet 11-2-23.pdf</t>
  </si>
  <si>
    <t>935DBRH-TOSA</t>
  </si>
  <si>
    <t>935 nm single-frequency DBR High Power Chip Architecture ($3750) with output power of 80-240 mW, in a TOSA Package (+$500), for a total unit cost of $4250</t>
  </si>
  <si>
    <t>935DBRH-MHF-TOSA</t>
  </si>
  <si>
    <t>935 nm single-frequency DBR High Power Chip Architecture ($3750) with output power of 80-240 mW, Mode Hop Free Mounting (+$700), in a TOSA Package (+$500), for a total unit cost of $4950</t>
  </si>
  <si>
    <t>935DBRH-BFISO</t>
  </si>
  <si>
    <t>935 nm single-frequency DBR High Power Chip Architecture ($3750) with output power of 5-15 mW, in a Butterfly-ISO Package (+$3000), for a total unit cost of $6750</t>
  </si>
  <si>
    <t>935DBRH-CM</t>
  </si>
  <si>
    <t>935 nm single-frequency DBR High Power Chip Architecture ($3750) with output power of 80-240 mW, in a C-Mount Package (+$100), for a total unit cost of $3850</t>
  </si>
  <si>
    <t>935DBRH-CS</t>
  </si>
  <si>
    <t>935 nm single-frequency DBR High Power Chip Architecture ($3750) with output power of 80-240 mW, chip on submount, for a total unit cost of $3750</t>
  </si>
  <si>
    <t>935DBRH-MHF-BF</t>
  </si>
  <si>
    <t>935 nm single-frequency DBR High Power Chip Architecture ($3750) with output power of 40-120 mW, Mode Hop Free Mounting (+$700), in a Butterfly Package (+$2500), for a total unit cost of $6950</t>
  </si>
  <si>
    <t>935DBRH-MHF-BFISO</t>
  </si>
  <si>
    <t>935 nm single-frequency DBR High Power Chip Architecture ($3750) with output power of 5-15 mW, Mode Hop Free Mounting (+$700), in a Butterfly-ISO Package (+$3000), for a total unit cost of $7450</t>
  </si>
  <si>
    <t>935DBRH-MHF-CM</t>
  </si>
  <si>
    <t>935 nm single-frequency DBR High Power Chip Architecture ($3750) with output power of 80-240 mW, Mode Hop Free Mounting (+$700), in a C-Mount Package (+$100), for a total unit cost of $4550</t>
  </si>
  <si>
    <t>935DBRH-MHF-CS</t>
  </si>
  <si>
    <t>935 nm single-frequency DBR High Power Chip Architecture ($3750) with output power of 80-240 mW, Mode Hop Free Mounting (+$700), chip on submount, for a total unit cost of $4450</t>
  </si>
  <si>
    <t>935DBRH-MHF-TO8</t>
  </si>
  <si>
    <t>935 nm single-frequency DBR High Power Chip Architecture ($3750) with output power of 80-240 mW, Mode Hop Free Mounting (+$700), in a TO-8 Package (+$500), for a total unit cost of $4950</t>
  </si>
  <si>
    <t>935DBRH-TO8</t>
  </si>
  <si>
    <t>935 nm single-frequency DBR High Power Chip Architecture ($3750) with output power of 80-240 mW, in a TO-8 Package (+$500), for a total unit cost of $4250</t>
  </si>
  <si>
    <t>852.347DBRH-DEC-CS</t>
  </si>
  <si>
    <t>852.347</t>
  </si>
  <si>
    <t>852.347 nm single-frequency DBR High Power Chip Architecture ($3750) with output power of 80-240 mW, Direct-Edge Coupling (DEC) (+$100), chip on submount, for a total unit cost of $3850</t>
  </si>
  <si>
    <t>976DBRH-BF</t>
  </si>
  <si>
    <t>High Power (40-180 mW) $3,750</t>
  </si>
  <si>
    <t>976 nm single-frequency DBR High Power Chip Architecture ($3750) with output power of 40-180 mW, in a Butterfly Package (+$2500), for a total unit cost of $6250</t>
  </si>
  <si>
    <t xml:space="preserve">The 976 nm DBR Series of high-performance edge-emitting laser diodes are based on Photodigm’s advanced monolithic single-frequency Gallium Arsenide (GaAs) based laser technology. It provides a single spatial mode beam and has passivated facets for reliability. The 976 nm Series DBR devices are used in optical coherence tomography (OCT) and other biomedical imaging and sensing applications. </t>
  </si>
  <si>
    <t>976 DBR Specification Sheet 11.2.23.pdf</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</si>
  <si>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40-180 mW</t>
  </si>
  <si>
    <t>976DBRH-BFISO</t>
  </si>
  <si>
    <t>976 nm single-frequency DBR High Power Chip Architecture ($3750) with output power of 20-40 mW, in a Butterfly-ISO Package (+$3000), for a total unit cost of $6750</t>
  </si>
  <si>
    <t>976DBRH-CM</t>
  </si>
  <si>
    <t>80-350</t>
  </si>
  <si>
    <t>High Power (80-350 mW) $3,750</t>
  </si>
  <si>
    <t>976 nm single-frequency DBR High Power Chip Architecture ($3750) with output power of 80-350 mW, in a C-Mount Package (+$100), for a total unit cost of $3850</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</si>
  <si>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80-350 mW</t>
  </si>
  <si>
    <t>976DBRH-CS</t>
  </si>
  <si>
    <t>976 nm single-frequency DBR High Power Chip Architecture ($3750) with output power of 80-350 mW, chip on submount, for a total unit cost of $3750</t>
  </si>
  <si>
    <t>976DBRH-MHF-BF</t>
  </si>
  <si>
    <t>976 nm single-frequency DBR High Power Chip Architecture ($3750) with output power of 40-180 mW, Mode Hop Free Mounting (+$700), in a Butterfly Package (+$2500), for a total unit cost of $6950</t>
  </si>
  <si>
    <t>976DBRH-MHF-BFISO</t>
  </si>
  <si>
    <t>976 nm single-frequency DBR High Power Chip Architecture ($3750) with output power of 20-40 mW, Mode Hop Free Mounting (+$700), in a Butterfly-ISO Package (+$3000), for a total unit cost of $7450</t>
  </si>
  <si>
    <t>976DBRH-MHF-CM</t>
  </si>
  <si>
    <t>976 nm single-frequency DBR High Power Chip Architecture ($3750) with output power of 80-350 mW, Mode Hop Free Mounting (+$700), in a C-Mount Package (+$100), for a total unit cost of $4550</t>
  </si>
  <si>
    <t>976DBRH-MHF-CS</t>
  </si>
  <si>
    <t>976 nm single-frequency DBR High Power Chip Architecture ($3750) with output power of 80-350 mW, Mode Hop Free Mounting (+$700), chip on submount, for a total unit cost of $4450</t>
  </si>
  <si>
    <t>976DBRH-MHF-TO8</t>
  </si>
  <si>
    <t>976 nm single-frequency DBR High Power Chip Architecture ($3750) with output power of 80-350 mW, Mode Hop Free Mounting (+$700), in a TO-8 Package (+$500), for a total unit cost of $4950</t>
  </si>
  <si>
    <t>976DBRH-TO8</t>
  </si>
  <si>
    <t>976 nm single-frequency DBR High Power Chip Architecture ($3750) with output power of 80-350 mW, in a TO-8 Package (+$500), for a total unit cost of $4250</t>
  </si>
  <si>
    <t>976DBRL-9M</t>
  </si>
  <si>
    <t>40-200</t>
  </si>
  <si>
    <t>Low Power (40-200 mW) $2,750</t>
  </si>
  <si>
    <t>976 nm single-frequency DBR Low Power Chip Architecture ($2750) with output power of 40-200 mW, in a 9mm Package (+$150), for a total unit cost of $2900</t>
  </si>
  <si>
    <t>This laser diode is based on Photodigm's proprietary Distributed Bragg Reflector (DBR) design. It is augmented by the Low Power laser diode architecture, a product designed for applications where low threshold currents are desired and power output isn't application critical. Power output is between  40-200 mW</t>
  </si>
  <si>
    <t>976DBRL-BF</t>
  </si>
  <si>
    <t>20-100</t>
  </si>
  <si>
    <t>Low Power (20-100 mW) $2,750</t>
  </si>
  <si>
    <t>976 nm single-frequency DBR Low Power Chip Architecture ($2750) with output power of 20-100 mW, in a Butterfly Package (+$2500), for a total unit cost of $5250</t>
  </si>
  <si>
    <t>This laser diode is based on Photodigm's proprietary Distributed Bragg Reflector (DBR) design. It is augmented by the Low Power laser diode architecture, a product designed for applications where low threshold currents are desired and power output isn't application critical. Power output is between  20-100 mW</t>
  </si>
  <si>
    <t>976DBRL-BFISO</t>
  </si>
  <si>
    <t>5-20</t>
  </si>
  <si>
    <t>Low Power (5-20 mW) $2,750</t>
  </si>
  <si>
    <t>976 nm single-frequency DBR Low Power Chip Architecture ($2750) with output power of 5-20 mW, in a Butterfly-ISO Package (+$3000), for a total unit cost of $5750</t>
  </si>
  <si>
    <t>This laser diode is based on Photodigm's proprietary Distributed Bragg Reflector (DBR) design. It is augmented by the Low Power laser diode architecture, a product designed for applications where low threshold currents are desired and power output isn't application critical. Power output is between  5-20 mW</t>
  </si>
  <si>
    <t>976DBRL-CM</t>
  </si>
  <si>
    <t>976 nm single-frequency DBR Low Power Chip Architecture ($2750) with output power of 40-200 mW, in a C-Mount Package (+$100), for a total unit cost of $2850</t>
  </si>
  <si>
    <t>976DBRL-CS</t>
  </si>
  <si>
    <t>976 nm single-frequency DBR Low Power Chip Architecture ($2750) with output power of 40-200 mW, chip on submount, for a total unit cost of $2750</t>
  </si>
  <si>
    <t>976DBRL-MHF-BF</t>
  </si>
  <si>
    <t>976 nm single-frequency DBR Low Power Chip Architecture ($2750) with output power of 20-100 mW, Mode Hop Free Mounting (+$700), in a Butterfly Package (+$2500), for a total unit cost of $5950</t>
  </si>
  <si>
    <t>976DBRL-MHF-BFISO</t>
  </si>
  <si>
    <t>976 nm single-frequency DBR Low Power Chip Architecture ($2750) with output power of 5-20 mW, Mode Hop Free Mounting (+$700), in a Butterfly-ISO Package (+$3000), for a total unit cost of $6450</t>
  </si>
  <si>
    <t>976DBRL-MHF-CM</t>
  </si>
  <si>
    <t>976 nm single-frequency DBR Low Power Chip Architecture ($2750) with output power of 40-200 mW, Mode Hop Free Mounting (+$700), in a C-Mount Package (+$100), for a total unit cost of $3550</t>
  </si>
  <si>
    <t>976DBRL-MHF-CS</t>
  </si>
  <si>
    <t>976 nm single-frequency DBR Low Power Chip Architecture ($2750) with output power of 40-200 mW, Mode Hop Free Mounting (+$700), chip on submount, for a total unit cost of $3450</t>
  </si>
  <si>
    <t>976DBRL-MHF-TO8</t>
  </si>
  <si>
    <t>976 nm single-frequency DBR Low Power Chip Architecture ($2750) with output power of 40-200 mW, Mode Hop Free Mounting (+$700), in a TO-8 Package (+$500), for a total unit cost of $3950</t>
  </si>
  <si>
    <t>976DBRL-MHF-TOSA</t>
  </si>
  <si>
    <t>976 nm single-frequency DBR Low Power Chip Architecture ($2750) with output power of 40-200 mW, Mode Hop Free Mounting (+$700), in a TOSA Package (+$500), for a total unit cost of $3950</t>
  </si>
  <si>
    <t>976DBRH-TOSA</t>
  </si>
  <si>
    <t>976 nm single-frequency DBR High Power Chip Architecture ($3750) with output power of 80-350 mW, in a TOSA Package (+$500), for a total unit cost of $4250</t>
  </si>
  <si>
    <t>976DBRH-MHF-TOSA</t>
  </si>
  <si>
    <t>976 nm single-frequency DBR High Power Chip Architecture ($3750) with output power of 80-350 mW, Mode Hop Free Mounting (+$700), in a TOSA Package (+$500), for a total unit cost of $4950</t>
  </si>
  <si>
    <t>976DBRL-TO8</t>
  </si>
  <si>
    <t>976 nm single-frequency DBR Low Power Chip Architecture ($2750) with output power of 40-200 mW, in a TO-8 Package (+$500), for a total unit cost of $3250</t>
  </si>
  <si>
    <t>976DBRL-TOSA</t>
  </si>
  <si>
    <t>976 nm single-frequency DBR Low Power Chip Architecture ($2750) with output power of 40-200 mW, in a TOSA Package (+$500), for a total unit cost of $3250</t>
  </si>
  <si>
    <t>852.347DBRHOT-DEC-CS</t>
  </si>
  <si>
    <t>852.347 nm single-frequency DBR High Operating Temperature (HOT) Chip Architecture ($4250) with output power of 10-30 mW, Direct-Edge Coupling (DEC) (+$100), chip on submount, for a total unit cost of $4350</t>
  </si>
  <si>
    <t>852.347DBRL-DEC-CS</t>
  </si>
  <si>
    <t>852.347 nm single-frequency DBR Low Power Chip Architecture ($2750) with output power of 40-80 mW, Direct-Edge Coupling (DEC) (+$100), chip on submount, for a total unit cost of $2850</t>
  </si>
  <si>
    <t>1036DBRL-9M</t>
  </si>
  <si>
    <t>1036 nm single-frequency DBR Low Power Chip Architecture ($2750) with output power of 40-180 mW, in a 9mm Package (+$150), for a total unit cost of $2900</t>
  </si>
  <si>
    <t>1036DBRL-BF</t>
  </si>
  <si>
    <t>20-90</t>
  </si>
  <si>
    <t>Low Power (20-90 mW) $2,750</t>
  </si>
  <si>
    <t>1036 nm single-frequency DBR Low Power Chip Architecture ($2750) with output power of 20-90 mW, in a Butterfly Package (+$2500), for a total unit cost of $5250</t>
  </si>
  <si>
    <t>This laser diode is based on Photodigm's proprietary Distributed Bragg Reflector (DBR) design. It is augmented by the Low Power laser diode architecture, a product designed for applications where low threshold currents are desired and power output isn't application critical. Power output is between  20-90 mW</t>
  </si>
  <si>
    <t>1036DBRL-BFISO</t>
  </si>
  <si>
    <t>15-80</t>
  </si>
  <si>
    <t>Low Power (15-80 mW) $2,750</t>
  </si>
  <si>
    <t>1036 nm single-frequency DBR Low Power Chip Architecture ($2750) with output power of 15-80 mW, in a Butterfly-ISO Package (+$3000), for a total unit cost of $5750</t>
  </si>
  <si>
    <t>This laser diode is based on Photodigm's proprietary Distributed Bragg Reflector (DBR) design. It is augmented by the Low Power laser diode architecture, a product designed for applications where low threshold currents are desired and power output isn't application critical. Power output is between  15-80 mW</t>
  </si>
  <si>
    <t>1036DBRL-CM</t>
  </si>
  <si>
    <t>1036 nm single-frequency DBR Low Power Chip Architecture ($2750) with output power of 40-180 mW, in a C-Mount Package (+$100), for a total unit cost of $2850</t>
  </si>
  <si>
    <t>1036DBRL-CS</t>
  </si>
  <si>
    <t>1036 nm single-frequency DBR Low Power Chip Architecture ($2750) with output power of 40-180 mW, chip on submount, for a total unit cost of $2750</t>
  </si>
  <si>
    <t>1036DBRL-MHF-BF</t>
  </si>
  <si>
    <t>1036 nm single-frequency DBR Low Power Chip Architecture ($2750) with output power of 20-90 mW, Mode Hop Free Mounting (+$700), in a Butterfly Package (+$2500), for a total unit cost of $5950</t>
  </si>
  <si>
    <t>1036DBRL-MHF-BFISO</t>
  </si>
  <si>
    <t>1036 nm single-frequency DBR Low Power Chip Architecture ($2750) with output power of 15-80 mW, Mode Hop Free Mounting (+$700), in a Butterfly-ISO Package (+$3000), for a total unit cost of $6450</t>
  </si>
  <si>
    <t>1036DBRL-MHF-CM</t>
  </si>
  <si>
    <t>1036 nm single-frequency DBR Low Power Chip Architecture ($2750) with output power of 40-180 mW, Mode Hop Free Mounting (+$700), in a C-Mount Package (+$100), for a total unit cost of $3550</t>
  </si>
  <si>
    <t>1036DBRL-MHF-CS</t>
  </si>
  <si>
    <t>1036 nm single-frequency DBR Low Power Chip Architecture ($2750) with output power of 40-180 mW, Mode Hop Free Mounting (+$700), chip on submount, for a total unit cost of $3450</t>
  </si>
  <si>
    <t>1036DBRL-MHF-TO8</t>
  </si>
  <si>
    <t>1036 nm single-frequency DBR Low Power Chip Architecture ($2750) with output power of 40-180 mW, Mode Hop Free Mounting (+$700), in a TO-8 Package (+$500), for a total unit cost of $3950</t>
  </si>
  <si>
    <t>1036DBRL-MHF-TOSA</t>
  </si>
  <si>
    <t>1036 nm single-frequency DBR Low Power Chip Architecture ($2750) with output power of 40-180 mW, Mode Hop Free Mounting (+$700), in a TOSA Package (+$500), for a total unit cost of $3950</t>
  </si>
  <si>
    <t>1036DBRL-TO8</t>
  </si>
  <si>
    <t>1036 nm single-frequency DBR Low Power Chip Architecture ($2750) with output power of 40-180 mW, in a TO-8 Package (+$500), for a total unit cost of $3250</t>
  </si>
  <si>
    <t>1036DBRL-TOSA</t>
  </si>
  <si>
    <t>1036 nm single-frequency DBR Low Power Chip Architecture ($2750) with output power of 40-180 mW, in a TOSA Package (+$500), for a total unit cost of $3250</t>
  </si>
  <si>
    <t>854.209DBRH-DEC-CS</t>
  </si>
  <si>
    <t>854.209</t>
  </si>
  <si>
    <t>854.209 nm single-frequency DBR High Power Chip Architecture ($3750) with output power of 80-240 mW, Direct-Edge Coupling (DEC) (+$100), chip on submount, for a total unit cost of $3850</t>
  </si>
  <si>
    <t>1039DBRL-9M</t>
  </si>
  <si>
    <t>1039 nm single-frequency DBR Low Power Chip Architecture ($2750) with output power of 40-180 mW, in a 9mm Package (+$150), for a total unit cost of $2900</t>
  </si>
  <si>
    <t>1039DBRL-BF</t>
  </si>
  <si>
    <t>1039 nm single-frequency DBR Low Power Chip Architecture ($2750) with output power of 20-90 mW, in a Butterfly Package (+$2500), for a total unit cost of $5250</t>
  </si>
  <si>
    <t>1039DBRL-BFISO</t>
  </si>
  <si>
    <t>1039 nm single-frequency DBR Low Power Chip Architecture ($2750) with output power of 15-80 mW, in a Butterfly-ISO Package (+$3000), for a total unit cost of $5750</t>
  </si>
  <si>
    <t>1039DBRL-CM</t>
  </si>
  <si>
    <t>1039 nm single-frequency DBR Low Power Chip Architecture ($2750) with output power of 40-180 mW, in a C-Mount Package (+$100), for a total unit cost of $2850</t>
  </si>
  <si>
    <t>1039DBRL-CS</t>
  </si>
  <si>
    <t>1039 nm single-frequency DBR Low Power Chip Architecture ($2750) with output power of 40-180 mW, chip on submount, for a total unit cost of $2750</t>
  </si>
  <si>
    <t>1039DBRL-MHF-BF</t>
  </si>
  <si>
    <t>1039 nm single-frequency DBR Low Power Chip Architecture ($2750) with output power of 20-90 mW, Mode Hop Free Mounting (+$700), in a Butterfly Package (+$2500), for a total unit cost of $5950</t>
  </si>
  <si>
    <t>1039DBRL-MHF-BFISO</t>
  </si>
  <si>
    <t>1039 nm single-frequency DBR Low Power Chip Architecture ($2750) with output power of 15-80 mW, Mode Hop Free Mounting (+$700), in a Butterfly-ISO Package (+$3000), for a total unit cost of $6450</t>
  </si>
  <si>
    <t>1039DBRL-MHF-CM</t>
  </si>
  <si>
    <t>1039 nm single-frequency DBR Low Power Chip Architecture ($2750) with output power of 40-180 mW, Mode Hop Free Mounting (+$700), in a C-Mount Package (+$100), for a total unit cost of $3550</t>
  </si>
  <si>
    <t>1039DBRL-MHF-CS</t>
  </si>
  <si>
    <t>1039 nm single-frequency DBR Low Power Chip Architecture ($2750) with output power of 40-180 mW, Mode Hop Free Mounting (+$700), chip on submount, for a total unit cost of $3450</t>
  </si>
  <si>
    <t>1039DBRL-MHF-TO8</t>
  </si>
  <si>
    <t>1039 nm single-frequency DBR Low Power Chip Architecture ($2750) with output power of 40-180 mW, Mode Hop Free Mounting (+$700), in a TO-8 Package (+$500), for a total unit cost of $3950</t>
  </si>
  <si>
    <t>1039DBRL-MHF-TOSA</t>
  </si>
  <si>
    <t>1039 nm single-frequency DBR Low Power Chip Architecture ($2750) with output power of 40-180 mW, Mode Hop Free Mounting (+$700), in a TOSA Package (+$500), for a total unit cost of $3950</t>
  </si>
  <si>
    <t>1039DBRL-TO8</t>
  </si>
  <si>
    <t>1039 nm single-frequency DBR Low Power Chip Architecture ($2750) with output power of 40-180 mW, in a TO-8 Package (+$500), for a total unit cost of $3250</t>
  </si>
  <si>
    <t>1039DBRL-TOSA</t>
  </si>
  <si>
    <t>1039 nm single-frequency DBR Low Power Chip Architecture ($2750) with output power of 40-180 mW, in a TOSA Package (+$500), for a total unit cost of $3250</t>
  </si>
  <si>
    <t>866.214DBRH-DEC-CS</t>
  </si>
  <si>
    <t>866.214</t>
  </si>
  <si>
    <t>866.214 nm single-frequency DBR High Power Chip Architecture ($3750) with output power of 80-240 mW, Direct-Edge Coupling (DEC) (+$100), chip on submount, for a total unit cost of $3850</t>
  </si>
  <si>
    <t>1064DBRH-BF</t>
  </si>
  <si>
    <t>50-180</t>
  </si>
  <si>
    <t>High Power (50-180 mW) $3,750</t>
  </si>
  <si>
    <t>1064 nm single-frequency DBR High Power Chip Architecture ($3750) with output power of 50-180 mW, in a Butterfly Package (+$2500), for a total unit cost of $6250</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</si>
  <si>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50-180 mW</t>
  </si>
  <si>
    <t>1064DBRH-BFISO</t>
  </si>
  <si>
    <t>30-120</t>
  </si>
  <si>
    <t>High Power (30-120 mW) $3,750</t>
  </si>
  <si>
    <t>1064 nm single-frequency DBR High Power Chip Architecture ($3750) with output power of 30-120 mW, in a Butterfly-ISO Package (+$3000), for a total unit cost of $6750</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</si>
  <si>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30-120 mW</t>
  </si>
  <si>
    <t>1064DBRH-CM</t>
  </si>
  <si>
    <t>1064 nm single-frequency DBR High Power Chip Architecture ($3750) with output power of 100-350 mW, in a C-Mount Package (+$100), for a total unit cost of $3850</t>
  </si>
  <si>
    <t>1064DBRH-CS</t>
  </si>
  <si>
    <t>1064 nm single-frequency DBR High Power Chip Architecture ($3750) with output power of 100-350 mW, chip on submount, for a total unit cost of $3750</t>
  </si>
  <si>
    <t>1064DBRH-MHF-BF</t>
  </si>
  <si>
    <t>1064 nm single-frequency DBR High Power Chip Architecture ($3750) with output power of 50-180 mW, Mode Hop Free Mounting (+$700), in a Butterfly Package (+$2500), for a total unit cost of $6950</t>
  </si>
  <si>
    <t>1064DBRH-MHF-BFISO</t>
  </si>
  <si>
    <t>1064 nm single-frequency DBR High Power Chip Architecture ($3750) with output power of 30-120 mW, Mode Hop Free Mounting (+$700), in a Butterfly-ISO Package (+$3000), for a total unit cost of $7450</t>
  </si>
  <si>
    <t>1064DBRH-MHF-CM</t>
  </si>
  <si>
    <t>1064 nm single-frequency DBR High Power Chip Architecture ($3750) with output power of 100-350 mW, Mode Hop Free Mounting (+$700), in a C-Mount Package (+$100), for a total unit cost of $4550</t>
  </si>
  <si>
    <t>1064DBRH-MHF-CS</t>
  </si>
  <si>
    <t>1064 nm single-frequency DBR High Power Chip Architecture ($3750) with output power of 100-350 mW, Mode Hop Free Mounting (+$700), chip on submount, for a total unit cost of $4450</t>
  </si>
  <si>
    <t>1064DBRH-MHF-TO8</t>
  </si>
  <si>
    <t>1064 nm single-frequency DBR High Power Chip Architecture ($3750) with output power of 100-350 mW, Mode Hop Free Mounting (+$700), in a TO-8 Package (+$500), for a total unit cost of $4950</t>
  </si>
  <si>
    <t>1064DBRH-TO8</t>
  </si>
  <si>
    <t>1064 nm single-frequency DBR High Power Chip Architecture ($3750) with output power of 100-350 mW, in a TO-8 Package (+$500), for a total unit cost of $4250</t>
  </si>
  <si>
    <t>1064DBRL-9M</t>
  </si>
  <si>
    <t>1064 nm single-frequency DBR Low Power Chip Architecture ($2750) with output power of 40-180 mW, in a 9mm Package (+$150), for a total unit cost of $2900</t>
  </si>
  <si>
    <t>1064DBRL-BF</t>
  </si>
  <si>
    <t>20-50</t>
  </si>
  <si>
    <t>Low Power (20-50 mW) $2,750</t>
  </si>
  <si>
    <t>1064 nm single-frequency DBR Low Power Chip Architecture ($2750) with output power of 20-50 mW, in a Butterfly Package (+$2500), for a total unit cost of $5250</t>
  </si>
  <si>
    <t>This laser diode is based on Photodigm's proprietary Distributed Bragg Reflector (DBR) design. It is augmented by the Low Power laser diode architecture, a product designed for applications where low threshold currents are desired and power output isn't application critical. Power output is between  20-50 mW</t>
  </si>
  <si>
    <t>1064DBRL-BFISO</t>
  </si>
  <si>
    <t>10-35</t>
  </si>
  <si>
    <t>Low Power (10-35 mW) $2,750</t>
  </si>
  <si>
    <t>1064 nm single-frequency DBR Low Power Chip Architecture ($2750) with output power of 10-35 mW, in a Butterfly-ISO Package (+$3000), for a total unit cost of $5750</t>
  </si>
  <si>
    <t>This laser diode is based on Photodigm's proprietary Distributed Bragg Reflector (DBR) design. It is augmented by the Low Power laser diode architecture, a product designed for applications where low threshold currents are desired and power output isn't application critical. Power output is between  10-35 mW</t>
  </si>
  <si>
    <t>1064DBRL-CM</t>
  </si>
  <si>
    <t>1064 nm single-frequency DBR Low Power Chip Architecture ($2750) with output power of 40-180 mW, in a C-Mount Package (+$100), for a total unit cost of $2850</t>
  </si>
  <si>
    <t>1064DBRL-CS</t>
  </si>
  <si>
    <t>1064 nm single-frequency DBR Low Power Chip Architecture ($2750) with output power of 40-180 mW, chip on submount, for a total unit cost of $2750</t>
  </si>
  <si>
    <t>1064DBRL-L-CM</t>
  </si>
  <si>
    <t>1064 nm single-frequency DBR Low Power Chip Architecture ($2750) with output power of 40-180 mW, Virtual Point Source (VPS) Lens (+$700), in a C-Mount Package (+$100), for a total unit cost of $3550</t>
  </si>
  <si>
    <t>1064DBRL-L-CS</t>
  </si>
  <si>
    <t>1064 nm single-frequency DBR Low Power Chip Architecture ($2750) with output power of 40-180 mW, Virtual Point Source (VPS) Lens (+$700), chip on submount, for a total unit cost of $3450</t>
  </si>
  <si>
    <t>1064DBRL-L-TO8</t>
  </si>
  <si>
    <t>1064 nm single-frequency DBR Low Power Chip Architecture ($2750) with output power of 40-180 mW, Virtual Point Source (VPS) Lens (+$700), in a TO-8 Package (+$500) with an angled window cap, for a total unit cost of $3950</t>
  </si>
  <si>
    <t>1064DBRL-L-TOSA</t>
  </si>
  <si>
    <t>1064 nm single-frequency DBR Low Power Chip Architecture ($2750) with output power of 40-180 mW, Virtual Point Source (VPS) Lens (+$700), in a TOSA Package (+$500), for a total unit cost of $3950</t>
  </si>
  <si>
    <t>1064DBRL-MHF-BF</t>
  </si>
  <si>
    <t>1064 nm single-frequency DBR Low Power Chip Architecture ($2750) with output power of 20-50 mW, Mode Hop Free Mounting (+$700), in a Butterfly Package (+$2500), for a total unit cost of $5950</t>
  </si>
  <si>
    <t>1064DBRL-MHF-BFISO</t>
  </si>
  <si>
    <t>1064 nm single-frequency DBR Low Power Chip Architecture ($2750) with output power of 10-35 mW, Mode Hop Free Mounting (+$700), in a Butterfly-ISO Package (+$3000), for a total unit cost of $6450</t>
  </si>
  <si>
    <t>1064DBRL-MHF-CM</t>
  </si>
  <si>
    <t>1064 nm single-frequency DBR Low Power Chip Architecture ($2750) with output power of 40-180 mW, Mode Hop Free Mounting (+$700), in a C-Mount Package (+$100), for a total unit cost of $3550</t>
  </si>
  <si>
    <t>1064DBRL-MHF-CS</t>
  </si>
  <si>
    <t>1064 nm single-frequency DBR Low Power Chip Architecture ($2750) with output power of 40-180 mW, Mode Hop Free Mounting (+$700), chip on submount, for a total unit cost of $3450</t>
  </si>
  <si>
    <t>1064DBRL-MHF-TO8</t>
  </si>
  <si>
    <t>1064 nm single-frequency DBR Low Power Chip Architecture ($2750) with output power of 40-180 mW, Mode Hop Free Mounting (+$700), in a TO-8 Package (+$500), for a total unit cost of $3950</t>
  </si>
  <si>
    <t>1064DBRL-MHF-TOSA</t>
  </si>
  <si>
    <t>1064 nm single-frequency DBR Low Power Chip Architecture ($2750) with output power of 40-180 mW, Mode Hop Free Mounting (+$700), in a TOSA Package (+$500), for a total unit cost of $3950</t>
  </si>
  <si>
    <t>1064DBRH-MHF-TOSA</t>
  </si>
  <si>
    <t>1064 nm single-frequency DBR High Power Chip Architecture ($3750) with output power of 100-350 mW, Mode Hop Free Mounting (+$700), in a TOSA Package (+$500), for a total unit cost of $4950</t>
  </si>
  <si>
    <t>1064DBRL-MHFL-CM</t>
  </si>
  <si>
    <t>1064 nm single-frequency DBR Low Power Chip Architecture ($2750) with output power of 40-180 mW, Mode Hop Free Mounting (+$700), Virtual Point Source (VPS) Lens (+$700), in a C-Mount Package (+$100), for a total unit cost of $4250</t>
  </si>
  <si>
    <t>1064DBRL-MHFL-CS</t>
  </si>
  <si>
    <t>1064 nm single-frequency DBR Low Power Chip Architecture ($2750) with output power of 40-180 mW, Mode Hop Free Mounting (+$700), Virtual Point Source (VPS) Lens (+$700), chip on submount, for a total unit cost of $4150</t>
  </si>
  <si>
    <t>1064DBRL-MHFL-TO8</t>
  </si>
  <si>
    <t>1064 nm single-frequency DBR Low Power Chip Architecture ($2750) with output power of 40-180 mW, Mode Hop Free Mounting (+$700), Virtual Point Source (VPS) Lens (+$700), in a TO-8 Package (+$500) with an angled window cap, for a total unit cost of $4650</t>
  </si>
  <si>
    <t>1064DBRL-MHFL-TOSA</t>
  </si>
  <si>
    <t>1064 nm single-frequency DBR Low Power Chip Architecture ($2750) with output power of 40-180 mW, Mode Hop Free Mounting (+$700), Virtual Point Source (VPS) Lens (+$700), in a TOSA Package (+$500), for a total unit cost of $4650</t>
  </si>
  <si>
    <t>1064DBRL-TO8</t>
  </si>
  <si>
    <t>1064 nm single-frequency DBR Low Power Chip Architecture ($2750) with output power of 40-180 mW, in a TO-8 Package (+$500), for a total unit cost of $3250</t>
  </si>
  <si>
    <t>1064DBRH-TOSA</t>
  </si>
  <si>
    <t>1064 nm single-frequency DBR High Power Chip Architecture ($3750) with output power of 100-350 mW, in a TOSA Package (+$500), for a total unit cost of $4250</t>
  </si>
  <si>
    <t>1064DBRL-TOSA</t>
  </si>
  <si>
    <t>1064 nm single-frequency DBR Low Power Chip Architecture ($2750) with output power of 40-180 mW, in a TOSA Package (+$500), for a total unit cost of $3250</t>
  </si>
  <si>
    <t>894.592DBRH-DEC-CS</t>
  </si>
  <si>
    <t>894.592</t>
  </si>
  <si>
    <t>894.592 nm single-frequency DBR High Power Chip Architecture ($3750) with output power of 80-240 mW, Direct-Edge Coupling (DEC) (+$100), chip on submount, for a total unit cost of $3850</t>
  </si>
  <si>
    <t>894.592DBRL-DEC-CS</t>
  </si>
  <si>
    <t>894.592 nm single-frequency DBR Low Power Chip Architecture ($2750) with output power of 40-120 mW, Direct-Edge Coupling (DEC) (+$100), chip on submount, for a total unit cost of $2850</t>
  </si>
  <si>
    <t>1080DBRL-9M</t>
  </si>
  <si>
    <t>1080 nm single-frequency DBR Low Power Chip Architecture ($2750) with output power of 40-180 mW, in a 9mm Package (+$150), for a total unit cost of $2900</t>
  </si>
  <si>
    <t>1080DBRL-BF</t>
  </si>
  <si>
    <t>1080 nm single-frequency DBR Low Power Chip Architecture ($2750) with output power of 20-90 mW, in a Butterfly Package (+$2500), for a total unit cost of $5250</t>
  </si>
  <si>
    <t>1080DBRL-BFISO</t>
  </si>
  <si>
    <t>10-45</t>
  </si>
  <si>
    <t>Low Power (10-45 mW) $2,750</t>
  </si>
  <si>
    <t>1080 nm single-frequency DBR Low Power Chip Architecture ($2750) with output power of 10-45 mW, in a Butterfly-ISO Package (+$3000), for a total unit cost of $5750</t>
  </si>
  <si>
    <t>This laser diode is based on Photodigm's proprietary Distributed Bragg Reflector (DBR) design. It is augmented by the Low Power laser diode architecture, a product designed for applications where low threshold currents are desired and power output isn't application critical. Power output is between  10-45 mW</t>
  </si>
  <si>
    <t>1080DBRL-CM</t>
  </si>
  <si>
    <t>1080 nm single-frequency DBR Low Power Chip Architecture ($2750) with output power of 40-180 mW, in a C-Mount Package (+$100), for a total unit cost of $2850</t>
  </si>
  <si>
    <t>1080DBRL-CS</t>
  </si>
  <si>
    <t>1080 nm single-frequency DBR Low Power Chip Architecture ($2750) with output power of 40-180 mW, chip on submount, for a total unit cost of $2750</t>
  </si>
  <si>
    <t>1080DBRL-L-CM</t>
  </si>
  <si>
    <t>1080 nm single-frequency DBR Low Power Chip Architecture ($2750) with output power of 40-180 mW, Virtual Point Source (VPS) Lens (+$700), in a C-Mount Package (+$100), for a total unit cost of $3550</t>
  </si>
  <si>
    <t>1080DBRL-L-CS</t>
  </si>
  <si>
    <t>1080 nm single-frequency DBR Low Power Chip Architecture ($2750) with output power of 40-180 mW, Virtual Point Source (VPS) Lens (+$700), chip on submount, for a total unit cost of $3450</t>
  </si>
  <si>
    <t>1080DBRL-L-TO8</t>
  </si>
  <si>
    <t>1080 nm single-frequency DBR Low Power Chip Architecture ($2750) with output power of 40-180 mW, Virtual Point Source (VPS) Lens (+$700), in a TO-8 Package (+$500) with an angled window cap, for a total unit cost of $3950</t>
  </si>
  <si>
    <t>1080DBRL-L-TOSA</t>
  </si>
  <si>
    <t>1080 nm single-frequency DBR Low Power Chip Architecture ($2750) with output power of 40-180 mW, Virtual Point Source (VPS) Lens (+$700), in a TOSA Package (+$500), for a total unit cost of $3950</t>
  </si>
  <si>
    <t>1080DBRL-MHF-BF</t>
  </si>
  <si>
    <t>1080 nm single-frequency DBR Low Power Chip Architecture ($2750) with output power of 20-90 mW, Mode Hop Free Mounting (+$700), in a Butterfly Package (+$2500), for a total unit cost of $5950</t>
  </si>
  <si>
    <t>1080DBRL-MHF-BFISO</t>
  </si>
  <si>
    <t>1080 nm single-frequency DBR Low Power Chip Architecture ($2750) with output power of 10-45 mW, Mode Hop Free Mounting (+$700), in a Butterfly-ISO Package (+$3000), for a total unit cost of $6450</t>
  </si>
  <si>
    <t>1080DBRL-MHF-CM</t>
  </si>
  <si>
    <t>1080 nm single-frequency DBR Low Power Chip Architecture ($2750) with output power of 40-180 mW, Mode Hop Free Mounting (+$700), in a C-Mount Package (+$100), for a total unit cost of $3550</t>
  </si>
  <si>
    <t>1080DBRL-MHF-CS</t>
  </si>
  <si>
    <t>1080 nm single-frequency DBR Low Power Chip Architecture ($2750) with output power of 40-180 mW, Mode Hop Free Mounting (+$700), chip on submount, for a total unit cost of $3450</t>
  </si>
  <si>
    <t>1080DBRL-MHF-TO8</t>
  </si>
  <si>
    <t>1080 nm single-frequency DBR Low Power Chip Architecture ($2750) with output power of 40-180 mW, Mode Hop Free Mounting (+$700), in a TO-8 Package (+$500), for a total unit cost of $3950</t>
  </si>
  <si>
    <t>1080DBRL-MHF-TOSA</t>
  </si>
  <si>
    <t>1080 nm single-frequency DBR Low Power Chip Architecture ($2750) with output power of 40-180 mW, Mode Hop Free Mounting (+$700), in a TOSA Package (+$500), for a total unit cost of $3950</t>
  </si>
  <si>
    <t>1080DBRL-MHFL-CM</t>
  </si>
  <si>
    <t>1080 nm single-frequency DBR Low Power Chip Architecture ($2750) with output power of 40-180 mW, Mode Hop Free Mounting (+$700), Virtual Point Source (VPS) Lens (+$700), in a C-Mount Package (+$100), for a total unit cost of $4250</t>
  </si>
  <si>
    <t>1080DBRL-MHFL-CS</t>
  </si>
  <si>
    <t>1080 nm single-frequency DBR Low Power Chip Architecture ($2750) with output power of 40-180 mW, Mode Hop Free Mounting (+$700), Virtual Point Source (VPS) Lens (+$700), chip on submount, for a total unit cost of $4150</t>
  </si>
  <si>
    <t>1080DBRL-MHFL-TO8</t>
  </si>
  <si>
    <t>1080 nm single-frequency DBR Low Power Chip Architecture ($2750) with output power of 40-180 mW, Mode Hop Free Mounting (+$700), Virtual Point Source (VPS) Lens (+$700), in a TO-8 Package (+$500) with an angled window cap, for a total unit cost of $4650</t>
  </si>
  <si>
    <t>1080DBRL-MHFL-TOSA</t>
  </si>
  <si>
    <t>1080 nm single-frequency DBR Low Power Chip Architecture ($2750) with output power of 40-180 mW, Mode Hop Free Mounting (+$700), Virtual Point Source (VPS) Lens (+$700), in a TOSA Package (+$500), for a total unit cost of $4650</t>
  </si>
  <si>
    <t>1080DBRL-TO8</t>
  </si>
  <si>
    <t>1080 nm single-frequency DBR Low Power Chip Architecture ($2750) with output power of 40-180 mW, in a TO-8 Package (+$500), for a total unit cost of $3250</t>
  </si>
  <si>
    <t>1080DBRL-TOSA</t>
  </si>
  <si>
    <t>1080 nm single-frequency DBR Low Power Chip Architecture ($2750) with output power of 40-180 mW, in a TOSA Package (+$500), for a total unit cost of $3250</t>
  </si>
  <si>
    <t>920DBRH-DEC-CS</t>
  </si>
  <si>
    <t>920</t>
  </si>
  <si>
    <t>920 nm single-frequency DBR High Power Chip Architecture ($3750) with output power of 80-240 mW, Direct-Edge Coupling (DEC) (+$100), chip on submount, for a total unit cost of $3850</t>
  </si>
  <si>
    <t>1083.33DBRH-BF</t>
  </si>
  <si>
    <t>50-140</t>
  </si>
  <si>
    <t>High Power (50-140 mW) $3,750</t>
  </si>
  <si>
    <t>1083.33 nm single-frequency DBR High Power Chip Architecture ($3750) with output power of 50-140 mW, in a Butterfly Package (+$2500), for a total unit cost of $6250</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</si>
  <si>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50-140 mW</t>
  </si>
  <si>
    <t>1083.33DBRH-BFISO</t>
  </si>
  <si>
    <t>25-100</t>
  </si>
  <si>
    <t>High Power (25-100 mW) $3,750</t>
  </si>
  <si>
    <t>1083.33 nm single-frequency DBR High Power Chip Architecture ($3750) with output power of 25-100 mW, in a Butterfly-ISO Package (+$3000), for a total unit cost of $6750</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</si>
  <si>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25-100 mW</t>
  </si>
  <si>
    <t>1083.33DBRH-CM</t>
  </si>
  <si>
    <t>1083.33 nm single-frequency DBR High Power Chip Architecture ($3750) with output power of 100-350 mW, in a C-Mount Package (+$100), for a total unit cost of $3850</t>
  </si>
  <si>
    <t>1083.33DBRH-CS</t>
  </si>
  <si>
    <t>1083.33 nm single-frequency DBR High Power Chip Architecture ($3750) with output power of 100-350 mW, chip on submount, for a total unit cost of $3750</t>
  </si>
  <si>
    <t>1083.33DBRH-MHF-BF</t>
  </si>
  <si>
    <t>1083.33 nm single-frequency DBR High Power Chip Architecture ($3750) with output power of 50-140 mW, Mode Hop Free Mounting (+$700), in a Butterfly Package (+$2500), for a total unit cost of $6950</t>
  </si>
  <si>
    <t>1083.33DBRH-MHF-BFISO</t>
  </si>
  <si>
    <t>1083.33 nm single-frequency DBR High Power Chip Architecture ($3750) with output power of 25-100 mW, Mode Hop Free Mounting (+$700), in a Butterfly-ISO Package (+$3000), for a total unit cost of $7450</t>
  </si>
  <si>
    <t>1083.33DBRH-MHF-CM</t>
  </si>
  <si>
    <t>1083.33 nm single-frequency DBR High Power Chip Architecture ($3750) with output power of 100-350 mW, Mode Hop Free Mounting (+$700), in a C-Mount Package (+$100), for a total unit cost of $4550</t>
  </si>
  <si>
    <t>1083.33DBRH-MHF-CS</t>
  </si>
  <si>
    <t>1083.33 nm single-frequency DBR High Power Chip Architecture ($3750) with output power of 100-350 mW, Mode Hop Free Mounting (+$700), chip on submount, for a total unit cost of $4450</t>
  </si>
  <si>
    <t>1083.33DBRH-MHF-TO8</t>
  </si>
  <si>
    <t>1083.33 nm single-frequency DBR High Power Chip Architecture ($3750) with output power of 100-350 mW, Mode Hop Free Mounting (+$700), in a TO-8 Package (+$500), for a total unit cost of $4950</t>
  </si>
  <si>
    <t>1083.33DBRH-TO8</t>
  </si>
  <si>
    <t>1083.33 nm single-frequency DBR High Power Chip Architecture ($3750) with output power of 100-350 mW, in a TO-8 Package (+$500), for a total unit cost of $4250</t>
  </si>
  <si>
    <t>1083.33DBRL-9M</t>
  </si>
  <si>
    <t>1083.33 nm single-frequency DBR Low Power Chip Architecture ($2750) with output power of 40-120 mW, in a 9mm Package (+$150), for a total unit cost of $2900</t>
  </si>
  <si>
    <t>1083.33DBRL-BF</t>
  </si>
  <si>
    <t>1083.33 nm single-frequency DBR Low Power Chip Architecture ($2750) with output power of 20-90 mW, in a Butterfly Package (+$2500), for a total unit cost of $5250</t>
  </si>
  <si>
    <t>1083.33DBRL-BFISO</t>
  </si>
  <si>
    <t>1083.33 nm single-frequency DBR Low Power Chip Architecture ($2750) with output power of 10-45 mW, in a Butterfly-ISO Package (+$3000), for a total unit cost of $5750</t>
  </si>
  <si>
    <t>1083.33DBRL-CM</t>
  </si>
  <si>
    <t>1083.33 nm single-frequency DBR Low Power Chip Architecture ($2750) with output power of 40-120 mW, in a C-Mount Package (+$100), for a total unit cost of $2850</t>
  </si>
  <si>
    <t>1083.33DBRL-CS</t>
  </si>
  <si>
    <t>1083.33 nm single-frequency DBR Low Power Chip Architecture ($2750) with output power of 40-120 mW, chip on submount, for a total unit cost of $2750</t>
  </si>
  <si>
    <t>1083.33DBRL-L-CM</t>
  </si>
  <si>
    <t>1083.33 nm single-frequency DBR Low Power Chip Architecture ($2750) with output power of 40-120 mW, Virtual Point Source (VPS) Lens (+$700), in a C-Mount Package (+$100), for a total unit cost of $3550</t>
  </si>
  <si>
    <t>1083.33DBRL-L-CS</t>
  </si>
  <si>
    <t>1083.33 nm single-frequency DBR Low Power Chip Architecture ($2750) with output power of 40-120 mW, Virtual Point Source (VPS) Lens (+$700), chip on submount, for a total unit cost of $3450</t>
  </si>
  <si>
    <t>1083.33DBRL-L-TO8</t>
  </si>
  <si>
    <t>1083.33 nm single-frequency DBR Low Power Chip Architecture ($2750) with output power of 40-120 mW, Virtual Point Source (VPS) Lens (+$700), in a TO-8 Package (+$500) with an angled window cap, for a total unit cost of $3950</t>
  </si>
  <si>
    <t>1083.33DBRL-L-TOSA</t>
  </si>
  <si>
    <t>1083.33 nm single-frequency DBR Low Power Chip Architecture ($2750) with output power of 40-120 mW, Virtual Point Source (VPS) Lens (+$700), in a TOSA Package (+$500), for a total unit cost of $3950</t>
  </si>
  <si>
    <t>1083.33DBRL-MHF-BF</t>
  </si>
  <si>
    <t>1083.33 nm single-frequency DBR Low Power Chip Architecture ($2750) with output power of 20-90 mW, Mode Hop Free Mounting (+$700), in a Butterfly Package (+$2500), for a total unit cost of $5950</t>
  </si>
  <si>
    <t>1083.33DBRL-MHF-BFISO</t>
  </si>
  <si>
    <t>1083.33 nm single-frequency DBR Low Power Chip Architecture ($2750) with output power of 10-45 mW, Mode Hop Free Mounting (+$700), in a Butterfly-ISO Package (+$3000), for a total unit cost of $6450</t>
  </si>
  <si>
    <t>1083.33DBRL-MHF-CM</t>
  </si>
  <si>
    <t>1083.33 nm single-frequency DBR Low Power Chip Architecture ($2750) with output power of 40-120 mW, Mode Hop Free Mounting (+$700), in a C-Mount Package (+$100), for a total unit cost of $3550</t>
  </si>
  <si>
    <t>1083.33DBRL-MHF-CS</t>
  </si>
  <si>
    <t>1083.33 nm single-frequency DBR Low Power Chip Architecture ($2750) with output power of 40-120 mW, Mode Hop Free Mounting (+$700), chip on submount, for a total unit cost of $3450</t>
  </si>
  <si>
    <t>1083.33DBRL-MHF-TO8</t>
  </si>
  <si>
    <t>1083.33 nm single-frequency DBR Low Power Chip Architecture ($2750) with output power of 40-120 mW, Mode Hop Free Mounting (+$700), in a TO-8 Package (+$500), for a total unit cost of $3950</t>
  </si>
  <si>
    <t>1083.33DBRL-MHF-TOSA</t>
  </si>
  <si>
    <t>1083.33 nm single-frequency DBR Low Power Chip Architecture ($2750) with output power of 40-120 mW, Mode Hop Free Mounting (+$700), in a TOSA Package (+$500), for a total unit cost of $3950</t>
  </si>
  <si>
    <t>1083.33DBRH-TOSA</t>
  </si>
  <si>
    <t>1083.33 nm single-frequency DBR High Power Chip Architecture ($3750) with output power of 100-350 mW, in a TOSA Package (+$500), for a total unit cost of $4250</t>
  </si>
  <si>
    <t>1083.33DBRH-MHF-TOSA</t>
  </si>
  <si>
    <t>1083.33 nm single-frequency DBR High Power Chip Architecture ($3750) with output power of 100-350 mW, Mode Hop Free Mounting (+$700), in a TOSA Package (+$500), for a total unit cost of $4950</t>
  </si>
  <si>
    <t>1083.33DBRL-MHFL-CM</t>
  </si>
  <si>
    <t>1083.33 nm single-frequency DBR Low Power Chip Architecture ($2750) with output power of 40-120 mW, Mode Hop Free Mounting (+$700), Virtual Point Source (VPS) Lens (+$700), in a C-Mount Package (+$100), for a total unit cost of $4250</t>
  </si>
  <si>
    <t>1083.33DBRL-MHFL-CS</t>
  </si>
  <si>
    <t>1083.33 nm single-frequency DBR Low Power Chip Architecture ($2750) with output power of 40-120 mW, Mode Hop Free Mounting (+$700), Virtual Point Source (VPS) Lens (+$700), chip on submount, for a total unit cost of $4150</t>
  </si>
  <si>
    <t>1083.33DBRL-MHFL-TO8</t>
  </si>
  <si>
    <t>1083.33 nm single-frequency DBR Low Power Chip Architecture ($2750) with output power of 40-120 mW, Mode Hop Free Mounting (+$700), Virtual Point Source (VPS) Lens (+$700), in a TO-8 Package (+$500) with an angled window cap, for a total unit cost of $4650</t>
  </si>
  <si>
    <t>1083.33DBRL-MHFL-TOSA</t>
  </si>
  <si>
    <t>1083.33 nm single-frequency DBR Low Power Chip Architecture ($2750) with output power of 40-120 mW, Mode Hop Free Mounting (+$700), Virtual Point Source (VPS) Lens (+$700), in a TOSA Package (+$500), for a total unit cost of $4650</t>
  </si>
  <si>
    <t>1083.33DBRL-TO8</t>
  </si>
  <si>
    <t>1083.33 nm single-frequency DBR Low Power Chip Architecture ($2750) with output power of 40-120 mW, in a TO-8 Package (+$500), for a total unit cost of $3250</t>
  </si>
  <si>
    <t>1083.33DBRL-TOSA</t>
  </si>
  <si>
    <t>1083.33 nm single-frequency DBR Low Power Chip Architecture ($2750) with output power of 40-120 mW, in a TOSA Package (+$500), for a total unit cost of $3250</t>
  </si>
  <si>
    <t>935DBRH-DEC-CS</t>
  </si>
  <si>
    <t>935</t>
  </si>
  <si>
    <t>935 nm single-frequency DBR High Power Chip Architecture ($3750) with output power of 80-240 mW, Direct-Edge Coupling (DEC) (+$100), chip on submount, for a total unit cost of $3850</t>
  </si>
  <si>
    <t>976DBRH-DEC-CS</t>
  </si>
  <si>
    <t>976</t>
  </si>
  <si>
    <t>976 nm single-frequency DBR High Power Chip Architecture ($3750) with output power of 80-350 mW, Direct-Edge Coupling (DEC) (+$100), chip on submount, for a total unit cost of $3850</t>
  </si>
  <si>
    <t>1090DBRL-9M</t>
  </si>
  <si>
    <t>1090 nm single-frequency DBR Low Power Chip Architecture ($2750) with output power of 40-180 mW, in a 9mm Package (+$150), for a total unit cost of $2900</t>
  </si>
  <si>
    <t>1090DBRL-BF</t>
  </si>
  <si>
    <t>1090 nm single-frequency DBR Low Power Chip Architecture ($2750) with output power of 20-90 mW, in a Butterfly Package (+$2500), for a total unit cost of $5250</t>
  </si>
  <si>
    <t>1090DBRL-BFISO</t>
  </si>
  <si>
    <t>1090 nm single-frequency DBR Low Power Chip Architecture ($2750) with output power of 10-45 mW, in a Butterfly-ISO Package (+$3000), for a total unit cost of $5750</t>
  </si>
  <si>
    <t>1090DBRL-CM</t>
  </si>
  <si>
    <t>1090 nm single-frequency DBR Low Power Chip Architecture ($2750) with output power of 40-180 mW, in a C-Mount Package (+$100), for a total unit cost of $2850</t>
  </si>
  <si>
    <t>1090DBRL-CS</t>
  </si>
  <si>
    <t>1090 nm single-frequency DBR Low Power Chip Architecture ($2750) with output power of 40-180 mW, chip on submount, for a total unit cost of $2750</t>
  </si>
  <si>
    <t>1090DBRL-L-CM</t>
  </si>
  <si>
    <t>1090 nm single-frequency DBR Low Power Chip Architecture ($2750) with output power of 40-180 mW, Virtual Point Source (VPS) Lens (+$700), in a C-Mount Package (+$100), for a total unit cost of $3550</t>
  </si>
  <si>
    <t>1090DBRL-L-CS</t>
  </si>
  <si>
    <t>1090 nm single-frequency DBR Low Power Chip Architecture ($2750) with output power of 40-180 mW, Virtual Point Source (VPS) Lens (+$700), chip on submount, for a total unit cost of $3450</t>
  </si>
  <si>
    <t>1090DBRL-L-TO8</t>
  </si>
  <si>
    <t>1090 nm single-frequency DBR Low Power Chip Architecture ($2750) with output power of 40-180 mW, Virtual Point Source (VPS) Lens (+$700), in a TO-8 Package (+$500) with an angled window cap, for a total unit cost of $3950</t>
  </si>
  <si>
    <t>1090DBRL-L-TOSA</t>
  </si>
  <si>
    <t>1090 nm single-frequency DBR Low Power Chip Architecture ($2750) with output power of 40-180 mW, Virtual Point Source (VPS) Lens (+$700), in a TOSA Package (+$500), for a total unit cost of $3950</t>
  </si>
  <si>
    <t>1090DBRL-MHF-BF</t>
  </si>
  <si>
    <t>1090 nm single-frequency DBR Low Power Chip Architecture ($2750) with output power of 20-90 mW, Mode Hop Free Mounting (+$700), in a Butterfly Package (+$2500), for a total unit cost of $5950</t>
  </si>
  <si>
    <t>1090DBRL-MHF-BFISO</t>
  </si>
  <si>
    <t>1090 nm single-frequency DBR Low Power Chip Architecture ($2750) with output power of 10-45 mW, Mode Hop Free Mounting (+$700), in a Butterfly-ISO Package (+$3000), for a total unit cost of $6450</t>
  </si>
  <si>
    <t>1090DBRL-MHF-CM</t>
  </si>
  <si>
    <t>1090 nm single-frequency DBR Low Power Chip Architecture ($2750) with output power of 40-180 mW, Mode Hop Free Mounting (+$700), in a C-Mount Package (+$100), for a total unit cost of $3550</t>
  </si>
  <si>
    <t>1090DBRL-MHF-CS</t>
  </si>
  <si>
    <t>1090 nm single-frequency DBR Low Power Chip Architecture ($2750) with output power of 40-180 mW, Mode Hop Free Mounting (+$700), chip on submount, for a total unit cost of $3450</t>
  </si>
  <si>
    <t>1090DBRL-MHF-TO8</t>
  </si>
  <si>
    <t>1090 nm single-frequency DBR Low Power Chip Architecture ($2750) with output power of 40-180 mW, Mode Hop Free Mounting (+$700), in a TO-8 Package (+$500), for a total unit cost of $3950</t>
  </si>
  <si>
    <t>1090DBRL-MHF-TOSA</t>
  </si>
  <si>
    <t>1090 nm single-frequency DBR Low Power Chip Architecture ($2750) with output power of 40-180 mW, Mode Hop Free Mounting (+$700), in a TOSA Package (+$500), for a total unit cost of $3950</t>
  </si>
  <si>
    <t>1090DBRL-MHFL-CM</t>
  </si>
  <si>
    <t>1090 nm single-frequency DBR Low Power Chip Architecture ($2750) with output power of 40-180 mW, Mode Hop Free Mounting (+$700), Virtual Point Source (VPS) Lens (+$700), in a C-Mount Package (+$100), for a total unit cost of $4250</t>
  </si>
  <si>
    <t>1090DBRL-MHFL-CS</t>
  </si>
  <si>
    <t>1090 nm single-frequency DBR Low Power Chip Architecture ($2750) with output power of 40-180 mW, Mode Hop Free Mounting (+$700), Virtual Point Source (VPS) Lens (+$700), chip on submount, for a total unit cost of $4150</t>
  </si>
  <si>
    <t>1090DBRL-MHFL-TO8</t>
  </si>
  <si>
    <t>1090 nm single-frequency DBR Low Power Chip Architecture ($2750) with output power of 40-180 mW, Mode Hop Free Mounting (+$700), Virtual Point Source (VPS) Lens (+$700), in a TO-8 Package (+$500) with an angled window cap, for a total unit cost of $4650</t>
  </si>
  <si>
    <t>1090DBRL-MHFL-TOSA</t>
  </si>
  <si>
    <t>1090 nm single-frequency DBR Low Power Chip Architecture ($2750) with output power of 40-180 mW, Mode Hop Free Mounting (+$700), Virtual Point Source (VPS) Lens (+$700), in a TOSA Package (+$500), for a total unit cost of $4650</t>
  </si>
  <si>
    <t>1090DBRL-TO8</t>
  </si>
  <si>
    <t>1090 nm single-frequency DBR Low Power Chip Architecture ($2750) with output power of 40-180 mW, in a TO-8 Package (+$500), for a total unit cost of $3250</t>
  </si>
  <si>
    <t>1090DBRL-TOSA</t>
  </si>
  <si>
    <t>1090 nm single-frequency DBR Low Power Chip Architecture ($2750) with output power of 40-180 mW, in a TOSA Package (+$500), for a total unit cost of $3250</t>
  </si>
  <si>
    <t>976DBRL-DEC-CS</t>
  </si>
  <si>
    <t>976 nm single-frequency DBR Low Power Chip Architecture ($2750) with output power of 40-200 mW, Direct-Edge Coupling (DEC) (+$100), chip on submount, for a total unit cost of $2850</t>
  </si>
  <si>
    <t>T8-1000-2A</t>
  </si>
  <si>
    <t>Accessory</t>
  </si>
  <si>
    <t>The T8-1000 is a custom heaksink for direct attachment of the Photodigm TO-8 package to enable additional heat sinking and D-sub readouts for easy connection to laser and temperature controllers</t>
  </si>
  <si>
    <t>T8-1000-2A Data Sheet 08222023.pdf</t>
  </si>
  <si>
    <t>TBD</t>
  </si>
  <si>
    <t>TS-2000-A</t>
  </si>
  <si>
    <t>The TS-2000 is a custom heaksink for direct attachment of the Photodigm Transmitter Optical Subassembly (TOSA) package to enable additional heat sinking and D-sub readouts for easy connection to laser and temperature controllers</t>
  </si>
  <si>
    <t>TS-2000-A Data Sheet 20221028 (1).pdf</t>
  </si>
  <si>
    <t>SETUP-DEC</t>
  </si>
  <si>
    <t>Add-on</t>
  </si>
  <si>
    <t>Initial Set-up fee for configuring devices with Direct Edge Coupling (DEC)</t>
  </si>
  <si>
    <t>N/A</t>
  </si>
  <si>
    <t>854.209DBRH-MHF-IBragg2</t>
  </si>
  <si>
    <t>50-200</t>
  </si>
  <si>
    <t>High Power (50-200 mW) $3,750</t>
  </si>
  <si>
    <t>IBragg2</t>
  </si>
  <si>
    <t>IsoBragg Package +$1800</t>
  </si>
  <si>
    <t>854.209 nm single-frequency DBR High Power Chip Architecture ($3750) with output power of 50-200 mW, Mode Hop Free Mounting (+$700), in an IsoBragg Package (+$1800), for a total unit cost of $6250</t>
  </si>
  <si>
    <t>IsoBragg 850 Spec sheet</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</si>
  <si>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50-200 mW</t>
  </si>
  <si>
    <t>The IsoBragg™  is the new line of high-powered fiber-coupled optically isolated laser diode packages with superior power performance in a portable size (84.4 x 40.0 x 29.4 mm). The IsoBragg™ leverages the accuracy and precision of an edge-emitting Photodigm Distributed Bragg Reflector (DBR) laser diode, designed from its proprietary monolithic single-frequency Gallium Arsenide (GaAs) advanced laser technology. The package provides a single spatial mode beam coupled into a 1-meter-length polarization maintaining (PM) fiber affixed with an FC/APC male output connector.The Mode-Hop Free (MHF) add-on is ideal for applications where tunability is critical, removing the mode-hops for consistent power and wavelength tuning by controlling current.</t>
  </si>
  <si>
    <t>IsoBragg.jpg</t>
  </si>
  <si>
    <t>IsoBragg</t>
  </si>
  <si>
    <t>Studio</t>
  </si>
  <si>
    <t>854.209DBRH-IBragg2</t>
  </si>
  <si>
    <t>854.209 nm single-frequency DBR High Power Chip Architecture ($3750) with output power of 50-200 mW, in an IsoBragg Package (+$1800), for a total unit cost of $5550</t>
  </si>
  <si>
    <t xml:space="preserve">The IsoBragg™  is the new line of high-powered fiber-coupled optically isolated laser diode packages with superior power performance in a portable size (84.4 x 40.0 x 29.4 mm). The IsoBragg™ leverages the accuracy and precision of an edge-emitting Photodigm Distributed Bragg Reflector (DBR) laser diode, designed from its proprietary monolithic single-frequency Gallium Arsenide (GaAs) advanced laser technology. The package provides a single spatial mode beam coupled into a 1-meter-length polarization maintaining (PM) fiber affixed with an FC/APC male output connector. </t>
  </si>
  <si>
    <t>852.347DBRL-MHF-IBragg2</t>
  </si>
  <si>
    <t>30-60</t>
  </si>
  <si>
    <t>Low Power (30-60 mW) $2,750</t>
  </si>
  <si>
    <t>852.347 nm single-frequency DBR Low Power Chip Architecture ($2750) with output power of 30-60 mW, Mode Hop Free Mounting (+$700), in an IsoBragg Package (+$1800), for a total unit cost of $5250</t>
  </si>
  <si>
    <t>This laser diode is based on Photodigm's proprietary Distributed Bragg Reflector (DBR) design. It is augmented by the Low Power laser diode architecture, a product designed for applications where low threshold currents are desired and power output isn't application critical. Power output is between  30-60 mW</t>
  </si>
  <si>
    <t>852.347DBRL-IBragg2</t>
  </si>
  <si>
    <t>852.347 nm single-frequency DBR Low Power Chip Architecture ($2750) with output power of 30-60 mW, in an IsoBragg Package (+$1800), for a total unit cost of $4550</t>
  </si>
  <si>
    <t>852.347DBRH-MHF-IBragg2</t>
  </si>
  <si>
    <t>852.347 nm single-frequency DBR High Power Chip Architecture ($3750) with output power of 50-200 mW, Mode Hop Free Mounting (+$700), in an IsoBragg Package (+$1800), for a total unit cost of $6250</t>
  </si>
  <si>
    <t>852.347DBRH-IBragg2</t>
  </si>
  <si>
    <t>852.347 nm single-frequency DBR High Power Chip Architecture ($3750) with output power of 50-200 mW, in an IsoBragg Package (+$1800), for a total unit cost of $5550</t>
  </si>
  <si>
    <t>845.584DBRH-MHF-IBragg2</t>
  </si>
  <si>
    <t>845.584 nm single-frequency DBR High Power Chip Architecture ($3750) with output power of 50-200 mW, Mode Hop Free Mounting (+$700), in an IsoBragg Package (+$1800), for a total unit cost of $6250</t>
  </si>
  <si>
    <t>845.584DBRH-IBragg2</t>
  </si>
  <si>
    <t>845.584 nm single-frequency DBR High Power Chip Architecture ($3750) with output power of 50-200 mW, in an IsoBragg Package (+$1800), for a total unit cost of $5550</t>
  </si>
  <si>
    <t>794.978DBRL-MHF-IBragg1</t>
  </si>
  <si>
    <t>IBragg1</t>
  </si>
  <si>
    <t>IsoBragg Package +$1500</t>
  </si>
  <si>
    <t>794.978 nm single-frequency DBR Low Power Chip Architecture ($2750) with output power of 30-60 mW, Mode Hop Free Mounting (+$700), in an IsoBragg Package (+$1500), for a total unit cost of $4950</t>
  </si>
  <si>
    <t>IsoBragg 780 Spec sheet</t>
  </si>
  <si>
    <t>The IsoBragg™  is the new line of high-powered fiber-coupled optically isolated laser diode packages with superior power performance in a portable size (58.0 x 40.0 x 29.0 mm). The IsoBragg™ leverages the accuracy and precision of an edge-emitting Photodigm Distributed Bragg Reflector (DBR) laser diode, designed from its proprietary monolithic single-frequency Gallium Arsenide (GaAs) advanced laser technology. The package provides a single spatial mode beam coupled into a 1-meter-length polarization maintaining (PM) fiber affixed with an FC/APC male output connector.The Mode-Hop Free (MHF) add-on is ideal for applications where tunability is critical, removing the mode-hops for consistent power and wavelength tuning by controlling current.</t>
  </si>
  <si>
    <t>794.978DBRL-IBragg1</t>
  </si>
  <si>
    <t>794.978 nm single-frequency DBR Low Power Chip Architecture ($2750) with output power of 30-60 mW, in an IsoBragg Package (+$1500), for a total unit cost of $4250</t>
  </si>
  <si>
    <t xml:space="preserve">The IsoBragg™  is the new line of high-powered fiber-coupled optically isolated laser diode packages with superior power performance in a portable size (58.0 x 40.0 x 29.0 mm). The IsoBragg™ leverages the accuracy and precision of an edge-emitting Photodigm Distributed Bragg Reflector (DBR) laser diode, designed from its proprietary monolithic single-frequency Gallium Arsenide (GaAs) advanced laser technology. The package provides a single spatial mode beam coupled into a 1-meter-length polarization maintaining (PM) fiber affixed with an FC/APC male output connector. </t>
  </si>
  <si>
    <t>794.978DBRH-MHF-IBragg1</t>
  </si>
  <si>
    <t>30-150</t>
  </si>
  <si>
    <t>High Power (30-150 mW) $3,750</t>
  </si>
  <si>
    <t>794.978 nm single-frequency DBR High Power Chip Architecture ($3750) with output power of 30-150 mW, Mode Hop Free Mounting (+$700), in an IsoBragg Package (+$1500), for a total unit cost of $5950</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</si>
  <si>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30-150 mW</t>
  </si>
  <si>
    <t>794.978DBRH-IBragg1</t>
  </si>
  <si>
    <t>794.978 nm single-frequency DBR High Power Chip Architecture ($3750) with output power of 30-150 mW, in an IsoBragg Package (+$1500), for a total unit cost of $5250</t>
  </si>
  <si>
    <t>785DBRL-MHF-IBragg1</t>
  </si>
  <si>
    <t>785 nm single-frequency DBR Low Power Chip Architecture ($2750) with output power of 30-60 mW, Mode Hop Free Mounting (+$700), in an IsoBragg Package (+$1500), for a total unit cost of $4950</t>
  </si>
  <si>
    <t>785DBRL-IBragg1</t>
  </si>
  <si>
    <t>785 nm single-frequency DBR Low Power Chip Architecture ($2750) with output power of 30-60 mW, in an IsoBragg Package (+$1500), for a total unit cost of $4250</t>
  </si>
  <si>
    <t>785DBRH-MHF-IBragg1</t>
  </si>
  <si>
    <t>785 nm single-frequency DBR High Power Chip Architecture ($3750) with output power of 30-150 mW, Mode Hop Free Mounting (+$700), in an IsoBragg Package (+$1500), for a total unit cost of $5950</t>
  </si>
  <si>
    <t>785DBRH-IBragg1</t>
  </si>
  <si>
    <t>785 nm single-frequency DBR High Power Chip Architecture ($3750) with output power of 30-150 mW, in an IsoBragg Package (+$1500), for a total unit cost of $5250</t>
  </si>
  <si>
    <t>780.241DBRL-MHF-IBragg1</t>
  </si>
  <si>
    <t>780.241 nm single-frequency DBR Low Power Chip Architecture ($2750) with output power of 30-60 mW, Mode Hop Free Mounting (+$700), in an IsoBragg Package (+$1500), for a total unit cost of $4950</t>
  </si>
  <si>
    <t>780.241DBRL-IBragg1</t>
  </si>
  <si>
    <t>780.241 nm single-frequency DBR Low Power Chip Architecture ($2750) with output power of 30-60 mW, in an IsoBragg Package (+$1500), for a total unit cost of $4250</t>
  </si>
  <si>
    <t>780.241DBRH-MHF-IBragg1</t>
  </si>
  <si>
    <t>780.241 nm single-frequency DBR High Power Chip Architecture ($3750) with output power of 30-150 mW, Mode Hop Free Mounting (+$700), in an IsoBragg Package (+$1500), for a total unit cost of $5950</t>
  </si>
  <si>
    <t>780.241DBRH-IBragg1</t>
  </si>
  <si>
    <t>780.241 nm single-frequency DBR High Power Chip Architecture ($3750) with output power of 30-150 mW, in an IsoBragg Package (+$1500), for a total unit cost of $5250</t>
  </si>
  <si>
    <t>778.105DBRH-MHF-IBragg1</t>
  </si>
  <si>
    <t>778.105 nm single-frequency DBR High Power Chip Architecture ($3750) with output power of 30-150 mW, Mode Hop Free Mounting (+$700), in an IsoBragg Package (+$1500), for a total unit cost of $5950</t>
  </si>
  <si>
    <t>778.105DBRH-IBragg1</t>
  </si>
  <si>
    <t>778.105 nm single-frequency DBR High Power Chip Architecture ($3750) with output power of 30-150 mW, in an IsoBragg Package (+$1500), for a total unit cost of $5250</t>
  </si>
  <si>
    <t>776.061DBRH-MHF-IBragg1</t>
  </si>
  <si>
    <t>35-100</t>
  </si>
  <si>
    <t>High Power (35-100 mW) $3,750</t>
  </si>
  <si>
    <t>776.061 nm single-frequency DBR High Power Chip Architecture ($3750) with output power of 35-100 mW, Mode Hop Free Mounting (+$700), in an IsoBragg Package (+$1500), for a total unit cost of $5950</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</si>
  <si>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35-100 mW</t>
  </si>
  <si>
    <t>776.061DBRH-IBragg1</t>
  </si>
  <si>
    <t>776.061 nm single-frequency DBR High Power Chip Architecture ($3750) with output power of 35-100 mW, in an IsoBragg Package (+$1500), for a total unit cost of $5250</t>
  </si>
  <si>
    <t>770.108DBRH-MHF-IBragg1</t>
  </si>
  <si>
    <t>35-85</t>
  </si>
  <si>
    <t>High Power (35-85 mW) $3,750</t>
  </si>
  <si>
    <t>770.108 nm single-frequency DBR High Power Chip Architecture ($3750) with output power of 35-85 mW, Mode Hop Free Mounting (+$700), in an IsoBragg Package (+$1500), for a total unit cost of $5950</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</si>
  <si>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35-85 mW</t>
  </si>
  <si>
    <t>770.108DBRH-IBragg1</t>
  </si>
  <si>
    <t>770.108 nm single-frequency DBR High Power Chip Architecture ($3750) with output power of 35-85 mW, in an IsoBragg Package (+$1500), for a total unit cost of $5250</t>
  </si>
  <si>
    <t>1080DBRL-MHF-IBragg3</t>
  </si>
  <si>
    <t>IBragg3</t>
  </si>
  <si>
    <t>IsoBragg Package +$2400</t>
  </si>
  <si>
    <t>1080 nm single-frequency DBR Low Power Chip Architecture ($2750) with output power of 20-100 mW, Mode Hop Free Mounting (+$700), in an IsoBragg Package (+$2400), for a total unit cost of $5650</t>
  </si>
  <si>
    <t>IsoBragg 1064 Spec sheet</t>
  </si>
  <si>
    <t>The IsoBragg™  is the new line of high-powered fiber-coupled, ultra-high optically isolated laser diode packages with superior power performance in a portable size (84.4 x 40.0 x 29.4 mm) with &gt;60 dB optical isolation. The IsoBragg™ leverages the accuracy and precision of an edge-emitting Photodigm Distributed Bragg Reflector (DBR) laser diode, designed from its proprietary monolithic single-frequency Gallium Arsenide (GaAs) advanced laser technology. The package provides a single spatial mode beam coupled into a 1-meter-length polarization maintaining (PM) fiber affixed with an FC/APC male output connector.The Mode-Hop Free (MHF) add-on is ideal for applications where tunability is critical, removing the mode-hops for consistent power and wavelength tuning by controlling current.</t>
  </si>
  <si>
    <t>1080DBRL-IBragg3</t>
  </si>
  <si>
    <t>1080 nm single-frequency DBR Low Power Chip Architecture ($2750) with output power of 20-100 mW, in an IsoBragg Package (+$2400), for a total unit cost of $4950</t>
  </si>
  <si>
    <t xml:space="preserve">The IsoBragg™  is the new line of high-powered fiber-coupled, ultra-high optically isolated laser diode packages with superior power performance in a portable size (84.4 x 40.0 x 29.4 mm) with &gt;60 dB optical isolation. The IsoBragg™ leverages the accuracy and precision of an edge-emitting Photodigm Distributed Bragg Reflector (DBR) laser diode, designed from its proprietary monolithic single-frequency Gallium Arsenide (GaAs) advanced laser technology. The package provides a single spatial mode beam coupled into a 1-meter-length polarization maintaining (PM) fiber affixed with an FC/APC male output connector. </t>
  </si>
  <si>
    <t>1064DBRL-MHF-IBragg3</t>
  </si>
  <si>
    <t>1064 nm single-frequency DBR Low Power Chip Architecture ($2750) with output power of 20-100 mW, Mode Hop Free Mounting (+$700), in an IsoBragg Package (+$2400), for a total unit cost of $5650</t>
  </si>
  <si>
    <t>1064DBRL-IBragg3</t>
  </si>
  <si>
    <t>1064 nm single-frequency DBR Low Power Chip Architecture ($2750) with output power of 20-100 mW, in an IsoBragg Package (+$2400), for a total unit cost of $4950</t>
  </si>
  <si>
    <t>1064DBRH-MHF-IBragg3</t>
  </si>
  <si>
    <t>1064 nm single-frequency DBR High Power Chip Architecture ($3750) with output power of 50-180 mW, Mode Hop Free Mounting (+$700), in an IsoBragg Package (+$2400), for a total unit cost of $6650</t>
  </si>
  <si>
    <t>1064DBRH-IBragg3</t>
  </si>
  <si>
    <t>1064 nm single-frequency DBR High Power Chip Architecture ($3750) with output power of 50-180 mW, in an IsoBragg Package (+$2400), for a total unit cost of $5950</t>
  </si>
  <si>
    <t>Wave_min</t>
  </si>
  <si>
    <t>Wave_max</t>
  </si>
  <si>
    <t>SMSR_min</t>
  </si>
  <si>
    <t>SMSR_max</t>
  </si>
  <si>
    <t>Output_min</t>
  </si>
  <si>
    <t>Output_max</t>
  </si>
  <si>
    <t>Voltage_min</t>
  </si>
  <si>
    <t>Voltage_max</t>
  </si>
  <si>
    <t>Wave-SMSR_Current_min</t>
  </si>
  <si>
    <t>Wave-SMSR_Current_max</t>
  </si>
  <si>
    <t>LIV_Current_max</t>
  </si>
  <si>
    <t>LIV_Current_min</t>
  </si>
  <si>
    <t>LIV-Current</t>
  </si>
  <si>
    <t>LIV-OutputPower</t>
  </si>
  <si>
    <t>LIV-Voltage</t>
  </si>
  <si>
    <t>Column</t>
  </si>
  <si>
    <t>Row</t>
  </si>
  <si>
    <t>(A)</t>
  </si>
  <si>
    <t>(W)</t>
  </si>
  <si>
    <t>(V)</t>
  </si>
  <si>
    <t>Max Spec</t>
  </si>
  <si>
    <t>Min Spec</t>
  </si>
  <si>
    <t>SMSR</t>
  </si>
  <si>
    <t>dB</t>
  </si>
  <si>
    <t>nm</t>
  </si>
  <si>
    <t>CHART BOUNDS</t>
  </si>
  <si>
    <t>Wavelength:778</t>
  </si>
  <si>
    <t>Wavelength:782</t>
  </si>
  <si>
    <t>id:780-DBRL022424C-G4TX</t>
  </si>
  <si>
    <t>Temperature:35</t>
  </si>
  <si>
    <t>SMSR-Current</t>
  </si>
  <si>
    <t>LIV-Wavelength</t>
  </si>
  <si>
    <t>SMSR-Wavelength</t>
  </si>
  <si>
    <t>Responsivity:0.008880000000000001</t>
  </si>
  <si>
    <t>Operator:Lv</t>
  </si>
  <si>
    <t>number:16-66</t>
  </si>
  <si>
    <t>AM</t>
  </si>
  <si>
    <t>Current:0.001000000047497451</t>
  </si>
  <si>
    <t>number:16-66-rd</t>
  </si>
  <si>
    <t>Operator:LJ</t>
  </si>
  <si>
    <t>Width:2000</t>
  </si>
  <si>
    <t>852.347DBRL-TO8-SP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</si>
</sst>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5" x14ac:knownFonts="1">
    <font>
      <sz val="10"/>
      <name val="Arial"/>
    </font>
    <font>
      <sz val="10"/>
      <name val="Arial"/>
      <family val="2"/>
    </font>
    <font>
      <sz val="10"/>
      <name val="Arial"/>
      <family val="2"/>
    </font>
    <font>
      <sz val="12"/>
      <name val="Arial"/>
      <family val="2"/>
    </font>
    <font>
      <b/>
      <sz val="10"/>
      <name val="Arial"/>
      <family val="2"/>
    </font>
  </fonts>
  <fills count="3">
    <fill>
      <patternFill patternType="none"/>
    </fill>
    <fill>
      <patternFill patternType="gray125"/>
    </fill>
    <fill>
      <patternFill patternType="solid">
        <fgColor rgb="FFFFFF00"/>
        <bgColor indexed="64"/>
      </patternFill>
    </fill>
  </fills>
  <borders count="3">
    <border>
      <left/>
      <right/>
      <top/>
      <bottom/>
      <diagonal/>
    </border>
    <border>
      <left/>
      <right/>
      <top style="thin">
        <color indexed="64"/>
      </top>
      <bottom/>
      <diagonal/>
    </border>
    <border>
      <left/>
      <right/>
      <top/>
      <bottom style="thin">
        <color indexed="64"/>
      </bottom>
      <diagonal/>
    </border>
  </borders>
  <cellStyleXfs count="1">
    <xf numFmtId="0" fontId="0" fillId="0" borderId="0"/>
  </cellStyleXfs>
  <cellXfs count="19">
    <xf numFmtId="0" fontId="0" fillId="0" borderId="0" xfId="0"/>
    <xf numFmtId="15" fontId="0" fillId="0" borderId="0" xfId="0" applyNumberFormat="1"/>
    <xf numFmtId="21" fontId="0" fillId="0" borderId="0" xfId="0" applyNumberFormat="1"/>
    <xf numFmtId="0" fontId="1" fillId="0" borderId="0" xfId="0" applyFont="1"/>
    <xf numFmtId="164" fontId="0" fillId="0" borderId="0" xfId="0" applyNumberFormat="1"/>
    <xf numFmtId="164" fontId="2" fillId="0" borderId="0" xfId="0" applyNumberFormat="1" applyFont="1"/>
    <xf numFmtId="0" fontId="2" fillId="0" borderId="0" xfId="0" applyFont="1"/>
    <xf numFmtId="2" fontId="3" fillId="0" borderId="0" xfId="0" applyNumberFormat="1" applyFont="1"/>
    <xf numFmtId="1" fontId="3" fillId="0" borderId="0" xfId="0" applyNumberFormat="1" applyFont="1"/>
    <xf numFmtId="11" fontId="0" fillId="0" borderId="0" xfId="0" applyNumberFormat="1"/>
    <xf numFmtId="2" fontId="0" fillId="0" borderId="0" xfId="0" applyNumberFormat="1"/>
    <xf numFmtId="0" fontId="0" fillId="0" borderId="1" xfId="0" applyBorder="1"/>
    <xf numFmtId="0" fontId="4" fillId="0" borderId="0" xfId="0" applyFont="1" applyAlignment="1">
      <alignment horizontal="center"/>
    </xf>
    <xf numFmtId="0" fontId="4" fillId="0" borderId="2" xfId="0" applyFont="1" applyBorder="1"/>
    <xf numFmtId="0" fontId="4" fillId="0" borderId="0" xfId="0" applyFont="1"/>
    <xf numFmtId="0" fontId="1" fillId="2" borderId="0" xfId="0" applyFont="1" applyFill="1"/>
    <xf numFmtId="0" fontId="4" fillId="0" borderId="2" xfId="0" applyFont="1" applyBorder="1" applyAlignment="1">
      <alignment horizontal="center"/>
    </xf>
    <xf numFmtId="0" fontId="0" fillId="0" borderId="0" xfId="0" applyAlignment="1">
      <alignment horizontal="center"/>
    </xf>
    <xf numFmtId="0" fontId="0" fillId="0" borderId="0" xfId="0" applyAlignment="1">
      <alignment horizontal="right"/>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2.xml"/><Relationship Id="rId7" Type="http://schemas.openxmlformats.org/officeDocument/2006/relationships/styles" Target="styles.xml"/><Relationship Id="rId2" Type="http://schemas.openxmlformats.org/officeDocument/2006/relationships/chartsheet" Target="chartsheets/sheet1.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4.xml"/><Relationship Id="rId10" Type="http://schemas.openxmlformats.org/officeDocument/2006/relationships/calcChain" Target="calcChain.xml"/><Relationship Id="rId4" Type="http://schemas.openxmlformats.org/officeDocument/2006/relationships/worksheet" Target="worksheets/sheet3.xml"/><Relationship Id="rId9" Type="http://schemas.openxmlformats.org/officeDocument/2006/relationships/sheetMetadata" Target="metadata.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465174217782597"/>
          <c:y val="4.4596536000382624E-2"/>
          <c:w val="0.75452089369190023"/>
          <c:h val="0.79604423083344089"/>
        </c:manualLayout>
      </c:layout>
      <c:scatterChart>
        <c:scatterStyle val="smoothMarker"/>
        <c:varyColors val="0"/>
        <c:ser>
          <c:idx val="5"/>
          <c:order val="3"/>
          <c:tx>
            <c:strRef>
              <c:f>snl!$L$3</c:f>
              <c:strCache>
                <c:ptCount val="1"/>
                <c:pt idx="0">
                  <c:v>15 C</c:v>
                </c:pt>
              </c:strCache>
            </c:strRef>
          </c:tx>
          <c:spPr>
            <a:ln>
              <a:solidFill>
                <a:srgbClr val="0000FF"/>
              </a:solidFill>
            </a:ln>
          </c:spPr>
          <c:marker>
            <c:symbol val="none"/>
          </c:marker>
          <c:xVal>
            <c:numRef>
              <c:f>snl!$40:$40</c:f>
              <c:numCache>
                <c:formatCode>General</c:formatCode>
                <c:ptCount val="16384"/>
                <c:pt idx="0">
                  <c:v>0.10000000149011599</c:v>
                </c:pt>
                <c:pt idx="1">
                  <c:v>0.105000001481837</c:v>
                </c:pt>
                <c:pt idx="2">
                  <c:v>0.110000001473559</c:v>
                </c:pt>
                <c:pt idx="3">
                  <c:v>0.11500000146528</c:v>
                </c:pt>
                <c:pt idx="4">
                  <c:v>0.120000001457002</c:v>
                </c:pt>
                <c:pt idx="5">
                  <c:v>0.125000001448724</c:v>
                </c:pt>
                <c:pt idx="6">
                  <c:v>0.13000000144044499</c:v>
                </c:pt>
                <c:pt idx="7">
                  <c:v>0.135000001432167</c:v>
                </c:pt>
                <c:pt idx="8">
                  <c:v>0.14000000142388799</c:v>
                </c:pt>
                <c:pt idx="9">
                  <c:v>0.14500000141561001</c:v>
                </c:pt>
                <c:pt idx="10">
                  <c:v>0.150000001407331</c:v>
                </c:pt>
                <c:pt idx="11">
                  <c:v>0.15500000139905301</c:v>
                </c:pt>
                <c:pt idx="12">
                  <c:v>0.160000001390775</c:v>
                </c:pt>
                <c:pt idx="13">
                  <c:v>0.16500000138249599</c:v>
                </c:pt>
                <c:pt idx="14">
                  <c:v>0.170000001374218</c:v>
                </c:pt>
                <c:pt idx="15">
                  <c:v>0.17500000136593899</c:v>
                </c:pt>
                <c:pt idx="16">
                  <c:v>0.180000001357661</c:v>
                </c:pt>
                <c:pt idx="17">
                  <c:v>0.18500000134938199</c:v>
                </c:pt>
                <c:pt idx="18">
                  <c:v>0.19000000134110401</c:v>
                </c:pt>
                <c:pt idx="19">
                  <c:v>0.195000001332826</c:v>
                </c:pt>
                <c:pt idx="20">
                  <c:v>0.20000000132454701</c:v>
                </c:pt>
                <c:pt idx="21">
                  <c:v>0.205000001316269</c:v>
                </c:pt>
                <c:pt idx="22">
                  <c:v>0.21000000130798999</c:v>
                </c:pt>
                <c:pt idx="23">
                  <c:v>0.215000001299712</c:v>
                </c:pt>
                <c:pt idx="24">
                  <c:v>0.22000000129143399</c:v>
                </c:pt>
                <c:pt idx="25">
                  <c:v>0.225000001283155</c:v>
                </c:pt>
                <c:pt idx="26">
                  <c:v>0.23000000127487699</c:v>
                </c:pt>
                <c:pt idx="27">
                  <c:v>0.23500000126659801</c:v>
                </c:pt>
                <c:pt idx="28">
                  <c:v>0.24000000125831999</c:v>
                </c:pt>
                <c:pt idx="29">
                  <c:v>0.24500000125004101</c:v>
                </c:pt>
                <c:pt idx="30">
                  <c:v>0.25000000124176303</c:v>
                </c:pt>
                <c:pt idx="31">
                  <c:v>0.25500000123348499</c:v>
                </c:pt>
                <c:pt idx="32">
                  <c:v>0.260000001225206</c:v>
                </c:pt>
                <c:pt idx="33">
                  <c:v>0.26500000121692802</c:v>
                </c:pt>
                <c:pt idx="34">
                  <c:v>0.27000000120864898</c:v>
                </c:pt>
                <c:pt idx="35">
                  <c:v>0.27500000120037099</c:v>
                </c:pt>
                <c:pt idx="36">
                  <c:v>0.28000000119209201</c:v>
                </c:pt>
              </c:numCache>
            </c:numRef>
          </c:xVal>
          <c:yVal>
            <c:numRef>
              <c:f>snl!$41:$41</c:f>
              <c:numCache>
                <c:formatCode>General</c:formatCode>
                <c:ptCount val="16384"/>
                <c:pt idx="0">
                  <c:v>778.67200000000003</c:v>
                </c:pt>
                <c:pt idx="1">
                  <c:v>778.73599999999999</c:v>
                </c:pt>
                <c:pt idx="2">
                  <c:v>778.74400000000003</c:v>
                </c:pt>
                <c:pt idx="3">
                  <c:v>778.75599999999997</c:v>
                </c:pt>
                <c:pt idx="4">
                  <c:v>778.76400000000001</c:v>
                </c:pt>
                <c:pt idx="5">
                  <c:v>778.77200000000005</c:v>
                </c:pt>
                <c:pt idx="6">
                  <c:v>778.78</c:v>
                </c:pt>
                <c:pt idx="7">
                  <c:v>778.79200000000003</c:v>
                </c:pt>
                <c:pt idx="8">
                  <c:v>778.80399999999997</c:v>
                </c:pt>
                <c:pt idx="9">
                  <c:v>778.81200000000001</c:v>
                </c:pt>
                <c:pt idx="10">
                  <c:v>778.82</c:v>
                </c:pt>
                <c:pt idx="11">
                  <c:v>778.83199999999999</c:v>
                </c:pt>
                <c:pt idx="12">
                  <c:v>778.84</c:v>
                </c:pt>
                <c:pt idx="13">
                  <c:v>778.85199999999998</c:v>
                </c:pt>
                <c:pt idx="14">
                  <c:v>778.86</c:v>
                </c:pt>
                <c:pt idx="15">
                  <c:v>778.87199999999996</c:v>
                </c:pt>
                <c:pt idx="16">
                  <c:v>778.88400000000001</c:v>
                </c:pt>
                <c:pt idx="17">
                  <c:v>778.89599999999996</c:v>
                </c:pt>
                <c:pt idx="18">
                  <c:v>778.904</c:v>
                </c:pt>
                <c:pt idx="19">
                  <c:v>778.91600000000005</c:v>
                </c:pt>
                <c:pt idx="20">
                  <c:v>778.928</c:v>
                </c:pt>
                <c:pt idx="21">
                  <c:v>778.93600000000004</c:v>
                </c:pt>
                <c:pt idx="22">
                  <c:v>778.94799999999998</c:v>
                </c:pt>
                <c:pt idx="23">
                  <c:v>778.96</c:v>
                </c:pt>
                <c:pt idx="24">
                  <c:v>778.97199999999998</c:v>
                </c:pt>
                <c:pt idx="25">
                  <c:v>778.98400000000004</c:v>
                </c:pt>
                <c:pt idx="26">
                  <c:v>778.99599999999998</c:v>
                </c:pt>
                <c:pt idx="27">
                  <c:v>779.00800000000004</c:v>
                </c:pt>
                <c:pt idx="28">
                  <c:v>779.06399999999996</c:v>
                </c:pt>
                <c:pt idx="29">
                  <c:v>779.07600000000002</c:v>
                </c:pt>
                <c:pt idx="30">
                  <c:v>779.08799999999997</c:v>
                </c:pt>
                <c:pt idx="31">
                  <c:v>779.1</c:v>
                </c:pt>
                <c:pt idx="32">
                  <c:v>779.10799999999995</c:v>
                </c:pt>
                <c:pt idx="33">
                  <c:v>779.12400000000002</c:v>
                </c:pt>
                <c:pt idx="34">
                  <c:v>779.13599999999997</c:v>
                </c:pt>
                <c:pt idx="35">
                  <c:v>779.14800000000002</c:v>
                </c:pt>
                <c:pt idx="36">
                  <c:v>779.16</c:v>
                </c:pt>
              </c:numCache>
            </c:numRef>
          </c:yVal>
          <c:smooth val="1"/>
          <c:extLst>
            <c:ext xmlns:c16="http://schemas.microsoft.com/office/drawing/2014/chart" uri="{C3380CC4-5D6E-409C-BE32-E72D297353CC}">
              <c16:uniqueId val="{00000000-D885-4B56-9962-1377FA29DA56}"/>
            </c:ext>
          </c:extLst>
        </c:ser>
        <c:ser>
          <c:idx val="6"/>
          <c:order val="4"/>
          <c:tx>
            <c:strRef>
              <c:f>snl!$L$4</c:f>
              <c:strCache>
                <c:ptCount val="1"/>
                <c:pt idx="0">
                  <c:v>25 C</c:v>
                </c:pt>
              </c:strCache>
            </c:strRef>
          </c:tx>
          <c:spPr>
            <a:ln>
              <a:solidFill>
                <a:srgbClr val="0000FF"/>
              </a:solidFill>
              <a:prstDash val="lgDash"/>
            </a:ln>
          </c:spPr>
          <c:marker>
            <c:symbol val="none"/>
          </c:marker>
          <c:xVal>
            <c:numRef>
              <c:f>snl!$40:$40</c:f>
              <c:numCache>
                <c:formatCode>General</c:formatCode>
                <c:ptCount val="16384"/>
                <c:pt idx="0">
                  <c:v>0.10000000149011599</c:v>
                </c:pt>
                <c:pt idx="1">
                  <c:v>0.105000001481837</c:v>
                </c:pt>
                <c:pt idx="2">
                  <c:v>0.110000001473559</c:v>
                </c:pt>
                <c:pt idx="3">
                  <c:v>0.11500000146528</c:v>
                </c:pt>
                <c:pt idx="4">
                  <c:v>0.120000001457002</c:v>
                </c:pt>
                <c:pt idx="5">
                  <c:v>0.125000001448724</c:v>
                </c:pt>
                <c:pt idx="6">
                  <c:v>0.13000000144044499</c:v>
                </c:pt>
                <c:pt idx="7">
                  <c:v>0.135000001432167</c:v>
                </c:pt>
                <c:pt idx="8">
                  <c:v>0.14000000142388799</c:v>
                </c:pt>
                <c:pt idx="9">
                  <c:v>0.14500000141561001</c:v>
                </c:pt>
                <c:pt idx="10">
                  <c:v>0.150000001407331</c:v>
                </c:pt>
                <c:pt idx="11">
                  <c:v>0.15500000139905301</c:v>
                </c:pt>
                <c:pt idx="12">
                  <c:v>0.160000001390775</c:v>
                </c:pt>
                <c:pt idx="13">
                  <c:v>0.16500000138249599</c:v>
                </c:pt>
                <c:pt idx="14">
                  <c:v>0.170000001374218</c:v>
                </c:pt>
                <c:pt idx="15">
                  <c:v>0.17500000136593899</c:v>
                </c:pt>
                <c:pt idx="16">
                  <c:v>0.180000001357661</c:v>
                </c:pt>
                <c:pt idx="17">
                  <c:v>0.18500000134938199</c:v>
                </c:pt>
                <c:pt idx="18">
                  <c:v>0.19000000134110401</c:v>
                </c:pt>
                <c:pt idx="19">
                  <c:v>0.195000001332826</c:v>
                </c:pt>
                <c:pt idx="20">
                  <c:v>0.20000000132454701</c:v>
                </c:pt>
                <c:pt idx="21">
                  <c:v>0.205000001316269</c:v>
                </c:pt>
                <c:pt idx="22">
                  <c:v>0.21000000130798999</c:v>
                </c:pt>
                <c:pt idx="23">
                  <c:v>0.215000001299712</c:v>
                </c:pt>
                <c:pt idx="24">
                  <c:v>0.22000000129143399</c:v>
                </c:pt>
                <c:pt idx="25">
                  <c:v>0.225000001283155</c:v>
                </c:pt>
                <c:pt idx="26">
                  <c:v>0.23000000127487699</c:v>
                </c:pt>
                <c:pt idx="27">
                  <c:v>0.23500000126659801</c:v>
                </c:pt>
                <c:pt idx="28">
                  <c:v>0.24000000125831999</c:v>
                </c:pt>
                <c:pt idx="29">
                  <c:v>0.24500000125004101</c:v>
                </c:pt>
                <c:pt idx="30">
                  <c:v>0.25000000124176303</c:v>
                </c:pt>
                <c:pt idx="31">
                  <c:v>0.25500000123348499</c:v>
                </c:pt>
                <c:pt idx="32">
                  <c:v>0.260000001225206</c:v>
                </c:pt>
                <c:pt idx="33">
                  <c:v>0.26500000121692802</c:v>
                </c:pt>
                <c:pt idx="34">
                  <c:v>0.27000000120864898</c:v>
                </c:pt>
                <c:pt idx="35">
                  <c:v>0.27500000120037099</c:v>
                </c:pt>
                <c:pt idx="36">
                  <c:v>0.28000000119209201</c:v>
                </c:pt>
              </c:numCache>
            </c:numRef>
          </c:xVal>
          <c:yVal>
            <c:numRef>
              <c:f>snl!$42:$42</c:f>
              <c:numCache>
                <c:formatCode>General</c:formatCode>
                <c:ptCount val="16384"/>
                <c:pt idx="0">
                  <c:v>779.33199999999999</c:v>
                </c:pt>
                <c:pt idx="1">
                  <c:v>779.34799999999996</c:v>
                </c:pt>
                <c:pt idx="2">
                  <c:v>779.36400000000003</c:v>
                </c:pt>
                <c:pt idx="3">
                  <c:v>779.37199999999996</c:v>
                </c:pt>
                <c:pt idx="4">
                  <c:v>779.38400000000001</c:v>
                </c:pt>
                <c:pt idx="5">
                  <c:v>779.39200000000005</c:v>
                </c:pt>
                <c:pt idx="6">
                  <c:v>779.4</c:v>
                </c:pt>
                <c:pt idx="7">
                  <c:v>779.41200000000003</c:v>
                </c:pt>
                <c:pt idx="8">
                  <c:v>779.42</c:v>
                </c:pt>
                <c:pt idx="9">
                  <c:v>779.43200000000002</c:v>
                </c:pt>
                <c:pt idx="10">
                  <c:v>779.44</c:v>
                </c:pt>
                <c:pt idx="11">
                  <c:v>779.44799999999998</c:v>
                </c:pt>
                <c:pt idx="12">
                  <c:v>779.45600000000002</c:v>
                </c:pt>
                <c:pt idx="13">
                  <c:v>779.46799999999996</c:v>
                </c:pt>
                <c:pt idx="14">
                  <c:v>779.476</c:v>
                </c:pt>
                <c:pt idx="15">
                  <c:v>779.48800000000006</c:v>
                </c:pt>
                <c:pt idx="16">
                  <c:v>779.5</c:v>
                </c:pt>
                <c:pt idx="17">
                  <c:v>779.50800000000004</c:v>
                </c:pt>
                <c:pt idx="18">
                  <c:v>779.51599999999996</c:v>
                </c:pt>
                <c:pt idx="19">
                  <c:v>779.52800000000002</c:v>
                </c:pt>
                <c:pt idx="20">
                  <c:v>779.54</c:v>
                </c:pt>
                <c:pt idx="21">
                  <c:v>779.548</c:v>
                </c:pt>
                <c:pt idx="22">
                  <c:v>779.56</c:v>
                </c:pt>
                <c:pt idx="23">
                  <c:v>779.572</c:v>
                </c:pt>
                <c:pt idx="24">
                  <c:v>779.58399999999995</c:v>
                </c:pt>
                <c:pt idx="25">
                  <c:v>779.596</c:v>
                </c:pt>
                <c:pt idx="26">
                  <c:v>779.60400000000004</c:v>
                </c:pt>
                <c:pt idx="27">
                  <c:v>779.61599999999999</c:v>
                </c:pt>
                <c:pt idx="28">
                  <c:v>779.62800000000004</c:v>
                </c:pt>
                <c:pt idx="29">
                  <c:v>779.68799999999999</c:v>
                </c:pt>
                <c:pt idx="30">
                  <c:v>779.69600000000003</c:v>
                </c:pt>
                <c:pt idx="31">
                  <c:v>779.71199999999999</c:v>
                </c:pt>
                <c:pt idx="32">
                  <c:v>779.72400000000005</c:v>
                </c:pt>
                <c:pt idx="33">
                  <c:v>779.73599999999999</c:v>
                </c:pt>
                <c:pt idx="34">
                  <c:v>779.74800000000005</c:v>
                </c:pt>
                <c:pt idx="35">
                  <c:v>779.76</c:v>
                </c:pt>
                <c:pt idx="36">
                  <c:v>779.77200000000005</c:v>
                </c:pt>
              </c:numCache>
            </c:numRef>
          </c:yVal>
          <c:smooth val="1"/>
          <c:extLst>
            <c:ext xmlns:c16="http://schemas.microsoft.com/office/drawing/2014/chart" uri="{C3380CC4-5D6E-409C-BE32-E72D297353CC}">
              <c16:uniqueId val="{00000001-D885-4B56-9962-1377FA29DA56}"/>
            </c:ext>
          </c:extLst>
        </c:ser>
        <c:ser>
          <c:idx val="7"/>
          <c:order val="5"/>
          <c:tx>
            <c:strRef>
              <c:f>snl!$L$5</c:f>
              <c:strCache>
                <c:ptCount val="1"/>
                <c:pt idx="0">
                  <c:v>35 C</c:v>
                </c:pt>
              </c:strCache>
            </c:strRef>
          </c:tx>
          <c:spPr>
            <a:ln>
              <a:solidFill>
                <a:srgbClr val="0000FF"/>
              </a:solidFill>
              <a:prstDash val="sysDash"/>
            </a:ln>
          </c:spPr>
          <c:marker>
            <c:symbol val="none"/>
          </c:marker>
          <c:xVal>
            <c:numRef>
              <c:f>snl!$40:$40</c:f>
              <c:numCache>
                <c:formatCode>General</c:formatCode>
                <c:ptCount val="16384"/>
                <c:pt idx="0">
                  <c:v>0.10000000149011599</c:v>
                </c:pt>
                <c:pt idx="1">
                  <c:v>0.105000001481837</c:v>
                </c:pt>
                <c:pt idx="2">
                  <c:v>0.110000001473559</c:v>
                </c:pt>
                <c:pt idx="3">
                  <c:v>0.11500000146528</c:v>
                </c:pt>
                <c:pt idx="4">
                  <c:v>0.120000001457002</c:v>
                </c:pt>
                <c:pt idx="5">
                  <c:v>0.125000001448724</c:v>
                </c:pt>
                <c:pt idx="6">
                  <c:v>0.13000000144044499</c:v>
                </c:pt>
                <c:pt idx="7">
                  <c:v>0.135000001432167</c:v>
                </c:pt>
                <c:pt idx="8">
                  <c:v>0.14000000142388799</c:v>
                </c:pt>
                <c:pt idx="9">
                  <c:v>0.14500000141561001</c:v>
                </c:pt>
                <c:pt idx="10">
                  <c:v>0.150000001407331</c:v>
                </c:pt>
                <c:pt idx="11">
                  <c:v>0.15500000139905301</c:v>
                </c:pt>
                <c:pt idx="12">
                  <c:v>0.160000001390775</c:v>
                </c:pt>
                <c:pt idx="13">
                  <c:v>0.16500000138249599</c:v>
                </c:pt>
                <c:pt idx="14">
                  <c:v>0.170000001374218</c:v>
                </c:pt>
                <c:pt idx="15">
                  <c:v>0.17500000136593899</c:v>
                </c:pt>
                <c:pt idx="16">
                  <c:v>0.180000001357661</c:v>
                </c:pt>
                <c:pt idx="17">
                  <c:v>0.18500000134938199</c:v>
                </c:pt>
                <c:pt idx="18">
                  <c:v>0.19000000134110401</c:v>
                </c:pt>
                <c:pt idx="19">
                  <c:v>0.195000001332826</c:v>
                </c:pt>
                <c:pt idx="20">
                  <c:v>0.20000000132454701</c:v>
                </c:pt>
                <c:pt idx="21">
                  <c:v>0.205000001316269</c:v>
                </c:pt>
                <c:pt idx="22">
                  <c:v>0.21000000130798999</c:v>
                </c:pt>
                <c:pt idx="23">
                  <c:v>0.215000001299712</c:v>
                </c:pt>
                <c:pt idx="24">
                  <c:v>0.22000000129143399</c:v>
                </c:pt>
                <c:pt idx="25">
                  <c:v>0.225000001283155</c:v>
                </c:pt>
                <c:pt idx="26">
                  <c:v>0.23000000127487699</c:v>
                </c:pt>
                <c:pt idx="27">
                  <c:v>0.23500000126659801</c:v>
                </c:pt>
                <c:pt idx="28">
                  <c:v>0.24000000125831999</c:v>
                </c:pt>
                <c:pt idx="29">
                  <c:v>0.24500000125004101</c:v>
                </c:pt>
                <c:pt idx="30">
                  <c:v>0.25000000124176303</c:v>
                </c:pt>
                <c:pt idx="31">
                  <c:v>0.25500000123348499</c:v>
                </c:pt>
                <c:pt idx="32">
                  <c:v>0.260000001225206</c:v>
                </c:pt>
                <c:pt idx="33">
                  <c:v>0.26500000121692802</c:v>
                </c:pt>
                <c:pt idx="34">
                  <c:v>0.27000000120864898</c:v>
                </c:pt>
                <c:pt idx="35">
                  <c:v>0.27500000120037099</c:v>
                </c:pt>
                <c:pt idx="36">
                  <c:v>0.28000000119209201</c:v>
                </c:pt>
              </c:numCache>
            </c:numRef>
          </c:xVal>
          <c:yVal>
            <c:numRef>
              <c:f>snl!$43:$43</c:f>
              <c:numCache>
                <c:formatCode>General</c:formatCode>
                <c:ptCount val="16384"/>
                <c:pt idx="0">
                  <c:v>779.904</c:v>
                </c:pt>
                <c:pt idx="1">
                  <c:v>779.95600000000002</c:v>
                </c:pt>
                <c:pt idx="2">
                  <c:v>779.97199999999998</c:v>
                </c:pt>
                <c:pt idx="3">
                  <c:v>779.98</c:v>
                </c:pt>
                <c:pt idx="4">
                  <c:v>779.99199999999996</c:v>
                </c:pt>
                <c:pt idx="5">
                  <c:v>780</c:v>
                </c:pt>
                <c:pt idx="6">
                  <c:v>780.00800000000004</c:v>
                </c:pt>
                <c:pt idx="7">
                  <c:v>780.02</c:v>
                </c:pt>
                <c:pt idx="8">
                  <c:v>780.02800000000002</c:v>
                </c:pt>
                <c:pt idx="9">
                  <c:v>780.03599999999904</c:v>
                </c:pt>
                <c:pt idx="10">
                  <c:v>780.048</c:v>
                </c:pt>
                <c:pt idx="11">
                  <c:v>780.05600000000004</c:v>
                </c:pt>
                <c:pt idx="12">
                  <c:v>780.06399999999996</c:v>
                </c:pt>
                <c:pt idx="13">
                  <c:v>780.072</c:v>
                </c:pt>
                <c:pt idx="14">
                  <c:v>780.08799999999997</c:v>
                </c:pt>
                <c:pt idx="15">
                  <c:v>780.096</c:v>
                </c:pt>
                <c:pt idx="16">
                  <c:v>780.10799999999995</c:v>
                </c:pt>
                <c:pt idx="17">
                  <c:v>780.12</c:v>
                </c:pt>
                <c:pt idx="18">
                  <c:v>780.13199999999995</c:v>
                </c:pt>
                <c:pt idx="19">
                  <c:v>780.14400000000001</c:v>
                </c:pt>
                <c:pt idx="20">
                  <c:v>780.15200000000004</c:v>
                </c:pt>
                <c:pt idx="21">
                  <c:v>780.16399999999999</c:v>
                </c:pt>
                <c:pt idx="22">
                  <c:v>780.17200000000003</c:v>
                </c:pt>
                <c:pt idx="23">
                  <c:v>780.18399999999997</c:v>
                </c:pt>
                <c:pt idx="24">
                  <c:v>780.19600000000003</c:v>
                </c:pt>
                <c:pt idx="25">
                  <c:v>780.20799999999997</c:v>
                </c:pt>
                <c:pt idx="26">
                  <c:v>780.22</c:v>
                </c:pt>
                <c:pt idx="27">
                  <c:v>780.23199999999997</c:v>
                </c:pt>
                <c:pt idx="28">
                  <c:v>780.24400000000003</c:v>
                </c:pt>
                <c:pt idx="29">
                  <c:v>780.25599999999997</c:v>
                </c:pt>
                <c:pt idx="30">
                  <c:v>780.31600000000003</c:v>
                </c:pt>
                <c:pt idx="31">
                  <c:v>780.32799999999997</c:v>
                </c:pt>
                <c:pt idx="32">
                  <c:v>780.34</c:v>
                </c:pt>
                <c:pt idx="33">
                  <c:v>780.35199999999998</c:v>
                </c:pt>
                <c:pt idx="34">
                  <c:v>780.36400000000003</c:v>
                </c:pt>
                <c:pt idx="35">
                  <c:v>780.38</c:v>
                </c:pt>
                <c:pt idx="36">
                  <c:v>780.39200000000005</c:v>
                </c:pt>
              </c:numCache>
            </c:numRef>
          </c:yVal>
          <c:smooth val="1"/>
          <c:extLst>
            <c:ext xmlns:c16="http://schemas.microsoft.com/office/drawing/2014/chart" uri="{C3380CC4-5D6E-409C-BE32-E72D297353CC}">
              <c16:uniqueId val="{00000002-D885-4B56-9962-1377FA29DA56}"/>
            </c:ext>
          </c:extLst>
        </c:ser>
        <c:dLbls>
          <c:showLegendKey val="0"/>
          <c:showVal val="0"/>
          <c:showCatName val="0"/>
          <c:showSerName val="0"/>
          <c:showPercent val="0"/>
          <c:showBubbleSize val="0"/>
        </c:dLbls>
        <c:axId val="1305916911"/>
        <c:axId val="1"/>
      </c:scatterChart>
      <c:scatterChart>
        <c:scatterStyle val="smoothMarker"/>
        <c:varyColors val="0"/>
        <c:ser>
          <c:idx val="0"/>
          <c:order val="0"/>
          <c:tx>
            <c:strRef>
              <c:f>snl!$L$3</c:f>
              <c:strCache>
                <c:ptCount val="1"/>
                <c:pt idx="0">
                  <c:v>15 C</c:v>
                </c:pt>
              </c:strCache>
            </c:strRef>
          </c:tx>
          <c:spPr>
            <a:ln>
              <a:solidFill>
                <a:srgbClr val="FF0000"/>
              </a:solidFill>
            </a:ln>
          </c:spPr>
          <c:marker>
            <c:symbol val="none"/>
          </c:marker>
          <c:xVal>
            <c:numRef>
              <c:f>snl!$69:$69</c:f>
              <c:numCache>
                <c:formatCode>General</c:formatCode>
                <c:ptCount val="16384"/>
                <c:pt idx="0">
                  <c:v>0.10000000149011599</c:v>
                </c:pt>
                <c:pt idx="1">
                  <c:v>0.105000001481837</c:v>
                </c:pt>
                <c:pt idx="2">
                  <c:v>0.110000001473559</c:v>
                </c:pt>
                <c:pt idx="3">
                  <c:v>0.11500000146528</c:v>
                </c:pt>
                <c:pt idx="4">
                  <c:v>0.120000001457002</c:v>
                </c:pt>
                <c:pt idx="5">
                  <c:v>0.125000001448724</c:v>
                </c:pt>
                <c:pt idx="6">
                  <c:v>0.13000000144044499</c:v>
                </c:pt>
                <c:pt idx="7">
                  <c:v>0.135000001432167</c:v>
                </c:pt>
                <c:pt idx="8">
                  <c:v>0.14000000142388799</c:v>
                </c:pt>
                <c:pt idx="9">
                  <c:v>0.14500000141561001</c:v>
                </c:pt>
                <c:pt idx="10">
                  <c:v>0.150000001407331</c:v>
                </c:pt>
                <c:pt idx="11">
                  <c:v>0.15500000139905301</c:v>
                </c:pt>
                <c:pt idx="12">
                  <c:v>0.160000001390775</c:v>
                </c:pt>
                <c:pt idx="13">
                  <c:v>0.16500000138249599</c:v>
                </c:pt>
                <c:pt idx="14">
                  <c:v>0.170000001374218</c:v>
                </c:pt>
                <c:pt idx="15">
                  <c:v>0.17500000136593899</c:v>
                </c:pt>
                <c:pt idx="16">
                  <c:v>0.180000001357661</c:v>
                </c:pt>
                <c:pt idx="17">
                  <c:v>0.18500000134938199</c:v>
                </c:pt>
                <c:pt idx="18">
                  <c:v>0.19000000134110401</c:v>
                </c:pt>
                <c:pt idx="19">
                  <c:v>0.195000001332826</c:v>
                </c:pt>
                <c:pt idx="20">
                  <c:v>0.20000000132454701</c:v>
                </c:pt>
                <c:pt idx="21">
                  <c:v>0.205000001316269</c:v>
                </c:pt>
                <c:pt idx="22">
                  <c:v>0.21000000130798999</c:v>
                </c:pt>
                <c:pt idx="23">
                  <c:v>0.215000001299712</c:v>
                </c:pt>
                <c:pt idx="24">
                  <c:v>0.22000000129143399</c:v>
                </c:pt>
                <c:pt idx="25">
                  <c:v>0.225000001283155</c:v>
                </c:pt>
                <c:pt idx="26">
                  <c:v>0.23000000127487699</c:v>
                </c:pt>
                <c:pt idx="27">
                  <c:v>0.23500000126659801</c:v>
                </c:pt>
                <c:pt idx="28">
                  <c:v>0.24000000125831999</c:v>
                </c:pt>
                <c:pt idx="29">
                  <c:v>0.24500000125004101</c:v>
                </c:pt>
                <c:pt idx="30">
                  <c:v>0.25000000124176303</c:v>
                </c:pt>
                <c:pt idx="31">
                  <c:v>0.25500000123348499</c:v>
                </c:pt>
                <c:pt idx="32">
                  <c:v>0.260000001225206</c:v>
                </c:pt>
                <c:pt idx="33">
                  <c:v>0.26500000121692802</c:v>
                </c:pt>
                <c:pt idx="34">
                  <c:v>0.27000000120864898</c:v>
                </c:pt>
                <c:pt idx="35">
                  <c:v>0.27500000120037099</c:v>
                </c:pt>
                <c:pt idx="36">
                  <c:v>0.28000000119209201</c:v>
                </c:pt>
              </c:numCache>
            </c:numRef>
          </c:xVal>
          <c:yVal>
            <c:numRef>
              <c:f>snl!$74:$74</c:f>
              <c:numCache>
                <c:formatCode>General</c:formatCode>
                <c:ptCount val="16384"/>
                <c:pt idx="0">
                  <c:v>18.09</c:v>
                </c:pt>
                <c:pt idx="1">
                  <c:v>30.88</c:v>
                </c:pt>
                <c:pt idx="2">
                  <c:v>31.65</c:v>
                </c:pt>
                <c:pt idx="3">
                  <c:v>31.7</c:v>
                </c:pt>
                <c:pt idx="4">
                  <c:v>30.9</c:v>
                </c:pt>
                <c:pt idx="5">
                  <c:v>32.18</c:v>
                </c:pt>
                <c:pt idx="6">
                  <c:v>32.53</c:v>
                </c:pt>
                <c:pt idx="7">
                  <c:v>32.840000000000003</c:v>
                </c:pt>
                <c:pt idx="8">
                  <c:v>32.489999999999995</c:v>
                </c:pt>
                <c:pt idx="9">
                  <c:v>34</c:v>
                </c:pt>
                <c:pt idx="10">
                  <c:v>33.120000000000005</c:v>
                </c:pt>
                <c:pt idx="11">
                  <c:v>33.519999999999996</c:v>
                </c:pt>
                <c:pt idx="12">
                  <c:v>33.549999999999997</c:v>
                </c:pt>
                <c:pt idx="13">
                  <c:v>34.299999999999997</c:v>
                </c:pt>
                <c:pt idx="14">
                  <c:v>34.61</c:v>
                </c:pt>
                <c:pt idx="15">
                  <c:v>35.29</c:v>
                </c:pt>
                <c:pt idx="16">
                  <c:v>34.21</c:v>
                </c:pt>
                <c:pt idx="17">
                  <c:v>34.17</c:v>
                </c:pt>
                <c:pt idx="18">
                  <c:v>34.93</c:v>
                </c:pt>
                <c:pt idx="19">
                  <c:v>34.19</c:v>
                </c:pt>
                <c:pt idx="20">
                  <c:v>34.25</c:v>
                </c:pt>
                <c:pt idx="21">
                  <c:v>32.43</c:v>
                </c:pt>
                <c:pt idx="22">
                  <c:v>34.480000000000004</c:v>
                </c:pt>
                <c:pt idx="23">
                  <c:v>35.21</c:v>
                </c:pt>
                <c:pt idx="24">
                  <c:v>34.69</c:v>
                </c:pt>
                <c:pt idx="25">
                  <c:v>36.22</c:v>
                </c:pt>
                <c:pt idx="26">
                  <c:v>35.17</c:v>
                </c:pt>
                <c:pt idx="27">
                  <c:v>35.78</c:v>
                </c:pt>
                <c:pt idx="28">
                  <c:v>37.35</c:v>
                </c:pt>
                <c:pt idx="29">
                  <c:v>36.090000000000003</c:v>
                </c:pt>
                <c:pt idx="30">
                  <c:v>36.17</c:v>
                </c:pt>
                <c:pt idx="31">
                  <c:v>36.6</c:v>
                </c:pt>
                <c:pt idx="32">
                  <c:v>35.81</c:v>
                </c:pt>
                <c:pt idx="33">
                  <c:v>37.14</c:v>
                </c:pt>
                <c:pt idx="34">
                  <c:v>37.81</c:v>
                </c:pt>
                <c:pt idx="35">
                  <c:v>36.56</c:v>
                </c:pt>
                <c:pt idx="36">
                  <c:v>37.200000000000003</c:v>
                </c:pt>
                <c:pt idx="37">
                  <c:v>5</c:v>
                </c:pt>
                <c:pt idx="38">
                  <c:v>5</c:v>
                </c:pt>
                <c:pt idx="39">
                  <c:v>5</c:v>
                </c:pt>
                <c:pt idx="40">
                  <c:v>5</c:v>
                </c:pt>
                <c:pt idx="41">
                  <c:v>5</c:v>
                </c:pt>
                <c:pt idx="42">
                  <c:v>5</c:v>
                </c:pt>
                <c:pt idx="43">
                  <c:v>5</c:v>
                </c:pt>
                <c:pt idx="44">
                  <c:v>5</c:v>
                </c:pt>
                <c:pt idx="45">
                  <c:v>5</c:v>
                </c:pt>
                <c:pt idx="46">
                  <c:v>5</c:v>
                </c:pt>
                <c:pt idx="47">
                  <c:v>5</c:v>
                </c:pt>
                <c:pt idx="48">
                  <c:v>5</c:v>
                </c:pt>
                <c:pt idx="49">
                  <c:v>5</c:v>
                </c:pt>
                <c:pt idx="50">
                  <c:v>5</c:v>
                </c:pt>
              </c:numCache>
            </c:numRef>
          </c:yVal>
          <c:smooth val="1"/>
          <c:extLst>
            <c:ext xmlns:c16="http://schemas.microsoft.com/office/drawing/2014/chart" uri="{C3380CC4-5D6E-409C-BE32-E72D297353CC}">
              <c16:uniqueId val="{00000003-D885-4B56-9962-1377FA29DA56}"/>
            </c:ext>
          </c:extLst>
        </c:ser>
        <c:ser>
          <c:idx val="1"/>
          <c:order val="1"/>
          <c:tx>
            <c:strRef>
              <c:f>snl!$L$4</c:f>
              <c:strCache>
                <c:ptCount val="1"/>
                <c:pt idx="0">
                  <c:v>25 C</c:v>
                </c:pt>
              </c:strCache>
            </c:strRef>
          </c:tx>
          <c:spPr>
            <a:ln>
              <a:solidFill>
                <a:srgbClr val="FF0000"/>
              </a:solidFill>
              <a:prstDash val="lgDash"/>
            </a:ln>
          </c:spPr>
          <c:marker>
            <c:symbol val="none"/>
          </c:marker>
          <c:xVal>
            <c:numRef>
              <c:f>snl!$69:$69</c:f>
              <c:numCache>
                <c:formatCode>General</c:formatCode>
                <c:ptCount val="16384"/>
                <c:pt idx="0">
                  <c:v>0.10000000149011599</c:v>
                </c:pt>
                <c:pt idx="1">
                  <c:v>0.105000001481837</c:v>
                </c:pt>
                <c:pt idx="2">
                  <c:v>0.110000001473559</c:v>
                </c:pt>
                <c:pt idx="3">
                  <c:v>0.11500000146528</c:v>
                </c:pt>
                <c:pt idx="4">
                  <c:v>0.120000001457002</c:v>
                </c:pt>
                <c:pt idx="5">
                  <c:v>0.125000001448724</c:v>
                </c:pt>
                <c:pt idx="6">
                  <c:v>0.13000000144044499</c:v>
                </c:pt>
                <c:pt idx="7">
                  <c:v>0.135000001432167</c:v>
                </c:pt>
                <c:pt idx="8">
                  <c:v>0.14000000142388799</c:v>
                </c:pt>
                <c:pt idx="9">
                  <c:v>0.14500000141561001</c:v>
                </c:pt>
                <c:pt idx="10">
                  <c:v>0.150000001407331</c:v>
                </c:pt>
                <c:pt idx="11">
                  <c:v>0.15500000139905301</c:v>
                </c:pt>
                <c:pt idx="12">
                  <c:v>0.160000001390775</c:v>
                </c:pt>
                <c:pt idx="13">
                  <c:v>0.16500000138249599</c:v>
                </c:pt>
                <c:pt idx="14">
                  <c:v>0.170000001374218</c:v>
                </c:pt>
                <c:pt idx="15">
                  <c:v>0.17500000136593899</c:v>
                </c:pt>
                <c:pt idx="16">
                  <c:v>0.180000001357661</c:v>
                </c:pt>
                <c:pt idx="17">
                  <c:v>0.18500000134938199</c:v>
                </c:pt>
                <c:pt idx="18">
                  <c:v>0.19000000134110401</c:v>
                </c:pt>
                <c:pt idx="19">
                  <c:v>0.195000001332826</c:v>
                </c:pt>
                <c:pt idx="20">
                  <c:v>0.20000000132454701</c:v>
                </c:pt>
                <c:pt idx="21">
                  <c:v>0.205000001316269</c:v>
                </c:pt>
                <c:pt idx="22">
                  <c:v>0.21000000130798999</c:v>
                </c:pt>
                <c:pt idx="23">
                  <c:v>0.215000001299712</c:v>
                </c:pt>
                <c:pt idx="24">
                  <c:v>0.22000000129143399</c:v>
                </c:pt>
                <c:pt idx="25">
                  <c:v>0.225000001283155</c:v>
                </c:pt>
                <c:pt idx="26">
                  <c:v>0.23000000127487699</c:v>
                </c:pt>
                <c:pt idx="27">
                  <c:v>0.23500000126659801</c:v>
                </c:pt>
                <c:pt idx="28">
                  <c:v>0.24000000125831999</c:v>
                </c:pt>
                <c:pt idx="29">
                  <c:v>0.24500000125004101</c:v>
                </c:pt>
                <c:pt idx="30">
                  <c:v>0.25000000124176303</c:v>
                </c:pt>
                <c:pt idx="31">
                  <c:v>0.25500000123348499</c:v>
                </c:pt>
                <c:pt idx="32">
                  <c:v>0.260000001225206</c:v>
                </c:pt>
                <c:pt idx="33">
                  <c:v>0.26500000121692802</c:v>
                </c:pt>
                <c:pt idx="34">
                  <c:v>0.27000000120864898</c:v>
                </c:pt>
                <c:pt idx="35">
                  <c:v>0.27500000120037099</c:v>
                </c:pt>
                <c:pt idx="36">
                  <c:v>0.28000000119209201</c:v>
                </c:pt>
              </c:numCache>
            </c:numRef>
          </c:xVal>
          <c:yVal>
            <c:numRef>
              <c:f>snl!$75:$75</c:f>
              <c:numCache>
                <c:formatCode>General</c:formatCode>
                <c:ptCount val="16384"/>
                <c:pt idx="0">
                  <c:v>31.87</c:v>
                </c:pt>
                <c:pt idx="1">
                  <c:v>33.370000000000005</c:v>
                </c:pt>
                <c:pt idx="2">
                  <c:v>33.53</c:v>
                </c:pt>
                <c:pt idx="3">
                  <c:v>33.6</c:v>
                </c:pt>
                <c:pt idx="4">
                  <c:v>33.909999999999997</c:v>
                </c:pt>
                <c:pt idx="5">
                  <c:v>34.370000000000005</c:v>
                </c:pt>
                <c:pt idx="6">
                  <c:v>34.909999999999997</c:v>
                </c:pt>
                <c:pt idx="7">
                  <c:v>34.96</c:v>
                </c:pt>
                <c:pt idx="8">
                  <c:v>34.72</c:v>
                </c:pt>
                <c:pt idx="9">
                  <c:v>35.340000000000003</c:v>
                </c:pt>
                <c:pt idx="10">
                  <c:v>35.15</c:v>
                </c:pt>
                <c:pt idx="11">
                  <c:v>36.44</c:v>
                </c:pt>
                <c:pt idx="12">
                  <c:v>35.93</c:v>
                </c:pt>
                <c:pt idx="13">
                  <c:v>36.35</c:v>
                </c:pt>
                <c:pt idx="14">
                  <c:v>35.590000000000003</c:v>
                </c:pt>
                <c:pt idx="15">
                  <c:v>35.769999999999996</c:v>
                </c:pt>
                <c:pt idx="16">
                  <c:v>36.86</c:v>
                </c:pt>
                <c:pt idx="17">
                  <c:v>36.35</c:v>
                </c:pt>
                <c:pt idx="18">
                  <c:v>36.67</c:v>
                </c:pt>
                <c:pt idx="19">
                  <c:v>36.83</c:v>
                </c:pt>
                <c:pt idx="20">
                  <c:v>36.79</c:v>
                </c:pt>
                <c:pt idx="21">
                  <c:v>37.03</c:v>
                </c:pt>
                <c:pt idx="22">
                  <c:v>37.18</c:v>
                </c:pt>
                <c:pt idx="23">
                  <c:v>36.739999999999995</c:v>
                </c:pt>
                <c:pt idx="24">
                  <c:v>37.24</c:v>
                </c:pt>
                <c:pt idx="25">
                  <c:v>36.69</c:v>
                </c:pt>
                <c:pt idx="26">
                  <c:v>36.950000000000003</c:v>
                </c:pt>
                <c:pt idx="27">
                  <c:v>38.159999999999997</c:v>
                </c:pt>
                <c:pt idx="28">
                  <c:v>37.25</c:v>
                </c:pt>
                <c:pt idx="29">
                  <c:v>37.33</c:v>
                </c:pt>
                <c:pt idx="30">
                  <c:v>37.54</c:v>
                </c:pt>
                <c:pt idx="31">
                  <c:v>37.49</c:v>
                </c:pt>
                <c:pt idx="32">
                  <c:v>36.840000000000003</c:v>
                </c:pt>
                <c:pt idx="33">
                  <c:v>37.35</c:v>
                </c:pt>
                <c:pt idx="34">
                  <c:v>38.200000000000003</c:v>
                </c:pt>
                <c:pt idx="35">
                  <c:v>38.18</c:v>
                </c:pt>
                <c:pt idx="36">
                  <c:v>38.35</c:v>
                </c:pt>
                <c:pt idx="37">
                  <c:v>5</c:v>
                </c:pt>
                <c:pt idx="38">
                  <c:v>5</c:v>
                </c:pt>
                <c:pt idx="39">
                  <c:v>5</c:v>
                </c:pt>
                <c:pt idx="40">
                  <c:v>5</c:v>
                </c:pt>
                <c:pt idx="41">
                  <c:v>5</c:v>
                </c:pt>
                <c:pt idx="42">
                  <c:v>5</c:v>
                </c:pt>
                <c:pt idx="43">
                  <c:v>5</c:v>
                </c:pt>
                <c:pt idx="44">
                  <c:v>5</c:v>
                </c:pt>
                <c:pt idx="45">
                  <c:v>5</c:v>
                </c:pt>
                <c:pt idx="46">
                  <c:v>5</c:v>
                </c:pt>
                <c:pt idx="47">
                  <c:v>5</c:v>
                </c:pt>
                <c:pt idx="48">
                  <c:v>5</c:v>
                </c:pt>
                <c:pt idx="49">
                  <c:v>5</c:v>
                </c:pt>
                <c:pt idx="50">
                  <c:v>5</c:v>
                </c:pt>
              </c:numCache>
            </c:numRef>
          </c:yVal>
          <c:smooth val="1"/>
          <c:extLst>
            <c:ext xmlns:c16="http://schemas.microsoft.com/office/drawing/2014/chart" uri="{C3380CC4-5D6E-409C-BE32-E72D297353CC}">
              <c16:uniqueId val="{00000004-D885-4B56-9962-1377FA29DA56}"/>
            </c:ext>
          </c:extLst>
        </c:ser>
        <c:ser>
          <c:idx val="2"/>
          <c:order val="2"/>
          <c:tx>
            <c:strRef>
              <c:f>snl!$L$5</c:f>
              <c:strCache>
                <c:ptCount val="1"/>
                <c:pt idx="0">
                  <c:v>35 C</c:v>
                </c:pt>
              </c:strCache>
            </c:strRef>
          </c:tx>
          <c:spPr>
            <a:ln>
              <a:solidFill>
                <a:srgbClr val="FF0000"/>
              </a:solidFill>
              <a:prstDash val="sysDash"/>
            </a:ln>
          </c:spPr>
          <c:marker>
            <c:symbol val="none"/>
          </c:marker>
          <c:xVal>
            <c:numRef>
              <c:f>snl!$69:$69</c:f>
              <c:numCache>
                <c:formatCode>General</c:formatCode>
                <c:ptCount val="16384"/>
                <c:pt idx="0">
                  <c:v>0.10000000149011599</c:v>
                </c:pt>
                <c:pt idx="1">
                  <c:v>0.105000001481837</c:v>
                </c:pt>
                <c:pt idx="2">
                  <c:v>0.110000001473559</c:v>
                </c:pt>
                <c:pt idx="3">
                  <c:v>0.11500000146528</c:v>
                </c:pt>
                <c:pt idx="4">
                  <c:v>0.120000001457002</c:v>
                </c:pt>
                <c:pt idx="5">
                  <c:v>0.125000001448724</c:v>
                </c:pt>
                <c:pt idx="6">
                  <c:v>0.13000000144044499</c:v>
                </c:pt>
                <c:pt idx="7">
                  <c:v>0.135000001432167</c:v>
                </c:pt>
                <c:pt idx="8">
                  <c:v>0.14000000142388799</c:v>
                </c:pt>
                <c:pt idx="9">
                  <c:v>0.14500000141561001</c:v>
                </c:pt>
                <c:pt idx="10">
                  <c:v>0.150000001407331</c:v>
                </c:pt>
                <c:pt idx="11">
                  <c:v>0.15500000139905301</c:v>
                </c:pt>
                <c:pt idx="12">
                  <c:v>0.160000001390775</c:v>
                </c:pt>
                <c:pt idx="13">
                  <c:v>0.16500000138249599</c:v>
                </c:pt>
                <c:pt idx="14">
                  <c:v>0.170000001374218</c:v>
                </c:pt>
                <c:pt idx="15">
                  <c:v>0.17500000136593899</c:v>
                </c:pt>
                <c:pt idx="16">
                  <c:v>0.180000001357661</c:v>
                </c:pt>
                <c:pt idx="17">
                  <c:v>0.18500000134938199</c:v>
                </c:pt>
                <c:pt idx="18">
                  <c:v>0.19000000134110401</c:v>
                </c:pt>
                <c:pt idx="19">
                  <c:v>0.195000001332826</c:v>
                </c:pt>
                <c:pt idx="20">
                  <c:v>0.20000000132454701</c:v>
                </c:pt>
                <c:pt idx="21">
                  <c:v>0.205000001316269</c:v>
                </c:pt>
                <c:pt idx="22">
                  <c:v>0.21000000130798999</c:v>
                </c:pt>
                <c:pt idx="23">
                  <c:v>0.215000001299712</c:v>
                </c:pt>
                <c:pt idx="24">
                  <c:v>0.22000000129143399</c:v>
                </c:pt>
                <c:pt idx="25">
                  <c:v>0.225000001283155</c:v>
                </c:pt>
                <c:pt idx="26">
                  <c:v>0.23000000127487699</c:v>
                </c:pt>
                <c:pt idx="27">
                  <c:v>0.23500000126659801</c:v>
                </c:pt>
                <c:pt idx="28">
                  <c:v>0.24000000125831999</c:v>
                </c:pt>
                <c:pt idx="29">
                  <c:v>0.24500000125004101</c:v>
                </c:pt>
                <c:pt idx="30">
                  <c:v>0.25000000124176303</c:v>
                </c:pt>
                <c:pt idx="31">
                  <c:v>0.25500000123348499</c:v>
                </c:pt>
                <c:pt idx="32">
                  <c:v>0.260000001225206</c:v>
                </c:pt>
                <c:pt idx="33">
                  <c:v>0.26500000121692802</c:v>
                </c:pt>
                <c:pt idx="34">
                  <c:v>0.27000000120864898</c:v>
                </c:pt>
                <c:pt idx="35">
                  <c:v>0.27500000120037099</c:v>
                </c:pt>
                <c:pt idx="36">
                  <c:v>0.28000000119209201</c:v>
                </c:pt>
              </c:numCache>
            </c:numRef>
          </c:xVal>
          <c:yVal>
            <c:numRef>
              <c:f>snl!$76:$76</c:f>
              <c:numCache>
                <c:formatCode>General</c:formatCode>
                <c:ptCount val="16384"/>
                <c:pt idx="0">
                  <c:v>32.269999999999996</c:v>
                </c:pt>
                <c:pt idx="1">
                  <c:v>32.92</c:v>
                </c:pt>
                <c:pt idx="2">
                  <c:v>31.62</c:v>
                </c:pt>
                <c:pt idx="3">
                  <c:v>33.519999999999996</c:v>
                </c:pt>
                <c:pt idx="4">
                  <c:v>33.67</c:v>
                </c:pt>
                <c:pt idx="5">
                  <c:v>34.36</c:v>
                </c:pt>
                <c:pt idx="6">
                  <c:v>34.519999999999996</c:v>
                </c:pt>
                <c:pt idx="7">
                  <c:v>34.69</c:v>
                </c:pt>
                <c:pt idx="8">
                  <c:v>35.39</c:v>
                </c:pt>
                <c:pt idx="9">
                  <c:v>36.07</c:v>
                </c:pt>
                <c:pt idx="10">
                  <c:v>35.120000000000005</c:v>
                </c:pt>
                <c:pt idx="11">
                  <c:v>35.11</c:v>
                </c:pt>
                <c:pt idx="12">
                  <c:v>36.21</c:v>
                </c:pt>
                <c:pt idx="13">
                  <c:v>36.019999999999996</c:v>
                </c:pt>
                <c:pt idx="14">
                  <c:v>36.46</c:v>
                </c:pt>
                <c:pt idx="15">
                  <c:v>36.879999999999995</c:v>
                </c:pt>
                <c:pt idx="16">
                  <c:v>37.26</c:v>
                </c:pt>
                <c:pt idx="17">
                  <c:v>36.6</c:v>
                </c:pt>
                <c:pt idx="18">
                  <c:v>37.25</c:v>
                </c:pt>
                <c:pt idx="19">
                  <c:v>37.76</c:v>
                </c:pt>
                <c:pt idx="20">
                  <c:v>37.56</c:v>
                </c:pt>
                <c:pt idx="21">
                  <c:v>36.75</c:v>
                </c:pt>
                <c:pt idx="22">
                  <c:v>37.909999999999997</c:v>
                </c:pt>
                <c:pt idx="23">
                  <c:v>35.739999999999995</c:v>
                </c:pt>
                <c:pt idx="24">
                  <c:v>38.25</c:v>
                </c:pt>
                <c:pt idx="25">
                  <c:v>37.770000000000003</c:v>
                </c:pt>
                <c:pt idx="26">
                  <c:v>38.36</c:v>
                </c:pt>
                <c:pt idx="27">
                  <c:v>37.409999999999997</c:v>
                </c:pt>
                <c:pt idx="28">
                  <c:v>38.090000000000003</c:v>
                </c:pt>
                <c:pt idx="29">
                  <c:v>37.92</c:v>
                </c:pt>
                <c:pt idx="30">
                  <c:v>38.79</c:v>
                </c:pt>
                <c:pt idx="31">
                  <c:v>37.94</c:v>
                </c:pt>
                <c:pt idx="32">
                  <c:v>36.96</c:v>
                </c:pt>
                <c:pt idx="33">
                  <c:v>37.93</c:v>
                </c:pt>
                <c:pt idx="34">
                  <c:v>38.56</c:v>
                </c:pt>
                <c:pt idx="35">
                  <c:v>38.549999999999997</c:v>
                </c:pt>
                <c:pt idx="36">
                  <c:v>37.97</c:v>
                </c:pt>
                <c:pt idx="37">
                  <c:v>5</c:v>
                </c:pt>
                <c:pt idx="38">
                  <c:v>5</c:v>
                </c:pt>
                <c:pt idx="39">
                  <c:v>5</c:v>
                </c:pt>
                <c:pt idx="40">
                  <c:v>5</c:v>
                </c:pt>
                <c:pt idx="41">
                  <c:v>5</c:v>
                </c:pt>
                <c:pt idx="42">
                  <c:v>5</c:v>
                </c:pt>
                <c:pt idx="43">
                  <c:v>5</c:v>
                </c:pt>
                <c:pt idx="44">
                  <c:v>5</c:v>
                </c:pt>
                <c:pt idx="45">
                  <c:v>5</c:v>
                </c:pt>
                <c:pt idx="46">
                  <c:v>5</c:v>
                </c:pt>
                <c:pt idx="47">
                  <c:v>5</c:v>
                </c:pt>
                <c:pt idx="48">
                  <c:v>5</c:v>
                </c:pt>
                <c:pt idx="49">
                  <c:v>5</c:v>
                </c:pt>
                <c:pt idx="50">
                  <c:v>5</c:v>
                </c:pt>
              </c:numCache>
            </c:numRef>
          </c:yVal>
          <c:smooth val="1"/>
          <c:extLst>
            <c:ext xmlns:c16="http://schemas.microsoft.com/office/drawing/2014/chart" uri="{C3380CC4-5D6E-409C-BE32-E72D297353CC}">
              <c16:uniqueId val="{00000005-D885-4B56-9962-1377FA29DA56}"/>
            </c:ext>
          </c:extLst>
        </c:ser>
        <c:dLbls>
          <c:showLegendKey val="0"/>
          <c:showVal val="0"/>
          <c:showCatName val="0"/>
          <c:showSerName val="0"/>
          <c:showPercent val="0"/>
          <c:showBubbleSize val="0"/>
        </c:dLbls>
        <c:axId val="3"/>
        <c:axId val="4"/>
      </c:scatterChart>
      <c:valAx>
        <c:axId val="1305916911"/>
        <c:scaling>
          <c:orientation val="minMax"/>
          <c:max val="0.26"/>
          <c:min val="0.23"/>
        </c:scaling>
        <c:delete val="0"/>
        <c:axPos val="b"/>
        <c:title>
          <c:tx>
            <c:rich>
              <a:bodyPr/>
              <a:lstStyle/>
              <a:p>
                <a:pPr>
                  <a:defRPr/>
                </a:pPr>
                <a:r>
                  <a:rPr lang="en-US" sz="1400">
                    <a:latin typeface="Times New Roman" panose="02020603050405020304" pitchFamily="18" charset="0"/>
                    <a:cs typeface="Times New Roman" panose="02020603050405020304" pitchFamily="18" charset="0"/>
                  </a:rPr>
                  <a:t>Current (A)</a:t>
                </a:r>
              </a:p>
            </c:rich>
          </c:tx>
          <c:layout>
            <c:manualLayout>
              <c:xMode val="edge"/>
              <c:yMode val="edge"/>
              <c:x val="0.43698748035177226"/>
              <c:y val="0.91814805900354168"/>
            </c:manualLayout>
          </c:layout>
          <c:overlay val="0"/>
        </c:title>
        <c:numFmt formatCode="General" sourceLinked="1"/>
        <c:majorTickMark val="out"/>
        <c:minorTickMark val="none"/>
        <c:tickLblPos val="nextTo"/>
        <c:txPr>
          <a:bodyPr rot="0" vert="horz"/>
          <a:lstStyle/>
          <a:p>
            <a:pPr>
              <a:defRPr sz="1200" b="1" i="0" u="none" strike="noStrike" baseline="0">
                <a:solidFill>
                  <a:srgbClr val="000000"/>
                </a:solidFill>
                <a:latin typeface="Times New Roman"/>
                <a:ea typeface="Times New Roman"/>
                <a:cs typeface="Times New Roman"/>
              </a:defRPr>
            </a:pPr>
            <a:endParaRPr lang="en-US"/>
          </a:p>
        </c:txPr>
        <c:crossAx val="1"/>
        <c:crosses val="autoZero"/>
        <c:crossBetween val="midCat"/>
      </c:valAx>
      <c:valAx>
        <c:axId val="1"/>
        <c:scaling>
          <c:orientation val="minMax"/>
          <c:max val="782.2"/>
          <c:min val="778.2"/>
        </c:scaling>
        <c:delete val="0"/>
        <c:axPos val="l"/>
        <c:majorGridlines/>
        <c:title>
          <c:tx>
            <c:rich>
              <a:bodyPr rot="-5400000" vert="horz"/>
              <a:lstStyle/>
              <a:p>
                <a:pPr>
                  <a:defRPr sz="1400">
                    <a:solidFill>
                      <a:srgbClr val="0000FF"/>
                    </a:solidFill>
                    <a:latin typeface="Times New Roman" panose="02020603050405020304" pitchFamily="18" charset="0"/>
                    <a:cs typeface="Times New Roman" panose="02020603050405020304" pitchFamily="18" charset="0"/>
                  </a:defRPr>
                </a:pPr>
                <a:r>
                  <a:rPr lang="en-US" sz="1400">
                    <a:solidFill>
                      <a:srgbClr val="0000FF"/>
                    </a:solidFill>
                    <a:latin typeface="Times New Roman" panose="02020603050405020304" pitchFamily="18" charset="0"/>
                    <a:cs typeface="Times New Roman" panose="02020603050405020304" pitchFamily="18" charset="0"/>
                  </a:rPr>
                  <a:t>Wavelength (nm)</a:t>
                </a:r>
              </a:p>
            </c:rich>
          </c:tx>
          <c:layout>
            <c:manualLayout>
              <c:xMode val="edge"/>
              <c:yMode val="edge"/>
              <c:x val="2.0504098979212449E-2"/>
              <c:y val="0.28640305333012417"/>
            </c:manualLayout>
          </c:layout>
          <c:overlay val="0"/>
        </c:title>
        <c:numFmt formatCode="General" sourceLinked="1"/>
        <c:majorTickMark val="out"/>
        <c:minorTickMark val="none"/>
        <c:tickLblPos val="nextTo"/>
        <c:txPr>
          <a:bodyPr/>
          <a:lstStyle/>
          <a:p>
            <a:pPr>
              <a:defRPr sz="1200" b="1">
                <a:solidFill>
                  <a:srgbClr val="0000FF"/>
                </a:solidFill>
                <a:latin typeface="Times New Roman" panose="02020603050405020304" pitchFamily="18" charset="0"/>
                <a:cs typeface="Times New Roman" panose="02020603050405020304" pitchFamily="18" charset="0"/>
              </a:defRPr>
            </a:pPr>
            <a:endParaRPr lang="en-US"/>
          </a:p>
        </c:txPr>
        <c:crossAx val="1305916911"/>
        <c:crosses val="autoZero"/>
        <c:crossBetween val="midCat"/>
      </c:valAx>
      <c:valAx>
        <c:axId val="3"/>
        <c:scaling>
          <c:orientation val="minMax"/>
        </c:scaling>
        <c:delete val="1"/>
        <c:axPos val="b"/>
        <c:numFmt formatCode="General" sourceLinked="1"/>
        <c:majorTickMark val="out"/>
        <c:minorTickMark val="none"/>
        <c:tickLblPos val="nextTo"/>
        <c:crossAx val="4"/>
        <c:crosses val="autoZero"/>
        <c:crossBetween val="midCat"/>
      </c:valAx>
      <c:valAx>
        <c:axId val="4"/>
        <c:scaling>
          <c:orientation val="minMax"/>
          <c:max val="50"/>
        </c:scaling>
        <c:delete val="0"/>
        <c:axPos val="r"/>
        <c:title>
          <c:tx>
            <c:rich>
              <a:bodyPr rot="-5400000" vert="horz"/>
              <a:lstStyle/>
              <a:p>
                <a:pPr>
                  <a:defRPr sz="1400">
                    <a:solidFill>
                      <a:srgbClr val="FF0000"/>
                    </a:solidFill>
                    <a:latin typeface="Times New Roman" panose="02020603050405020304" pitchFamily="18" charset="0"/>
                    <a:cs typeface="Times New Roman" panose="02020603050405020304" pitchFamily="18" charset="0"/>
                  </a:defRPr>
                </a:pPr>
                <a:r>
                  <a:rPr lang="en-US" sz="1400">
                    <a:solidFill>
                      <a:srgbClr val="FF0000"/>
                    </a:solidFill>
                    <a:latin typeface="Times New Roman" panose="02020603050405020304" pitchFamily="18" charset="0"/>
                    <a:cs typeface="Times New Roman" panose="02020603050405020304" pitchFamily="18" charset="0"/>
                  </a:rPr>
                  <a:t>SMSR (dB)</a:t>
                </a:r>
              </a:p>
            </c:rich>
          </c:tx>
          <c:layout>
            <c:manualLayout>
              <c:xMode val="edge"/>
              <c:yMode val="edge"/>
              <c:x val="0.94544775872160436"/>
              <c:y val="0.33342983873740673"/>
            </c:manualLayout>
          </c:layout>
          <c:overlay val="0"/>
        </c:title>
        <c:numFmt formatCode="General" sourceLinked="1"/>
        <c:majorTickMark val="out"/>
        <c:minorTickMark val="none"/>
        <c:tickLblPos val="nextTo"/>
        <c:txPr>
          <a:bodyPr/>
          <a:lstStyle/>
          <a:p>
            <a:pPr>
              <a:defRPr sz="1200" b="1">
                <a:solidFill>
                  <a:srgbClr val="FF0000"/>
                </a:solidFill>
              </a:defRPr>
            </a:pPr>
            <a:endParaRPr lang="en-US"/>
          </a:p>
        </c:txPr>
        <c:crossAx val="3"/>
        <c:crosses val="max"/>
        <c:crossBetween val="midCat"/>
      </c:valAx>
    </c:plotArea>
    <c:legend>
      <c:legendPos val="t"/>
      <c:layout>
        <c:manualLayout>
          <c:xMode val="edge"/>
          <c:yMode val="edge"/>
          <c:x val="0.26057896762904637"/>
          <c:y val="0.71479830082815199"/>
          <c:w val="0.45107330835705473"/>
          <c:h val="0.11581498839388528"/>
        </c:manualLayout>
      </c:layout>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56558533145275"/>
          <c:y val="4.8458149779735685E-2"/>
          <c:w val="0.51904090267983072"/>
          <c:h val="0.80396475770925113"/>
        </c:manualLayout>
      </c:layout>
      <c:scatterChart>
        <c:scatterStyle val="smoothMarker"/>
        <c:varyColors val="0"/>
        <c:ser>
          <c:idx val="0"/>
          <c:order val="0"/>
          <c:spPr>
            <a:ln w="25400">
              <a:solidFill>
                <a:srgbClr val="0000FF"/>
              </a:solidFill>
              <a:prstDash val="solid"/>
            </a:ln>
          </c:spPr>
          <c:marker>
            <c:symbol val="none"/>
          </c:marker>
          <c:xVal>
            <c:numRef>
              <c:f>snl!$102:$102</c:f>
              <c:numCache>
                <c:formatCode>General</c:formatCode>
                <c:ptCount val="16384"/>
                <c:pt idx="0">
                  <c:v>1E-3</c:v>
                </c:pt>
                <c:pt idx="1">
                  <c:v>1.6000000000000001E-3</c:v>
                </c:pt>
                <c:pt idx="2">
                  <c:v>2.0999999999999999E-3</c:v>
                </c:pt>
                <c:pt idx="3">
                  <c:v>2.7000000000000001E-3</c:v>
                </c:pt>
                <c:pt idx="4">
                  <c:v>3.2000000000000002E-3</c:v>
                </c:pt>
                <c:pt idx="5">
                  <c:v>3.8E-3</c:v>
                </c:pt>
                <c:pt idx="6">
                  <c:v>4.3E-3</c:v>
                </c:pt>
                <c:pt idx="7">
                  <c:v>4.8999999999999998E-3</c:v>
                </c:pt>
                <c:pt idx="8">
                  <c:v>5.4999999999999997E-3</c:v>
                </c:pt>
                <c:pt idx="9">
                  <c:v>6.0000000000000001E-3</c:v>
                </c:pt>
                <c:pt idx="10">
                  <c:v>6.6E-3</c:v>
                </c:pt>
                <c:pt idx="11">
                  <c:v>7.1000000000000004E-3</c:v>
                </c:pt>
                <c:pt idx="12">
                  <c:v>7.7000000000000002E-3</c:v>
                </c:pt>
                <c:pt idx="13">
                  <c:v>8.3000000000000001E-3</c:v>
                </c:pt>
                <c:pt idx="14">
                  <c:v>8.8000000000000005E-3</c:v>
                </c:pt>
                <c:pt idx="15">
                  <c:v>9.4000000000000004E-3</c:v>
                </c:pt>
                <c:pt idx="16">
                  <c:v>9.9000000000000008E-3</c:v>
                </c:pt>
                <c:pt idx="17">
                  <c:v>1.0500000000000001E-2</c:v>
                </c:pt>
                <c:pt idx="18">
                  <c:v>1.0999999999999999E-2</c:v>
                </c:pt>
                <c:pt idx="19">
                  <c:v>1.1599999999999999E-2</c:v>
                </c:pt>
                <c:pt idx="20">
                  <c:v>1.2200000000000001E-2</c:v>
                </c:pt>
                <c:pt idx="21">
                  <c:v>1.2699999999999999E-2</c:v>
                </c:pt>
                <c:pt idx="22">
                  <c:v>1.3299999999999999E-2</c:v>
                </c:pt>
                <c:pt idx="23">
                  <c:v>1.38E-2</c:v>
                </c:pt>
                <c:pt idx="24">
                  <c:v>1.44E-2</c:v>
                </c:pt>
                <c:pt idx="25">
                  <c:v>1.4999999999999999E-2</c:v>
                </c:pt>
                <c:pt idx="26">
                  <c:v>1.55E-2</c:v>
                </c:pt>
                <c:pt idx="27">
                  <c:v>1.61E-2</c:v>
                </c:pt>
                <c:pt idx="28">
                  <c:v>1.66E-2</c:v>
                </c:pt>
                <c:pt idx="29">
                  <c:v>1.72E-2</c:v>
                </c:pt>
                <c:pt idx="30">
                  <c:v>1.77E-2</c:v>
                </c:pt>
                <c:pt idx="31">
                  <c:v>1.83E-2</c:v>
                </c:pt>
                <c:pt idx="32">
                  <c:v>1.89E-2</c:v>
                </c:pt>
                <c:pt idx="33">
                  <c:v>1.9400000000000001E-2</c:v>
                </c:pt>
                <c:pt idx="34">
                  <c:v>0.02</c:v>
                </c:pt>
                <c:pt idx="35">
                  <c:v>2.0500000000000001E-2</c:v>
                </c:pt>
                <c:pt idx="36">
                  <c:v>2.1100000000000001E-2</c:v>
                </c:pt>
                <c:pt idx="37">
                  <c:v>2.1600000000000001E-2</c:v>
                </c:pt>
                <c:pt idx="38">
                  <c:v>2.2200000000000001E-2</c:v>
                </c:pt>
                <c:pt idx="39">
                  <c:v>2.2800000000000001E-2</c:v>
                </c:pt>
                <c:pt idx="40">
                  <c:v>2.3300000000000001E-2</c:v>
                </c:pt>
                <c:pt idx="41">
                  <c:v>2.3900000000000001E-2</c:v>
                </c:pt>
                <c:pt idx="42">
                  <c:v>2.4400000000000002E-2</c:v>
                </c:pt>
                <c:pt idx="43">
                  <c:v>2.5000000000000001E-2</c:v>
                </c:pt>
                <c:pt idx="44">
                  <c:v>2.5600000000000001E-2</c:v>
                </c:pt>
                <c:pt idx="45">
                  <c:v>2.6100000000000002E-2</c:v>
                </c:pt>
                <c:pt idx="46">
                  <c:v>2.6700000000000002E-2</c:v>
                </c:pt>
                <c:pt idx="47">
                  <c:v>2.7199999999999998E-2</c:v>
                </c:pt>
                <c:pt idx="48">
                  <c:v>2.7799999999999998E-2</c:v>
                </c:pt>
                <c:pt idx="49">
                  <c:v>2.8299999999999999E-2</c:v>
                </c:pt>
                <c:pt idx="50">
                  <c:v>2.8899999999999999E-2</c:v>
                </c:pt>
                <c:pt idx="51">
                  <c:v>2.9499999999999998E-2</c:v>
                </c:pt>
                <c:pt idx="52">
                  <c:v>0.03</c:v>
                </c:pt>
                <c:pt idx="53">
                  <c:v>3.0599999999999999E-2</c:v>
                </c:pt>
                <c:pt idx="54">
                  <c:v>3.1099999999999999E-2</c:v>
                </c:pt>
                <c:pt idx="55">
                  <c:v>3.1699999999999999E-2</c:v>
                </c:pt>
                <c:pt idx="56">
                  <c:v>3.2199999999999999E-2</c:v>
                </c:pt>
                <c:pt idx="57">
                  <c:v>3.2800000000000003E-2</c:v>
                </c:pt>
                <c:pt idx="58">
                  <c:v>3.3399999999999999E-2</c:v>
                </c:pt>
                <c:pt idx="59">
                  <c:v>3.39E-2</c:v>
                </c:pt>
                <c:pt idx="60">
                  <c:v>3.4500000000000003E-2</c:v>
                </c:pt>
                <c:pt idx="61">
                  <c:v>3.5000000000000003E-2</c:v>
                </c:pt>
                <c:pt idx="62">
                  <c:v>3.56E-2</c:v>
                </c:pt>
                <c:pt idx="63">
                  <c:v>3.6200000000000003E-2</c:v>
                </c:pt>
                <c:pt idx="64">
                  <c:v>3.6700000000000003E-2</c:v>
                </c:pt>
                <c:pt idx="65">
                  <c:v>3.73E-2</c:v>
                </c:pt>
                <c:pt idx="66">
                  <c:v>3.78E-2</c:v>
                </c:pt>
                <c:pt idx="67">
                  <c:v>3.8399999999999997E-2</c:v>
                </c:pt>
                <c:pt idx="68">
                  <c:v>3.8899999999999997E-2</c:v>
                </c:pt>
                <c:pt idx="69">
                  <c:v>3.95E-2</c:v>
                </c:pt>
                <c:pt idx="70">
                  <c:v>4.0099999999999997E-2</c:v>
                </c:pt>
                <c:pt idx="71">
                  <c:v>4.0599999999999997E-2</c:v>
                </c:pt>
                <c:pt idx="72">
                  <c:v>4.1200000000000001E-2</c:v>
                </c:pt>
                <c:pt idx="73">
                  <c:v>4.1700000000000001E-2</c:v>
                </c:pt>
                <c:pt idx="74">
                  <c:v>4.2299999999999997E-2</c:v>
                </c:pt>
                <c:pt idx="75">
                  <c:v>4.2900000000000001E-2</c:v>
                </c:pt>
                <c:pt idx="76">
                  <c:v>4.3400000000000001E-2</c:v>
                </c:pt>
                <c:pt idx="77">
                  <c:v>4.3999999999999997E-2</c:v>
                </c:pt>
                <c:pt idx="78">
                  <c:v>4.4499999999999998E-2</c:v>
                </c:pt>
                <c:pt idx="79">
                  <c:v>4.5100000000000001E-2</c:v>
                </c:pt>
                <c:pt idx="80">
                  <c:v>4.5600000000000002E-2</c:v>
                </c:pt>
                <c:pt idx="81">
                  <c:v>4.6199999999999998E-2</c:v>
                </c:pt>
                <c:pt idx="82">
                  <c:v>4.6800000000000001E-2</c:v>
                </c:pt>
                <c:pt idx="83">
                  <c:v>4.7300000000000002E-2</c:v>
                </c:pt>
                <c:pt idx="84">
                  <c:v>4.7899999999999998E-2</c:v>
                </c:pt>
                <c:pt idx="85">
                  <c:v>4.8399999999999999E-2</c:v>
                </c:pt>
                <c:pt idx="86">
                  <c:v>4.9000000000000002E-2</c:v>
                </c:pt>
                <c:pt idx="87">
                  <c:v>4.9500000000000002E-2</c:v>
                </c:pt>
                <c:pt idx="88">
                  <c:v>5.0099999999999999E-2</c:v>
                </c:pt>
                <c:pt idx="89">
                  <c:v>5.0700000000000002E-2</c:v>
                </c:pt>
                <c:pt idx="90">
                  <c:v>5.1200000000000002E-2</c:v>
                </c:pt>
                <c:pt idx="91">
                  <c:v>5.1799999999999999E-2</c:v>
                </c:pt>
                <c:pt idx="92">
                  <c:v>5.2299999999999999E-2</c:v>
                </c:pt>
                <c:pt idx="93">
                  <c:v>5.2900000000000003E-2</c:v>
                </c:pt>
                <c:pt idx="94">
                  <c:v>5.3499999999999999E-2</c:v>
                </c:pt>
                <c:pt idx="95">
                  <c:v>5.3999999999999999E-2</c:v>
                </c:pt>
                <c:pt idx="96">
                  <c:v>5.4600000000000003E-2</c:v>
                </c:pt>
                <c:pt idx="97">
                  <c:v>5.5100000000000003E-2</c:v>
                </c:pt>
                <c:pt idx="98">
                  <c:v>5.57E-2</c:v>
                </c:pt>
                <c:pt idx="99">
                  <c:v>5.62E-2</c:v>
                </c:pt>
                <c:pt idx="100">
                  <c:v>5.6800000000000003E-2</c:v>
                </c:pt>
                <c:pt idx="101">
                  <c:v>5.74E-2</c:v>
                </c:pt>
                <c:pt idx="102">
                  <c:v>5.79E-2</c:v>
                </c:pt>
                <c:pt idx="103">
                  <c:v>5.8500000000000003E-2</c:v>
                </c:pt>
                <c:pt idx="104">
                  <c:v>5.8999999999999997E-2</c:v>
                </c:pt>
                <c:pt idx="105">
                  <c:v>5.96E-2</c:v>
                </c:pt>
                <c:pt idx="106">
                  <c:v>6.0100000000000001E-2</c:v>
                </c:pt>
                <c:pt idx="107">
                  <c:v>6.0699999999999997E-2</c:v>
                </c:pt>
                <c:pt idx="108">
                  <c:v>6.13E-2</c:v>
                </c:pt>
                <c:pt idx="109">
                  <c:v>6.1800000000000001E-2</c:v>
                </c:pt>
                <c:pt idx="110">
                  <c:v>6.2399999999999997E-2</c:v>
                </c:pt>
                <c:pt idx="111">
                  <c:v>6.2899999999999998E-2</c:v>
                </c:pt>
                <c:pt idx="112">
                  <c:v>6.3500000000000001E-2</c:v>
                </c:pt>
                <c:pt idx="113">
                  <c:v>6.4100000000000004E-2</c:v>
                </c:pt>
                <c:pt idx="114">
                  <c:v>6.4600000000000005E-2</c:v>
                </c:pt>
                <c:pt idx="115">
                  <c:v>6.5199999999999897E-2</c:v>
                </c:pt>
                <c:pt idx="116">
                  <c:v>6.5699999999999995E-2</c:v>
                </c:pt>
                <c:pt idx="117">
                  <c:v>6.6299999999999998E-2</c:v>
                </c:pt>
                <c:pt idx="118">
                  <c:v>6.6799999999999998E-2</c:v>
                </c:pt>
                <c:pt idx="119">
                  <c:v>6.7400000000000002E-2</c:v>
                </c:pt>
                <c:pt idx="120">
                  <c:v>6.8000000000000005E-2</c:v>
                </c:pt>
                <c:pt idx="121">
                  <c:v>6.8500000000000005E-2</c:v>
                </c:pt>
                <c:pt idx="122">
                  <c:v>6.9099999999999995E-2</c:v>
                </c:pt>
                <c:pt idx="123">
                  <c:v>6.9599999999999995E-2</c:v>
                </c:pt>
                <c:pt idx="124">
                  <c:v>7.0199999999999999E-2</c:v>
                </c:pt>
                <c:pt idx="125">
                  <c:v>7.0699999999999999E-2</c:v>
                </c:pt>
                <c:pt idx="126">
                  <c:v>7.1300000000000002E-2</c:v>
                </c:pt>
                <c:pt idx="127">
                  <c:v>7.1900000000000006E-2</c:v>
                </c:pt>
                <c:pt idx="128">
                  <c:v>7.2400000000000006E-2</c:v>
                </c:pt>
                <c:pt idx="129">
                  <c:v>7.2999999999999995E-2</c:v>
                </c:pt>
                <c:pt idx="130">
                  <c:v>7.3499999999999996E-2</c:v>
                </c:pt>
                <c:pt idx="131">
                  <c:v>7.4099999999999999E-2</c:v>
                </c:pt>
                <c:pt idx="132">
                  <c:v>7.4700000000000003E-2</c:v>
                </c:pt>
                <c:pt idx="133">
                  <c:v>7.5200000000000003E-2</c:v>
                </c:pt>
                <c:pt idx="134">
                  <c:v>7.5800000000000006E-2</c:v>
                </c:pt>
                <c:pt idx="135">
                  <c:v>7.6300000000000007E-2</c:v>
                </c:pt>
                <c:pt idx="136">
                  <c:v>7.6899999999999996E-2</c:v>
                </c:pt>
                <c:pt idx="137">
                  <c:v>7.7399999999999997E-2</c:v>
                </c:pt>
                <c:pt idx="138">
                  <c:v>7.8E-2</c:v>
                </c:pt>
                <c:pt idx="139">
                  <c:v>7.8600000000000003E-2</c:v>
                </c:pt>
                <c:pt idx="140">
                  <c:v>7.9100000000000004E-2</c:v>
                </c:pt>
                <c:pt idx="141">
                  <c:v>7.9699999999999896E-2</c:v>
                </c:pt>
                <c:pt idx="142">
                  <c:v>8.0199999999999896E-2</c:v>
                </c:pt>
                <c:pt idx="143">
                  <c:v>8.0799999999999997E-2</c:v>
                </c:pt>
                <c:pt idx="144">
                  <c:v>8.14E-2</c:v>
                </c:pt>
                <c:pt idx="145">
                  <c:v>8.1900000000000001E-2</c:v>
                </c:pt>
                <c:pt idx="146">
                  <c:v>8.2500000000000004E-2</c:v>
                </c:pt>
                <c:pt idx="147">
                  <c:v>8.3000000000000004E-2</c:v>
                </c:pt>
                <c:pt idx="148">
                  <c:v>8.3599999999999897E-2</c:v>
                </c:pt>
                <c:pt idx="149">
                  <c:v>8.4099999999999897E-2</c:v>
                </c:pt>
                <c:pt idx="150">
                  <c:v>8.4699999999999998E-2</c:v>
                </c:pt>
                <c:pt idx="151">
                  <c:v>8.5300000000000001E-2</c:v>
                </c:pt>
                <c:pt idx="152">
                  <c:v>8.5800000000000001E-2</c:v>
                </c:pt>
                <c:pt idx="153">
                  <c:v>8.6400000000000005E-2</c:v>
                </c:pt>
                <c:pt idx="154">
                  <c:v>8.6900000000000005E-2</c:v>
                </c:pt>
                <c:pt idx="155">
                  <c:v>8.7499999999999897E-2</c:v>
                </c:pt>
                <c:pt idx="156">
                  <c:v>8.7999999999999995E-2</c:v>
                </c:pt>
                <c:pt idx="157">
                  <c:v>8.8599999999999998E-2</c:v>
                </c:pt>
                <c:pt idx="158">
                  <c:v>8.9200000000000002E-2</c:v>
                </c:pt>
                <c:pt idx="159">
                  <c:v>8.9700000000000002E-2</c:v>
                </c:pt>
                <c:pt idx="160">
                  <c:v>9.0300000000000005E-2</c:v>
                </c:pt>
                <c:pt idx="161">
                  <c:v>9.0800000000000006E-2</c:v>
                </c:pt>
                <c:pt idx="162">
                  <c:v>9.1399999999999995E-2</c:v>
                </c:pt>
                <c:pt idx="163">
                  <c:v>9.1999999999999998E-2</c:v>
                </c:pt>
                <c:pt idx="164">
                  <c:v>9.2499999999999999E-2</c:v>
                </c:pt>
                <c:pt idx="165">
                  <c:v>9.3100000000000002E-2</c:v>
                </c:pt>
                <c:pt idx="166">
                  <c:v>9.3600000000000003E-2</c:v>
                </c:pt>
                <c:pt idx="167">
                  <c:v>9.4200000000000006E-2</c:v>
                </c:pt>
                <c:pt idx="168">
                  <c:v>9.4700000000000006E-2</c:v>
                </c:pt>
                <c:pt idx="169">
                  <c:v>9.5299999999999996E-2</c:v>
                </c:pt>
                <c:pt idx="170">
                  <c:v>9.5899999999999999E-2</c:v>
                </c:pt>
                <c:pt idx="171">
                  <c:v>9.64E-2</c:v>
                </c:pt>
                <c:pt idx="172">
                  <c:v>9.7000000000000003E-2</c:v>
                </c:pt>
                <c:pt idx="173">
                  <c:v>9.7500000000000003E-2</c:v>
                </c:pt>
                <c:pt idx="174">
                  <c:v>9.8100000000000007E-2</c:v>
                </c:pt>
                <c:pt idx="175">
                  <c:v>9.8599999999999896E-2</c:v>
                </c:pt>
                <c:pt idx="176">
                  <c:v>9.9199999999999997E-2</c:v>
                </c:pt>
                <c:pt idx="177">
                  <c:v>9.98E-2</c:v>
                </c:pt>
                <c:pt idx="178">
                  <c:v>0.1003</c:v>
                </c:pt>
                <c:pt idx="179">
                  <c:v>0.1009</c:v>
                </c:pt>
                <c:pt idx="180">
                  <c:v>0.1014</c:v>
                </c:pt>
                <c:pt idx="181">
                  <c:v>0.10199999999999999</c:v>
                </c:pt>
                <c:pt idx="182">
                  <c:v>0.1026</c:v>
                </c:pt>
                <c:pt idx="183">
                  <c:v>0.1031</c:v>
                </c:pt>
                <c:pt idx="184">
                  <c:v>0.1037</c:v>
                </c:pt>
                <c:pt idx="185">
                  <c:v>0.1042</c:v>
                </c:pt>
                <c:pt idx="186">
                  <c:v>0.1048</c:v>
                </c:pt>
                <c:pt idx="187">
                  <c:v>0.1053</c:v>
                </c:pt>
                <c:pt idx="188">
                  <c:v>0.10589999999999999</c:v>
                </c:pt>
                <c:pt idx="189">
                  <c:v>0.1065</c:v>
                </c:pt>
                <c:pt idx="190">
                  <c:v>0.107</c:v>
                </c:pt>
                <c:pt idx="191">
                  <c:v>0.1076</c:v>
                </c:pt>
                <c:pt idx="192">
                  <c:v>0.1081</c:v>
                </c:pt>
                <c:pt idx="193">
                  <c:v>0.1087</c:v>
                </c:pt>
                <c:pt idx="194">
                  <c:v>0.10929999999999999</c:v>
                </c:pt>
                <c:pt idx="195">
                  <c:v>0.10979999999999999</c:v>
                </c:pt>
                <c:pt idx="196">
                  <c:v>0.1104</c:v>
                </c:pt>
                <c:pt idx="197">
                  <c:v>0.1109</c:v>
                </c:pt>
                <c:pt idx="198">
                  <c:v>0.1115</c:v>
                </c:pt>
                <c:pt idx="199">
                  <c:v>0.112</c:v>
                </c:pt>
                <c:pt idx="200">
                  <c:v>0.11260000000000001</c:v>
                </c:pt>
                <c:pt idx="201">
                  <c:v>0.1132</c:v>
                </c:pt>
                <c:pt idx="202">
                  <c:v>0.1137</c:v>
                </c:pt>
                <c:pt idx="203">
                  <c:v>0.1143</c:v>
                </c:pt>
                <c:pt idx="204">
                  <c:v>0.1148</c:v>
                </c:pt>
                <c:pt idx="205">
                  <c:v>0.1154</c:v>
                </c:pt>
                <c:pt idx="206">
                  <c:v>0.1159</c:v>
                </c:pt>
                <c:pt idx="207">
                  <c:v>0.11650000000000001</c:v>
                </c:pt>
                <c:pt idx="208">
                  <c:v>0.1171</c:v>
                </c:pt>
                <c:pt idx="209">
                  <c:v>0.1176</c:v>
                </c:pt>
                <c:pt idx="210">
                  <c:v>0.1182</c:v>
                </c:pt>
                <c:pt idx="211">
                  <c:v>0.1187</c:v>
                </c:pt>
                <c:pt idx="212">
                  <c:v>0.1193</c:v>
                </c:pt>
                <c:pt idx="213">
                  <c:v>0.11990000000000001</c:v>
                </c:pt>
                <c:pt idx="214">
                  <c:v>0.12039999999999999</c:v>
                </c:pt>
                <c:pt idx="215">
                  <c:v>0.121</c:v>
                </c:pt>
                <c:pt idx="216">
                  <c:v>0.1215</c:v>
                </c:pt>
                <c:pt idx="217">
                  <c:v>0.1221</c:v>
                </c:pt>
                <c:pt idx="218">
                  <c:v>0.1226</c:v>
                </c:pt>
                <c:pt idx="219">
                  <c:v>0.1232</c:v>
                </c:pt>
                <c:pt idx="220">
                  <c:v>0.12379999999999999</c:v>
                </c:pt>
                <c:pt idx="221">
                  <c:v>0.12429999999999999</c:v>
                </c:pt>
                <c:pt idx="222">
                  <c:v>0.1249</c:v>
                </c:pt>
                <c:pt idx="223">
                  <c:v>0.12540000000000001</c:v>
                </c:pt>
                <c:pt idx="224">
                  <c:v>0.126</c:v>
                </c:pt>
                <c:pt idx="225">
                  <c:v>0.1265</c:v>
                </c:pt>
                <c:pt idx="226">
                  <c:v>0.12709999999999999</c:v>
                </c:pt>
                <c:pt idx="227">
                  <c:v>0.12770000000000001</c:v>
                </c:pt>
                <c:pt idx="228">
                  <c:v>0.12820000000000001</c:v>
                </c:pt>
                <c:pt idx="229">
                  <c:v>0.1288</c:v>
                </c:pt>
                <c:pt idx="230">
                  <c:v>0.1293</c:v>
                </c:pt>
                <c:pt idx="231">
                  <c:v>0.12989999999999999</c:v>
                </c:pt>
                <c:pt idx="232">
                  <c:v>0.1305</c:v>
                </c:pt>
                <c:pt idx="233">
                  <c:v>0.13100000000000001</c:v>
                </c:pt>
                <c:pt idx="234">
                  <c:v>0.13159999999999999</c:v>
                </c:pt>
                <c:pt idx="235">
                  <c:v>0.1321</c:v>
                </c:pt>
                <c:pt idx="236">
                  <c:v>0.13270000000000001</c:v>
                </c:pt>
                <c:pt idx="237">
                  <c:v>0.13320000000000001</c:v>
                </c:pt>
                <c:pt idx="238">
                  <c:v>0.1338</c:v>
                </c:pt>
                <c:pt idx="239">
                  <c:v>0.13439999999999999</c:v>
                </c:pt>
                <c:pt idx="240">
                  <c:v>0.13489999999999999</c:v>
                </c:pt>
                <c:pt idx="241">
                  <c:v>0.13550000000000001</c:v>
                </c:pt>
                <c:pt idx="242">
                  <c:v>0.13600000000000001</c:v>
                </c:pt>
                <c:pt idx="243">
                  <c:v>0.1366</c:v>
                </c:pt>
                <c:pt idx="244">
                  <c:v>0.13719999999999999</c:v>
                </c:pt>
                <c:pt idx="245">
                  <c:v>0.13769999999999999</c:v>
                </c:pt>
                <c:pt idx="246">
                  <c:v>0.13830000000000001</c:v>
                </c:pt>
                <c:pt idx="247">
                  <c:v>0.13880000000000001</c:v>
                </c:pt>
                <c:pt idx="248">
                  <c:v>0.1394</c:v>
                </c:pt>
                <c:pt idx="249">
                  <c:v>0.1399</c:v>
                </c:pt>
                <c:pt idx="250">
                  <c:v>0.14050000000000001</c:v>
                </c:pt>
                <c:pt idx="251">
                  <c:v>0.1411</c:v>
                </c:pt>
                <c:pt idx="252">
                  <c:v>0.1416</c:v>
                </c:pt>
                <c:pt idx="253">
                  <c:v>0.14219999999999999</c:v>
                </c:pt>
                <c:pt idx="254">
                  <c:v>0.14269999999999999</c:v>
                </c:pt>
                <c:pt idx="255">
                  <c:v>0.14330000000000001</c:v>
                </c:pt>
                <c:pt idx="256">
                  <c:v>0.14380000000000001</c:v>
                </c:pt>
                <c:pt idx="257">
                  <c:v>0.1444</c:v>
                </c:pt>
                <c:pt idx="258">
                  <c:v>0.14499999999999999</c:v>
                </c:pt>
                <c:pt idx="259">
                  <c:v>0.14549999999999999</c:v>
                </c:pt>
                <c:pt idx="260">
                  <c:v>0.14610000000000001</c:v>
                </c:pt>
                <c:pt idx="261">
                  <c:v>0.14660000000000001</c:v>
                </c:pt>
                <c:pt idx="262">
                  <c:v>0.1472</c:v>
                </c:pt>
                <c:pt idx="263">
                  <c:v>0.14779999999999999</c:v>
                </c:pt>
                <c:pt idx="264">
                  <c:v>0.14829999999999999</c:v>
                </c:pt>
                <c:pt idx="265">
                  <c:v>0.1489</c:v>
                </c:pt>
                <c:pt idx="266">
                  <c:v>0.14940000000000001</c:v>
                </c:pt>
                <c:pt idx="267">
                  <c:v>0.15</c:v>
                </c:pt>
                <c:pt idx="268">
                  <c:v>0.15049999999999999</c:v>
                </c:pt>
                <c:pt idx="269">
                  <c:v>0.15110000000000001</c:v>
                </c:pt>
                <c:pt idx="270">
                  <c:v>0.1517</c:v>
                </c:pt>
                <c:pt idx="271">
                  <c:v>0.1522</c:v>
                </c:pt>
                <c:pt idx="272">
                  <c:v>0.15279999999999999</c:v>
                </c:pt>
                <c:pt idx="273">
                  <c:v>0.15329999999999999</c:v>
                </c:pt>
                <c:pt idx="274">
                  <c:v>0.15390000000000001</c:v>
                </c:pt>
                <c:pt idx="275">
                  <c:v>0.15440000000000001</c:v>
                </c:pt>
                <c:pt idx="276">
                  <c:v>0.155</c:v>
                </c:pt>
                <c:pt idx="277">
                  <c:v>0.15559999999999999</c:v>
                </c:pt>
                <c:pt idx="278">
                  <c:v>0.15609999999999999</c:v>
                </c:pt>
                <c:pt idx="279">
                  <c:v>0.15670000000000001</c:v>
                </c:pt>
                <c:pt idx="280">
                  <c:v>0.15720000000000001</c:v>
                </c:pt>
                <c:pt idx="281">
                  <c:v>0.1578</c:v>
                </c:pt>
                <c:pt idx="282">
                  <c:v>0.15840000000000001</c:v>
                </c:pt>
                <c:pt idx="283">
                  <c:v>0.15890000000000001</c:v>
                </c:pt>
                <c:pt idx="284">
                  <c:v>0.1595</c:v>
                </c:pt>
                <c:pt idx="285">
                  <c:v>0.16</c:v>
                </c:pt>
                <c:pt idx="286">
                  <c:v>0.16059999999999999</c:v>
                </c:pt>
                <c:pt idx="287">
                  <c:v>0.16109999999999999</c:v>
                </c:pt>
                <c:pt idx="288">
                  <c:v>0.16170000000000001</c:v>
                </c:pt>
                <c:pt idx="289">
                  <c:v>0.1623</c:v>
                </c:pt>
                <c:pt idx="290">
                  <c:v>0.1628</c:v>
                </c:pt>
                <c:pt idx="291">
                  <c:v>0.16339999999999999</c:v>
                </c:pt>
                <c:pt idx="292">
                  <c:v>0.16389999999999999</c:v>
                </c:pt>
                <c:pt idx="293">
                  <c:v>0.16450000000000001</c:v>
                </c:pt>
                <c:pt idx="294">
                  <c:v>0.1651</c:v>
                </c:pt>
                <c:pt idx="295">
                  <c:v>0.1656</c:v>
                </c:pt>
                <c:pt idx="296">
                  <c:v>0.16619999999999999</c:v>
                </c:pt>
                <c:pt idx="297">
                  <c:v>0.16669999999999999</c:v>
                </c:pt>
                <c:pt idx="298">
                  <c:v>0.1673</c:v>
                </c:pt>
                <c:pt idx="299">
                  <c:v>0.1678</c:v>
                </c:pt>
                <c:pt idx="300">
                  <c:v>0.16839999999999999</c:v>
                </c:pt>
                <c:pt idx="301">
                  <c:v>0.16900000000000001</c:v>
                </c:pt>
                <c:pt idx="302">
                  <c:v>0.16950000000000001</c:v>
                </c:pt>
                <c:pt idx="303">
                  <c:v>0.1701</c:v>
                </c:pt>
                <c:pt idx="304">
                  <c:v>0.1706</c:v>
                </c:pt>
                <c:pt idx="305">
                  <c:v>0.17119999999999999</c:v>
                </c:pt>
                <c:pt idx="306">
                  <c:v>0.17169999999999999</c:v>
                </c:pt>
                <c:pt idx="307">
                  <c:v>0.17230000000000001</c:v>
                </c:pt>
                <c:pt idx="308">
                  <c:v>0.1729</c:v>
                </c:pt>
                <c:pt idx="309">
                  <c:v>0.1734</c:v>
                </c:pt>
                <c:pt idx="310">
                  <c:v>0.17399999999999999</c:v>
                </c:pt>
                <c:pt idx="311">
                  <c:v>0.17449999999999999</c:v>
                </c:pt>
                <c:pt idx="312">
                  <c:v>0.17510000000000001</c:v>
                </c:pt>
                <c:pt idx="313">
                  <c:v>0.1757</c:v>
                </c:pt>
                <c:pt idx="314">
                  <c:v>0.1762</c:v>
                </c:pt>
                <c:pt idx="315">
                  <c:v>0.17680000000000001</c:v>
                </c:pt>
                <c:pt idx="316">
                  <c:v>0.17730000000000001</c:v>
                </c:pt>
                <c:pt idx="317">
                  <c:v>0.1779</c:v>
                </c:pt>
                <c:pt idx="318">
                  <c:v>0.1784</c:v>
                </c:pt>
                <c:pt idx="319">
                  <c:v>0.17899999999999999</c:v>
                </c:pt>
                <c:pt idx="320">
                  <c:v>0.17960000000000001</c:v>
                </c:pt>
                <c:pt idx="321">
                  <c:v>0.18010000000000001</c:v>
                </c:pt>
                <c:pt idx="322">
                  <c:v>0.1807</c:v>
                </c:pt>
                <c:pt idx="323">
                  <c:v>0.1812</c:v>
                </c:pt>
                <c:pt idx="324">
                  <c:v>0.18179999999999999</c:v>
                </c:pt>
                <c:pt idx="325">
                  <c:v>0.18229999999999999</c:v>
                </c:pt>
                <c:pt idx="326">
                  <c:v>0.18290000000000001</c:v>
                </c:pt>
                <c:pt idx="327">
                  <c:v>0.1835</c:v>
                </c:pt>
                <c:pt idx="328">
                  <c:v>0.184</c:v>
                </c:pt>
                <c:pt idx="329">
                  <c:v>0.18459999999999999</c:v>
                </c:pt>
                <c:pt idx="330">
                  <c:v>0.18509999999999999</c:v>
                </c:pt>
                <c:pt idx="331">
                  <c:v>0.1857</c:v>
                </c:pt>
                <c:pt idx="332">
                  <c:v>0.18629999999999999</c:v>
                </c:pt>
                <c:pt idx="333">
                  <c:v>0.18679999999999999</c:v>
                </c:pt>
                <c:pt idx="334">
                  <c:v>0.18740000000000001</c:v>
                </c:pt>
                <c:pt idx="335">
                  <c:v>0.18790000000000001</c:v>
                </c:pt>
                <c:pt idx="336">
                  <c:v>0.1885</c:v>
                </c:pt>
                <c:pt idx="337">
                  <c:v>0.189</c:v>
                </c:pt>
                <c:pt idx="338">
                  <c:v>0.18959999999999999</c:v>
                </c:pt>
                <c:pt idx="339">
                  <c:v>0.19020000000000001</c:v>
                </c:pt>
                <c:pt idx="340">
                  <c:v>0.19070000000000001</c:v>
                </c:pt>
                <c:pt idx="341">
                  <c:v>0.1913</c:v>
                </c:pt>
                <c:pt idx="342">
                  <c:v>0.1918</c:v>
                </c:pt>
                <c:pt idx="343">
                  <c:v>0.19239999999999999</c:v>
                </c:pt>
                <c:pt idx="344">
                  <c:v>0.193</c:v>
                </c:pt>
                <c:pt idx="345">
                  <c:v>0.19350000000000001</c:v>
                </c:pt>
                <c:pt idx="346">
                  <c:v>0.19409999999999999</c:v>
                </c:pt>
                <c:pt idx="347">
                  <c:v>0.1946</c:v>
                </c:pt>
                <c:pt idx="348">
                  <c:v>0.19520000000000001</c:v>
                </c:pt>
                <c:pt idx="349">
                  <c:v>0.19570000000000001</c:v>
                </c:pt>
                <c:pt idx="350">
                  <c:v>0.1963</c:v>
                </c:pt>
                <c:pt idx="351">
                  <c:v>0.19689999999999999</c:v>
                </c:pt>
                <c:pt idx="352">
                  <c:v>0.19739999999999999</c:v>
                </c:pt>
                <c:pt idx="353">
                  <c:v>0.19800000000000001</c:v>
                </c:pt>
                <c:pt idx="354">
                  <c:v>0.19850000000000001</c:v>
                </c:pt>
                <c:pt idx="355">
                  <c:v>0.1991</c:v>
                </c:pt>
                <c:pt idx="356">
                  <c:v>0.1996</c:v>
                </c:pt>
                <c:pt idx="357">
                  <c:v>0.20019999999999999</c:v>
                </c:pt>
                <c:pt idx="358">
                  <c:v>0.20080000000000001</c:v>
                </c:pt>
                <c:pt idx="359">
                  <c:v>0.20130000000000001</c:v>
                </c:pt>
                <c:pt idx="360">
                  <c:v>0.2019</c:v>
                </c:pt>
                <c:pt idx="361">
                  <c:v>0.2024</c:v>
                </c:pt>
                <c:pt idx="362">
                  <c:v>0.20300000000000001</c:v>
                </c:pt>
                <c:pt idx="363">
                  <c:v>0.2036</c:v>
                </c:pt>
                <c:pt idx="364">
                  <c:v>0.2041</c:v>
                </c:pt>
                <c:pt idx="365">
                  <c:v>0.20469999999999999</c:v>
                </c:pt>
                <c:pt idx="366">
                  <c:v>0.20519999999999999</c:v>
                </c:pt>
                <c:pt idx="367">
                  <c:v>0.20580000000000001</c:v>
                </c:pt>
                <c:pt idx="368">
                  <c:v>0.20630000000000001</c:v>
                </c:pt>
                <c:pt idx="369">
                  <c:v>0.2069</c:v>
                </c:pt>
                <c:pt idx="370">
                  <c:v>0.20749999999999999</c:v>
                </c:pt>
                <c:pt idx="371">
                  <c:v>0.20799999999999999</c:v>
                </c:pt>
                <c:pt idx="372">
                  <c:v>0.20860000000000001</c:v>
                </c:pt>
                <c:pt idx="373">
                  <c:v>0.20910000000000001</c:v>
                </c:pt>
                <c:pt idx="374">
                  <c:v>0.2097</c:v>
                </c:pt>
                <c:pt idx="375">
                  <c:v>0.21029999999999999</c:v>
                </c:pt>
                <c:pt idx="376">
                  <c:v>0.21079999999999999</c:v>
                </c:pt>
                <c:pt idx="377">
                  <c:v>0.2114</c:v>
                </c:pt>
                <c:pt idx="378">
                  <c:v>0.21190000000000001</c:v>
                </c:pt>
                <c:pt idx="379">
                  <c:v>0.21249999999999999</c:v>
                </c:pt>
                <c:pt idx="380">
                  <c:v>0.21299999999999999</c:v>
                </c:pt>
                <c:pt idx="381">
                  <c:v>0.21360000000000001</c:v>
                </c:pt>
                <c:pt idx="382">
                  <c:v>0.2142</c:v>
                </c:pt>
                <c:pt idx="383">
                  <c:v>0.2147</c:v>
                </c:pt>
                <c:pt idx="384">
                  <c:v>0.21529999999999999</c:v>
                </c:pt>
                <c:pt idx="385">
                  <c:v>0.21579999999999999</c:v>
                </c:pt>
                <c:pt idx="386">
                  <c:v>0.21640000000000001</c:v>
                </c:pt>
                <c:pt idx="387">
                  <c:v>0.21690000000000001</c:v>
                </c:pt>
                <c:pt idx="388">
                  <c:v>0.2175</c:v>
                </c:pt>
                <c:pt idx="389">
                  <c:v>0.21809999999999999</c:v>
                </c:pt>
                <c:pt idx="390">
                  <c:v>0.21859999999999999</c:v>
                </c:pt>
                <c:pt idx="391">
                  <c:v>0.21920000000000001</c:v>
                </c:pt>
                <c:pt idx="392">
                  <c:v>0.21970000000000001</c:v>
                </c:pt>
                <c:pt idx="393">
                  <c:v>0.2203</c:v>
                </c:pt>
                <c:pt idx="394">
                  <c:v>0.22090000000000001</c:v>
                </c:pt>
                <c:pt idx="395">
                  <c:v>0.22140000000000001</c:v>
                </c:pt>
                <c:pt idx="396">
                  <c:v>0.222</c:v>
                </c:pt>
                <c:pt idx="397">
                  <c:v>0.2225</c:v>
                </c:pt>
                <c:pt idx="398">
                  <c:v>0.22309999999999999</c:v>
                </c:pt>
                <c:pt idx="399">
                  <c:v>0.22359999999999999</c:v>
                </c:pt>
                <c:pt idx="400">
                  <c:v>0.22420000000000001</c:v>
                </c:pt>
                <c:pt idx="401">
                  <c:v>0.2248</c:v>
                </c:pt>
                <c:pt idx="402">
                  <c:v>0.2253</c:v>
                </c:pt>
                <c:pt idx="403">
                  <c:v>0.22589999999999999</c:v>
                </c:pt>
                <c:pt idx="404">
                  <c:v>0.22639999999999999</c:v>
                </c:pt>
                <c:pt idx="405">
                  <c:v>0.22700000000000001</c:v>
                </c:pt>
                <c:pt idx="406">
                  <c:v>0.22750000000000001</c:v>
                </c:pt>
                <c:pt idx="407">
                  <c:v>0.2281</c:v>
                </c:pt>
                <c:pt idx="408">
                  <c:v>0.22869999999999999</c:v>
                </c:pt>
                <c:pt idx="409">
                  <c:v>0.22919999999999999</c:v>
                </c:pt>
                <c:pt idx="410">
                  <c:v>0.2298</c:v>
                </c:pt>
                <c:pt idx="411">
                  <c:v>0.2303</c:v>
                </c:pt>
                <c:pt idx="412">
                  <c:v>0.23089999999999999</c:v>
                </c:pt>
                <c:pt idx="413">
                  <c:v>0.23150000000000001</c:v>
                </c:pt>
                <c:pt idx="414">
                  <c:v>0.23200000000000001</c:v>
                </c:pt>
                <c:pt idx="415">
                  <c:v>0.2326</c:v>
                </c:pt>
                <c:pt idx="416">
                  <c:v>0.2331</c:v>
                </c:pt>
                <c:pt idx="417">
                  <c:v>0.23369999999999999</c:v>
                </c:pt>
                <c:pt idx="418">
                  <c:v>0.23419999999999999</c:v>
                </c:pt>
                <c:pt idx="419">
                  <c:v>0.23480000000000001</c:v>
                </c:pt>
                <c:pt idx="420">
                  <c:v>0.2354</c:v>
                </c:pt>
                <c:pt idx="421">
                  <c:v>0.2359</c:v>
                </c:pt>
                <c:pt idx="422">
                  <c:v>0.23649999999999999</c:v>
                </c:pt>
                <c:pt idx="423">
                  <c:v>0.23699999999999999</c:v>
                </c:pt>
                <c:pt idx="424">
                  <c:v>0.23760000000000001</c:v>
                </c:pt>
                <c:pt idx="425">
                  <c:v>0.2382</c:v>
                </c:pt>
                <c:pt idx="426">
                  <c:v>0.2387</c:v>
                </c:pt>
                <c:pt idx="427">
                  <c:v>0.23930000000000001</c:v>
                </c:pt>
                <c:pt idx="428">
                  <c:v>0.23980000000000001</c:v>
                </c:pt>
                <c:pt idx="429">
                  <c:v>0.2404</c:v>
                </c:pt>
                <c:pt idx="430">
                  <c:v>0.2409</c:v>
                </c:pt>
                <c:pt idx="431">
                  <c:v>0.24149999999999999</c:v>
                </c:pt>
                <c:pt idx="432">
                  <c:v>0.24210000000000001</c:v>
                </c:pt>
                <c:pt idx="433">
                  <c:v>0.24260000000000001</c:v>
                </c:pt>
                <c:pt idx="434">
                  <c:v>0.2432</c:v>
                </c:pt>
                <c:pt idx="435">
                  <c:v>0.2437</c:v>
                </c:pt>
                <c:pt idx="436">
                  <c:v>0.24429999999999999</c:v>
                </c:pt>
                <c:pt idx="437">
                  <c:v>0.24479999999999999</c:v>
                </c:pt>
                <c:pt idx="438">
                  <c:v>0.24540000000000001</c:v>
                </c:pt>
                <c:pt idx="439">
                  <c:v>0.246</c:v>
                </c:pt>
                <c:pt idx="440">
                  <c:v>0.2465</c:v>
                </c:pt>
                <c:pt idx="441">
                  <c:v>0.24709999999999999</c:v>
                </c:pt>
                <c:pt idx="442">
                  <c:v>0.24759999999999999</c:v>
                </c:pt>
                <c:pt idx="443">
                  <c:v>0.2482</c:v>
                </c:pt>
                <c:pt idx="444">
                  <c:v>0.24879999999999999</c:v>
                </c:pt>
                <c:pt idx="445">
                  <c:v>0.24929999999999999</c:v>
                </c:pt>
                <c:pt idx="446">
                  <c:v>0.24990000000000001</c:v>
                </c:pt>
                <c:pt idx="447">
                  <c:v>0.25040000000000001</c:v>
                </c:pt>
                <c:pt idx="448">
                  <c:v>0.251</c:v>
                </c:pt>
                <c:pt idx="449">
                  <c:v>0.2515</c:v>
                </c:pt>
                <c:pt idx="450">
                  <c:v>0.25209999999999999</c:v>
                </c:pt>
                <c:pt idx="451">
                  <c:v>0.25269999999999998</c:v>
                </c:pt>
                <c:pt idx="452">
                  <c:v>0.25319999999999998</c:v>
                </c:pt>
                <c:pt idx="453">
                  <c:v>0.25380000000000003</c:v>
                </c:pt>
                <c:pt idx="454">
                  <c:v>0.25430000000000003</c:v>
                </c:pt>
                <c:pt idx="455">
                  <c:v>0.25490000000000002</c:v>
                </c:pt>
                <c:pt idx="456">
                  <c:v>0.25540000000000002</c:v>
                </c:pt>
                <c:pt idx="457">
                  <c:v>0.25600000000000001</c:v>
                </c:pt>
                <c:pt idx="458">
                  <c:v>0.25659999999999999</c:v>
                </c:pt>
                <c:pt idx="459">
                  <c:v>0.2571</c:v>
                </c:pt>
                <c:pt idx="460">
                  <c:v>0.25769999999999998</c:v>
                </c:pt>
                <c:pt idx="461">
                  <c:v>0.25819999999999999</c:v>
                </c:pt>
                <c:pt idx="462">
                  <c:v>0.25879999999999997</c:v>
                </c:pt>
                <c:pt idx="463">
                  <c:v>0.25940000000000002</c:v>
                </c:pt>
                <c:pt idx="464">
                  <c:v>0.25990000000000002</c:v>
                </c:pt>
                <c:pt idx="465">
                  <c:v>0.26050000000000001</c:v>
                </c:pt>
                <c:pt idx="466">
                  <c:v>0.26100000000000001</c:v>
                </c:pt>
                <c:pt idx="467">
                  <c:v>0.2616</c:v>
                </c:pt>
                <c:pt idx="468">
                  <c:v>0.2621</c:v>
                </c:pt>
                <c:pt idx="469">
                  <c:v>0.26269999999999999</c:v>
                </c:pt>
                <c:pt idx="470">
                  <c:v>0.26329999999999998</c:v>
                </c:pt>
                <c:pt idx="471">
                  <c:v>0.26379999999999998</c:v>
                </c:pt>
                <c:pt idx="472">
                  <c:v>0.26440000000000002</c:v>
                </c:pt>
                <c:pt idx="473">
                  <c:v>0.26490000000000002</c:v>
                </c:pt>
                <c:pt idx="474">
                  <c:v>0.26550000000000001</c:v>
                </c:pt>
                <c:pt idx="475">
                  <c:v>0.2661</c:v>
                </c:pt>
                <c:pt idx="476">
                  <c:v>0.2666</c:v>
                </c:pt>
                <c:pt idx="477">
                  <c:v>0.26719999999999999</c:v>
                </c:pt>
                <c:pt idx="478">
                  <c:v>0.26769999999999999</c:v>
                </c:pt>
                <c:pt idx="479">
                  <c:v>0.26829999999999998</c:v>
                </c:pt>
                <c:pt idx="480">
                  <c:v>0.26879999999999998</c:v>
                </c:pt>
                <c:pt idx="481">
                  <c:v>0.26939999999999997</c:v>
                </c:pt>
                <c:pt idx="482">
                  <c:v>0.27</c:v>
                </c:pt>
                <c:pt idx="483">
                  <c:v>0.27050000000000002</c:v>
                </c:pt>
                <c:pt idx="484">
                  <c:v>0.27110000000000001</c:v>
                </c:pt>
                <c:pt idx="485">
                  <c:v>0.27160000000000001</c:v>
                </c:pt>
                <c:pt idx="486">
                  <c:v>0.2722</c:v>
                </c:pt>
                <c:pt idx="487">
                  <c:v>0.2727</c:v>
                </c:pt>
                <c:pt idx="488">
                  <c:v>0.27329999999999999</c:v>
                </c:pt>
                <c:pt idx="489">
                  <c:v>0.27389999999999998</c:v>
                </c:pt>
                <c:pt idx="490">
                  <c:v>0.27439999999999998</c:v>
                </c:pt>
                <c:pt idx="491">
                  <c:v>0.27500000000000002</c:v>
                </c:pt>
                <c:pt idx="492">
                  <c:v>0.27550000000000002</c:v>
                </c:pt>
                <c:pt idx="493">
                  <c:v>0.27610000000000001</c:v>
                </c:pt>
                <c:pt idx="494">
                  <c:v>0.2767</c:v>
                </c:pt>
                <c:pt idx="495">
                  <c:v>0.2772</c:v>
                </c:pt>
                <c:pt idx="496">
                  <c:v>0.27779999999999999</c:v>
                </c:pt>
                <c:pt idx="497">
                  <c:v>0.27829999999999999</c:v>
                </c:pt>
                <c:pt idx="498">
                  <c:v>0.27889999999999998</c:v>
                </c:pt>
                <c:pt idx="499">
                  <c:v>0.27939999999999998</c:v>
                </c:pt>
                <c:pt idx="500">
                  <c:v>0.28000000000000003</c:v>
                </c:pt>
              </c:numCache>
            </c:numRef>
          </c:xVal>
          <c:yVal>
            <c:numRef>
              <c:f>snl!$103:$103</c:f>
              <c:numCache>
                <c:formatCode>0.00E+00</c:formatCode>
                <c:ptCount val="16384"/>
                <c:pt idx="0">
                  <c:v>5.0341755668997096E-4</c:v>
                </c:pt>
                <c:pt idx="1">
                  <c:v>5.0729806741753498E-4</c:v>
                </c:pt>
                <c:pt idx="2">
                  <c:v>5.0404682869984601E-4</c:v>
                </c:pt>
                <c:pt idx="3">
                  <c:v>5.0708841250148495E-4</c:v>
                </c:pt>
                <c:pt idx="4">
                  <c:v>5.0855666264757295E-4</c:v>
                </c:pt>
                <c:pt idx="5">
                  <c:v>5.0782251196938497E-4</c:v>
                </c:pt>
                <c:pt idx="6">
                  <c:v>5.1317127284303797E-4</c:v>
                </c:pt>
                <c:pt idx="7">
                  <c:v>5.1128355923398699E-4</c:v>
                </c:pt>
                <c:pt idx="8">
                  <c:v>5.1128355923398699E-4</c:v>
                </c:pt>
                <c:pt idx="9">
                  <c:v>5.1107375068707502E-4</c:v>
                </c:pt>
                <c:pt idx="10">
                  <c:v>5.1442981686278895E-4</c:v>
                </c:pt>
                <c:pt idx="11">
                  <c:v>5.1841520625866601E-4</c:v>
                </c:pt>
                <c:pt idx="12">
                  <c:v>5.1757622812245295E-4</c:v>
                </c:pt>
                <c:pt idx="13">
                  <c:v>5.1946409536236598E-4</c:v>
                </c:pt>
                <c:pt idx="14">
                  <c:v>5.2145673885001698E-4</c:v>
                </c:pt>
                <c:pt idx="15">
                  <c:v>5.2586159170885701E-4</c:v>
                </c:pt>
                <c:pt idx="16">
                  <c:v>5.2544212824589404E-4</c:v>
                </c:pt>
                <c:pt idx="17">
                  <c:v>5.2586159170885701E-4</c:v>
                </c:pt>
                <c:pt idx="18">
                  <c:v>5.2533724957758198E-4</c:v>
                </c:pt>
                <c:pt idx="19">
                  <c:v>5.3068601045123498E-4</c:v>
                </c:pt>
                <c:pt idx="20">
                  <c:v>5.3183972701296002E-4</c:v>
                </c:pt>
                <c:pt idx="21">
                  <c:v>5.3435686626274897E-4</c:v>
                </c:pt>
                <c:pt idx="22">
                  <c:v>5.3708366042858795E-4</c:v>
                </c:pt>
                <c:pt idx="23">
                  <c:v>5.3676902442365004E-4</c:v>
                </c:pt>
                <c:pt idx="24">
                  <c:v>5.4127880716108999E-4</c:v>
                </c:pt>
                <c:pt idx="25">
                  <c:v>5.4075441381952699E-4</c:v>
                </c:pt>
                <c:pt idx="26">
                  <c:v>5.4526419655696705E-4</c:v>
                </c:pt>
                <c:pt idx="27">
                  <c:v>5.4725689125490601E-4</c:v>
                </c:pt>
                <c:pt idx="28">
                  <c:v>5.4694225524996799E-4</c:v>
                </c:pt>
                <c:pt idx="29">
                  <c:v>5.5008861529934501E-4</c:v>
                </c:pt>
                <c:pt idx="30">
                  <c:v>5.4987880675243196E-4</c:v>
                </c:pt>
                <c:pt idx="31">
                  <c:v>5.55227721256947E-4</c:v>
                </c:pt>
                <c:pt idx="32">
                  <c:v>5.5218613745530796E-4</c:v>
                </c:pt>
                <c:pt idx="33">
                  <c:v>5.5984233145241202E-4</c:v>
                </c:pt>
                <c:pt idx="34">
                  <c:v>5.5638128418781098E-4</c:v>
                </c:pt>
                <c:pt idx="35">
                  <c:v>5.6120575414047495E-4</c:v>
                </c:pt>
                <c:pt idx="36">
                  <c:v>5.6603017288285303E-4</c:v>
                </c:pt>
                <c:pt idx="37">
                  <c:v>5.6655461743470301E-4</c:v>
                </c:pt>
                <c:pt idx="38" formatCode="General">
                  <c:v>5.7001556227872997E-4</c:v>
                </c:pt>
                <c:pt idx="39">
                  <c:v>5.7253265031823096E-4</c:v>
                </c:pt>
                <c:pt idx="40">
                  <c:v>5.7305709487008095E-4</c:v>
                </c:pt>
                <c:pt idx="41">
                  <c:v>5.7588871649394597E-4</c:v>
                </c:pt>
                <c:pt idx="42">
                  <c:v>5.7830102828570899E-4</c:v>
                </c:pt>
                <c:pt idx="43">
                  <c:v>5.8302051714948704E-4</c:v>
                </c:pt>
                <c:pt idx="44">
                  <c:v>5.8228636647129895E-4</c:v>
                </c:pt>
                <c:pt idx="45">
                  <c:v>5.8648151320380099E-4</c:v>
                </c:pt>
                <c:pt idx="46">
                  <c:v>5.8784493589186403E-4</c:v>
                </c:pt>
                <c:pt idx="47">
                  <c:v>5.9266935463424199E-4</c:v>
                </c:pt>
                <c:pt idx="48">
                  <c:v>5.9057173005770301E-4</c:v>
                </c:pt>
                <c:pt idx="49">
                  <c:v>5.9717918858196903E-4</c:v>
                </c:pt>
                <c:pt idx="50">
                  <c:v>5.9654986536180601E-4</c:v>
                </c:pt>
                <c:pt idx="51">
                  <c:v>5.9990598274780801E-4</c:v>
                </c:pt>
                <c:pt idx="52">
                  <c:v>6.0378649347537204E-4</c:v>
                </c:pt>
                <c:pt idx="53">
                  <c:v>6.0640846018318595E-4</c:v>
                </c:pt>
                <c:pt idx="54">
                  <c:v>6.1060360691568799E-4</c:v>
                </c:pt>
                <c:pt idx="55">
                  <c:v>6.1312074616547705E-4</c:v>
                </c:pt>
                <c:pt idx="56">
                  <c:v>6.1416948163831497E-4</c:v>
                </c:pt>
                <c:pt idx="57">
                  <c:v>6.1804999236587997E-4</c:v>
                </c:pt>
                <c:pt idx="58">
                  <c:v>6.2077678653171895E-4</c:v>
                </c:pt>
                <c:pt idx="59">
                  <c:v>6.2465729725928298E-4</c:v>
                </c:pt>
                <c:pt idx="60">
                  <c:v>6.2455246980125802E-4</c:v>
                </c:pt>
                <c:pt idx="61">
                  <c:v>6.3241836992469899E-4</c:v>
                </c:pt>
                <c:pt idx="62">
                  <c:v>6.3147446190988602E-4</c:v>
                </c:pt>
                <c:pt idx="63">
                  <c:v>6.3776723321892705E-4</c:v>
                </c:pt>
                <c:pt idx="64">
                  <c:v>6.3787206067695201E-4</c:v>
                </c:pt>
                <c:pt idx="65">
                  <c:v>6.4343063009751796E-4</c:v>
                </c:pt>
                <c:pt idx="66">
                  <c:v>6.4835992750820798E-4</c:v>
                </c:pt>
                <c:pt idx="67">
                  <c:v>6.4804529150326996E-4</c:v>
                </c:pt>
                <c:pt idx="68">
                  <c:v>6.5087701554770896E-4</c:v>
                </c:pt>
                <c:pt idx="69">
                  <c:v>6.4972329898598403E-4</c:v>
                </c:pt>
                <c:pt idx="70">
                  <c:v>6.5800876499296304E-4</c:v>
                </c:pt>
                <c:pt idx="71">
                  <c:v>6.6304288986167802E-4</c:v>
                </c:pt>
                <c:pt idx="72">
                  <c:v>6.6304288986167802E-4</c:v>
                </c:pt>
                <c:pt idx="73">
                  <c:v>6.6975517584396901E-4</c:v>
                </c:pt>
                <c:pt idx="74">
                  <c:v>6.6975517584396901E-4</c:v>
                </c:pt>
                <c:pt idx="75">
                  <c:v>6.7898444744518604E-4</c:v>
                </c:pt>
                <c:pt idx="76">
                  <c:v>6.7898444744518604E-4</c:v>
                </c:pt>
                <c:pt idx="77">
                  <c:v>6.9010168870689103E-4</c:v>
                </c:pt>
                <c:pt idx="78">
                  <c:v>6.9282848287273002E-4</c:v>
                </c:pt>
                <c:pt idx="79">
                  <c:v>7.0625295241673704E-4</c:v>
                </c:pt>
                <c:pt idx="80">
                  <c:v>7.1380416532495399E-4</c:v>
                </c:pt>
                <c:pt idx="81">
                  <c:v>7.2376769002493405E-4</c:v>
                </c:pt>
                <c:pt idx="82">
                  <c:v>7.3561903075454005E-4</c:v>
                </c:pt>
                <c:pt idx="83">
                  <c:v>7.4684099705369603E-4</c:v>
                </c:pt>
                <c:pt idx="84">
                  <c:v>7.5701417666972602E-4</c:v>
                </c:pt>
                <c:pt idx="85">
                  <c:v>7.7148748410714603E-4</c:v>
                </c:pt>
                <c:pt idx="86">
                  <c:v>7.7914357568367504E-4</c:v>
                </c:pt>
                <c:pt idx="87">
                  <c:v>7.9980472455153497E-4</c:v>
                </c:pt>
                <c:pt idx="88">
                  <c:v>8.0630720198691399E-4</c:v>
                </c:pt>
                <c:pt idx="89">
                  <c:v>8.22248759570422E-4</c:v>
                </c:pt>
                <c:pt idx="90">
                  <c:v>8.2885606446382598E-4</c:v>
                </c:pt>
                <c:pt idx="91">
                  <c:v>8.5266362459135003E-4</c:v>
                </c:pt>
                <c:pt idx="92">
                  <c:v>8.5706847745018995E-4</c:v>
                </c:pt>
                <c:pt idx="93">
                  <c:v>8.7898801670693904E-4</c:v>
                </c:pt>
                <c:pt idx="94">
                  <c:v>8.98285794097024E-4</c:v>
                </c:pt>
                <c:pt idx="95">
                  <c:v>9.2523961185335E-4</c:v>
                </c:pt>
                <c:pt idx="96">
                  <c:v>9.8669851148450605E-4</c:v>
                </c:pt>
                <c:pt idx="97">
                  <c:v>1.1613209821220299E-3</c:v>
                </c:pt>
                <c:pt idx="98">
                  <c:v>1.4996598733600501E-3</c:v>
                </c:pt>
                <c:pt idx="99">
                  <c:v>2.1168704266971402E-3</c:v>
                </c:pt>
                <c:pt idx="100">
                  <c:v>2.8387511200570399E-3</c:v>
                </c:pt>
                <c:pt idx="101">
                  <c:v>3.7842321100535598E-3</c:v>
                </c:pt>
                <c:pt idx="102">
                  <c:v>4.5806803075368E-3</c:v>
                </c:pt>
                <c:pt idx="103">
                  <c:v>5.4050270501557699E-3</c:v>
                </c:pt>
                <c:pt idx="104">
                  <c:v>6.0903038592277003E-3</c:v>
                </c:pt>
                <c:pt idx="105">
                  <c:v>6.8185821513546702E-3</c:v>
                </c:pt>
                <c:pt idx="106">
                  <c:v>7.40076322947536E-3</c:v>
                </c:pt>
                <c:pt idx="107">
                  <c:v>8.0863550842345203E-3</c:v>
                </c:pt>
                <c:pt idx="108">
                  <c:v>8.6552169811618205E-3</c:v>
                </c:pt>
                <c:pt idx="109">
                  <c:v>9.3091354780905893E-3</c:v>
                </c:pt>
                <c:pt idx="110">
                  <c:v>9.8700274155907198E-3</c:v>
                </c:pt>
                <c:pt idx="111">
                  <c:v>1.0504018146175499E-2</c:v>
                </c:pt>
                <c:pt idx="112">
                  <c:v>1.10355424178189E-2</c:v>
                </c:pt>
                <c:pt idx="113">
                  <c:v>1.1684955228833199E-2</c:v>
                </c:pt>
                <c:pt idx="114">
                  <c:v>1.2217420950397699E-2</c:v>
                </c:pt>
                <c:pt idx="115" formatCode="General">
                  <c:v>1.28174326311784E-2</c:v>
                </c:pt>
                <c:pt idx="116" formatCode="General">
                  <c:v>1.33406755848481E-2</c:v>
                </c:pt>
                <c:pt idx="117" formatCode="General">
                  <c:v>1.39445612214396E-2</c:v>
                </c:pt>
                <c:pt idx="118" formatCode="General">
                  <c:v>1.4467589501585099E-2</c:v>
                </c:pt>
                <c:pt idx="119" formatCode="General">
                  <c:v>1.50498758680564E-2</c:v>
                </c:pt>
                <c:pt idx="120" formatCode="General">
                  <c:v>1.55665098268933E-2</c:v>
                </c:pt>
                <c:pt idx="121" formatCode="General">
                  <c:v>1.6206058307534001E-2</c:v>
                </c:pt>
                <c:pt idx="122" formatCode="General">
                  <c:v>1.6706227954175E-2</c:v>
                </c:pt>
                <c:pt idx="123" formatCode="General">
                  <c:v>1.73079168742841E-2</c:v>
                </c:pt>
                <c:pt idx="124" formatCode="General">
                  <c:v>1.7843322476019701E-2</c:v>
                </c:pt>
                <c:pt idx="125" formatCode="General">
                  <c:v>1.8486441747570699E-2</c:v>
                </c:pt>
                <c:pt idx="126" formatCode="General">
                  <c:v>1.90693573860518E-2</c:v>
                </c:pt>
                <c:pt idx="127" formatCode="General">
                  <c:v>1.9715821303884402E-2</c:v>
                </c:pt>
                <c:pt idx="128" formatCode="General">
                  <c:v>2.0257319700757299E-2</c:v>
                </c:pt>
                <c:pt idx="129" formatCode="General">
                  <c:v>2.0781598331276602E-2</c:v>
                </c:pt>
                <c:pt idx="130" formatCode="General">
                  <c:v>2.1394099586597101E-2</c:v>
                </c:pt>
                <c:pt idx="131" formatCode="General">
                  <c:v>2.19452369885796E-2</c:v>
                </c:pt>
                <c:pt idx="132" formatCode="General">
                  <c:v>2.2524267200145599E-2</c:v>
                </c:pt>
                <c:pt idx="133" formatCode="General">
                  <c:v>2.3045833733851499E-2</c:v>
                </c:pt>
                <c:pt idx="134" formatCode="General">
                  <c:v>2.36625104711542E-2</c:v>
                </c:pt>
                <c:pt idx="135" formatCode="General">
                  <c:v>2.4166036235181099E-2</c:v>
                </c:pt>
                <c:pt idx="136" formatCode="General">
                  <c:v>2.4767521952870401E-2</c:v>
                </c:pt>
                <c:pt idx="137" formatCode="General">
                  <c:v>2.5273456648810099E-2</c:v>
                </c:pt>
                <c:pt idx="138" formatCode="General">
                  <c:v>2.5909537578479799E-2</c:v>
                </c:pt>
                <c:pt idx="139" formatCode="General">
                  <c:v>2.6429639088287701E-2</c:v>
                </c:pt>
                <c:pt idx="140" formatCode="General">
                  <c:v>2.6999436699583899E-2</c:v>
                </c:pt>
                <c:pt idx="141" formatCode="General">
                  <c:v>2.7521316230565501E-2</c:v>
                </c:pt>
                <c:pt idx="142" formatCode="General">
                  <c:v>2.81365312214286E-2</c:v>
                </c:pt>
                <c:pt idx="143" formatCode="General">
                  <c:v>2.8638277325552599E-2</c:v>
                </c:pt>
                <c:pt idx="144" formatCode="General">
                  <c:v>2.9222444953136799E-2</c:v>
                </c:pt>
                <c:pt idx="145" formatCode="General">
                  <c:v>2.9744111449323402E-2</c:v>
                </c:pt>
                <c:pt idx="146" formatCode="General">
                  <c:v>3.0354718333697499E-2</c:v>
                </c:pt>
                <c:pt idx="147" formatCode="General">
                  <c:v>3.0884358886134299E-2</c:v>
                </c:pt>
                <c:pt idx="148" formatCode="General">
                  <c:v>3.1486251008663202E-2</c:v>
                </c:pt>
                <c:pt idx="149" formatCode="General">
                  <c:v>3.1980550727337097E-2</c:v>
                </c:pt>
                <c:pt idx="150" formatCode="General">
                  <c:v>3.2578457460470202E-2</c:v>
                </c:pt>
                <c:pt idx="151" formatCode="General">
                  <c:v>3.3107881700653603E-2</c:v>
                </c:pt>
                <c:pt idx="152" formatCode="General">
                  <c:v>3.3697624284950198E-2</c:v>
                </c:pt>
                <c:pt idx="153" formatCode="General">
                  <c:v>3.42229615345278E-2</c:v>
                </c:pt>
                <c:pt idx="154" formatCode="General">
                  <c:v>3.4822028487929098E-2</c:v>
                </c:pt>
                <c:pt idx="155" formatCode="General">
                  <c:v>3.53606853283824E-2</c:v>
                </c:pt>
                <c:pt idx="156" formatCode="General">
                  <c:v>3.59525123762117E-2</c:v>
                </c:pt>
                <c:pt idx="157" formatCode="General">
                  <c:v>3.6475339092666599E-2</c:v>
                </c:pt>
                <c:pt idx="158" formatCode="General">
                  <c:v>3.7107960665011097E-2</c:v>
                </c:pt>
                <c:pt idx="159" formatCode="General">
                  <c:v>3.7595325281742802E-2</c:v>
                </c:pt>
                <c:pt idx="160" formatCode="General">
                  <c:v>3.8184336992819701E-2</c:v>
                </c:pt>
                <c:pt idx="161" formatCode="General">
                  <c:v>3.8696452975273098E-2</c:v>
                </c:pt>
                <c:pt idx="162" formatCode="General">
                  <c:v>3.9290584076346897E-2</c:v>
                </c:pt>
                <c:pt idx="163" formatCode="General">
                  <c:v>3.9848548424144897E-2</c:v>
                </c:pt>
                <c:pt idx="164" formatCode="General">
                  <c:v>4.0408174443343901E-2</c:v>
                </c:pt>
                <c:pt idx="165" formatCode="General">
                  <c:v>4.09357206998728E-2</c:v>
                </c:pt>
                <c:pt idx="166" formatCode="General">
                  <c:v>4.1528390054507001E-2</c:v>
                </c:pt>
                <c:pt idx="167" formatCode="General">
                  <c:v>4.2024144964703698E-2</c:v>
                </c:pt>
                <c:pt idx="168" formatCode="General">
                  <c:v>4.2615136260644997E-2</c:v>
                </c:pt>
                <c:pt idx="169" formatCode="General">
                  <c:v>4.3122129575643001E-2</c:v>
                </c:pt>
                <c:pt idx="170" formatCode="General">
                  <c:v>4.3716362277926801E-2</c:v>
                </c:pt>
                <c:pt idx="171" formatCode="General">
                  <c:v>4.4233728748712599E-2</c:v>
                </c:pt>
                <c:pt idx="172" formatCode="General">
                  <c:v>4.4838570583787901E-2</c:v>
                </c:pt>
                <c:pt idx="173" formatCode="General">
                  <c:v>4.5374179387943303E-2</c:v>
                </c:pt>
                <c:pt idx="174" formatCode="General">
                  <c:v>4.5969785345290302E-2</c:v>
                </c:pt>
                <c:pt idx="175" formatCode="General">
                  <c:v>4.6468591569243198E-2</c:v>
                </c:pt>
                <c:pt idx="176" formatCode="General">
                  <c:v>4.7039649363288298E-2</c:v>
                </c:pt>
                <c:pt idx="177" formatCode="General">
                  <c:v>4.7552296294000103E-2</c:v>
                </c:pt>
                <c:pt idx="178" formatCode="General">
                  <c:v>4.8143818538199601E-2</c:v>
                </c:pt>
                <c:pt idx="179" formatCode="General">
                  <c:v>4.8655944353028197E-2</c:v>
                </c:pt>
                <c:pt idx="180" formatCode="General">
                  <c:v>4.9244942954271502E-2</c:v>
                </c:pt>
                <c:pt idx="181" formatCode="General">
                  <c:v>4.9747206896820301E-2</c:v>
                </c:pt>
                <c:pt idx="182" formatCode="General">
                  <c:v>5.0373965096114498E-2</c:v>
                </c:pt>
                <c:pt idx="183" formatCode="General">
                  <c:v>5.0877690785103E-2</c:v>
                </c:pt>
                <c:pt idx="184" formatCode="General">
                  <c:v>5.1450325036631099E-2</c:v>
                </c:pt>
                <c:pt idx="185" formatCode="General">
                  <c:v>5.1975980199671999E-2</c:v>
                </c:pt>
                <c:pt idx="186" formatCode="General">
                  <c:v>5.2559312075368098E-2</c:v>
                </c:pt>
                <c:pt idx="187" formatCode="General">
                  <c:v>5.3058436212784298E-2</c:v>
                </c:pt>
                <c:pt idx="188" formatCode="General">
                  <c:v>5.36316997363223E-2</c:v>
                </c:pt>
                <c:pt idx="189" formatCode="General">
                  <c:v>5.4146126326937001E-2</c:v>
                </c:pt>
                <c:pt idx="190" formatCode="General">
                  <c:v>5.4776555279622198E-2</c:v>
                </c:pt>
                <c:pt idx="191" formatCode="General">
                  <c:v>5.5264031329938901E-2</c:v>
                </c:pt>
                <c:pt idx="192" formatCode="General">
                  <c:v>5.58635112430967E-2</c:v>
                </c:pt>
                <c:pt idx="193" formatCode="General">
                  <c:v>5.6374912739622203E-2</c:v>
                </c:pt>
                <c:pt idx="194" formatCode="General">
                  <c:v>5.69506900737414E-2</c:v>
                </c:pt>
                <c:pt idx="195" formatCode="General">
                  <c:v>5.7484732252788898E-2</c:v>
                </c:pt>
                <c:pt idx="196" formatCode="General">
                  <c:v>5.8040484316177102E-2</c:v>
                </c:pt>
                <c:pt idx="197" formatCode="General">
                  <c:v>5.8537615758895399E-2</c:v>
                </c:pt>
                <c:pt idx="198" formatCode="General">
                  <c:v>5.91375086318097E-2</c:v>
                </c:pt>
                <c:pt idx="199" formatCode="General">
                  <c:v>5.9642296217314802E-2</c:v>
                </c:pt>
                <c:pt idx="200" formatCode="General">
                  <c:v>6.0250802250864197E-2</c:v>
                </c:pt>
                <c:pt idx="201" formatCode="General">
                  <c:v>6.0747192987987503E-2</c:v>
                </c:pt>
                <c:pt idx="202" formatCode="General">
                  <c:v>6.1367858392144502E-2</c:v>
                </c:pt>
                <c:pt idx="203" formatCode="General">
                  <c:v>6.1858906872100598E-2</c:v>
                </c:pt>
                <c:pt idx="204" formatCode="General">
                  <c:v>6.2417176023528302E-2</c:v>
                </c:pt>
                <c:pt idx="205" formatCode="General">
                  <c:v>6.2937374218358599E-2</c:v>
                </c:pt>
                <c:pt idx="206" formatCode="General">
                  <c:v>6.3534343598393703E-2</c:v>
                </c:pt>
                <c:pt idx="207" formatCode="General">
                  <c:v>6.4047095407773702E-2</c:v>
                </c:pt>
                <c:pt idx="208" formatCode="General">
                  <c:v>6.46106084926171E-2</c:v>
                </c:pt>
                <c:pt idx="209" formatCode="General">
                  <c:v>6.5127024500471295E-2</c:v>
                </c:pt>
                <c:pt idx="210" formatCode="General">
                  <c:v>6.5737739540972104E-2</c:v>
                </c:pt>
                <c:pt idx="211" formatCode="General">
                  <c:v>6.6248701858074105E-2</c:v>
                </c:pt>
                <c:pt idx="212" formatCode="General">
                  <c:v>6.6847250973050595E-2</c:v>
                </c:pt>
                <c:pt idx="213" formatCode="General">
                  <c:v>6.7329266777698293E-2</c:v>
                </c:pt>
                <c:pt idx="214" formatCode="General">
                  <c:v>6.7915649967150604E-2</c:v>
                </c:pt>
                <c:pt idx="215" formatCode="General">
                  <c:v>6.8414557792313396E-2</c:v>
                </c:pt>
                <c:pt idx="216" formatCode="General">
                  <c:v>6.8997892945467806E-2</c:v>
                </c:pt>
                <c:pt idx="217" formatCode="General">
                  <c:v>6.9521657015020694E-2</c:v>
                </c:pt>
                <c:pt idx="218" formatCode="General">
                  <c:v>7.0113375906723396E-2</c:v>
                </c:pt>
                <c:pt idx="219" formatCode="General">
                  <c:v>7.0629909903079505E-2</c:v>
                </c:pt>
                <c:pt idx="220" formatCode="General">
                  <c:v>7.1203707652334206E-2</c:v>
                </c:pt>
                <c:pt idx="221" formatCode="General">
                  <c:v>7.1727570045638706E-2</c:v>
                </c:pt>
                <c:pt idx="222" formatCode="General">
                  <c:v>7.2314569397267298E-2</c:v>
                </c:pt>
                <c:pt idx="223" formatCode="General">
                  <c:v>7.2810966689307394E-2</c:v>
                </c:pt>
                <c:pt idx="224" formatCode="General">
                  <c:v>7.3398601867862595E-2</c:v>
                </c:pt>
                <c:pt idx="225" formatCode="General">
                  <c:v>7.3907682923851706E-2</c:v>
                </c:pt>
                <c:pt idx="226" formatCode="General">
                  <c:v>7.4505183252145099E-2</c:v>
                </c:pt>
                <c:pt idx="227" formatCode="General">
                  <c:v>7.5046252301969596E-2</c:v>
                </c:pt>
                <c:pt idx="228" formatCode="General">
                  <c:v>7.5627902841514202E-2</c:v>
                </c:pt>
                <c:pt idx="229" formatCode="General">
                  <c:v>7.6177250751218603E-2</c:v>
                </c:pt>
                <c:pt idx="230" formatCode="General">
                  <c:v>7.6788077225304494E-2</c:v>
                </c:pt>
                <c:pt idx="231" formatCode="General">
                  <c:v>7.7307016876115006E-2</c:v>
                </c:pt>
                <c:pt idx="232" formatCode="General">
                  <c:v>7.7908391160219206E-2</c:v>
                </c:pt>
                <c:pt idx="233" formatCode="General">
                  <c:v>7.8397643592980501E-2</c:v>
                </c:pt>
                <c:pt idx="234" formatCode="General">
                  <c:v>7.8983803915262593E-2</c:v>
                </c:pt>
                <c:pt idx="235" formatCode="General">
                  <c:v>7.9496352522222799E-2</c:v>
                </c:pt>
                <c:pt idx="236" formatCode="General">
                  <c:v>8.0089552825115401E-2</c:v>
                </c:pt>
                <c:pt idx="237" formatCode="General">
                  <c:v>8.0600403708632307E-2</c:v>
                </c:pt>
                <c:pt idx="238" formatCode="General">
                  <c:v>8.1188150320772604E-2</c:v>
                </c:pt>
                <c:pt idx="239" formatCode="General">
                  <c:v>8.1685799601915701E-2</c:v>
                </c:pt>
                <c:pt idx="240" formatCode="General">
                  <c:v>8.2247319992061099E-2</c:v>
                </c:pt>
                <c:pt idx="241" formatCode="General">
                  <c:v>8.2752107577566195E-2</c:v>
                </c:pt>
                <c:pt idx="242" formatCode="General">
                  <c:v>8.3364697324263007E-2</c:v>
                </c:pt>
                <c:pt idx="243" formatCode="General">
                  <c:v>8.3879749909429202E-2</c:v>
                </c:pt>
                <c:pt idx="244" formatCode="General">
                  <c:v>8.4452400548249304E-2</c:v>
                </c:pt>
                <c:pt idx="245" formatCode="General">
                  <c:v>8.4963369420268095E-2</c:v>
                </c:pt>
                <c:pt idx="246" formatCode="General">
                  <c:v>8.5569974527954298E-2</c:v>
                </c:pt>
                <c:pt idx="247" formatCode="General">
                  <c:v>8.6070881602731894E-2</c:v>
                </c:pt>
                <c:pt idx="248" formatCode="General">
                  <c:v>8.6642896414625303E-2</c:v>
                </c:pt>
                <c:pt idx="249" formatCode="General">
                  <c:v>8.7145363559594E-2</c:v>
                </c:pt>
                <c:pt idx="250" formatCode="General">
                  <c:v>8.7713491305843105E-2</c:v>
                </c:pt>
                <c:pt idx="251" formatCode="General">
                  <c:v>8.8227816295247799E-2</c:v>
                </c:pt>
                <c:pt idx="252" formatCode="General">
                  <c:v>8.8814822201793195E-2</c:v>
                </c:pt>
                <c:pt idx="253" formatCode="General">
                  <c:v>8.9322847916182405E-2</c:v>
                </c:pt>
                <c:pt idx="254" formatCode="General">
                  <c:v>8.9929787324624005E-2</c:v>
                </c:pt>
                <c:pt idx="255" formatCode="General">
                  <c:v>9.04084601217192E-2</c:v>
                </c:pt>
                <c:pt idx="256" formatCode="General">
                  <c:v>9.0992417991966806E-2</c:v>
                </c:pt>
                <c:pt idx="257" formatCode="General">
                  <c:v>9.1486494843470406E-2</c:v>
                </c:pt>
                <c:pt idx="258" formatCode="General">
                  <c:v>9.2055160092894606E-2</c:v>
                </c:pt>
                <c:pt idx="259" formatCode="General">
                  <c:v>9.25839517836098E-2</c:v>
                </c:pt>
                <c:pt idx="260" formatCode="General">
                  <c:v>9.3153764143468598E-2</c:v>
                </c:pt>
                <c:pt idx="261" formatCode="General">
                  <c:v>9.3636094584121296E-2</c:v>
                </c:pt>
                <c:pt idx="262" formatCode="General">
                  <c:v>9.4244810375007398E-2</c:v>
                </c:pt>
                <c:pt idx="263" formatCode="General">
                  <c:v>9.4726937613240206E-2</c:v>
                </c:pt>
                <c:pt idx="264" formatCode="General">
                  <c:v>9.5334073669184796E-2</c:v>
                </c:pt>
                <c:pt idx="265" formatCode="General">
                  <c:v>9.5823031130691502E-2</c:v>
                </c:pt>
                <c:pt idx="266" formatCode="General">
                  <c:v>9.6416631283506998E-2</c:v>
                </c:pt>
                <c:pt idx="267" formatCode="General">
                  <c:v>9.6896247988617096E-2</c:v>
                </c:pt>
                <c:pt idx="268" formatCode="General">
                  <c:v>9.7456922794499204E-2</c:v>
                </c:pt>
                <c:pt idx="269" formatCode="General">
                  <c:v>9.7975351161801699E-2</c:v>
                </c:pt>
                <c:pt idx="270" formatCode="General">
                  <c:v>9.8555841481078099E-2</c:v>
                </c:pt>
                <c:pt idx="271" formatCode="General">
                  <c:v>9.9074368172132193E-2</c:v>
                </c:pt>
                <c:pt idx="272" formatCode="General">
                  <c:v>9.96607448066677E-2</c:v>
                </c:pt>
                <c:pt idx="273" formatCode="General">
                  <c:v>0.10015410061732601</c:v>
                </c:pt>
                <c:pt idx="274" formatCode="General">
                  <c:v>0.100739625112682</c:v>
                </c:pt>
                <c:pt idx="275" formatCode="General">
                  <c:v>0.101233400438014</c:v>
                </c:pt>
                <c:pt idx="276" formatCode="General">
                  <c:v>0.10181758117543201</c:v>
                </c:pt>
                <c:pt idx="277" formatCode="General">
                  <c:v>0.102281033455788</c:v>
                </c:pt>
                <c:pt idx="278" formatCode="General">
                  <c:v>0.102867626402577</c:v>
                </c:pt>
                <c:pt idx="279" formatCode="General">
                  <c:v>0.103378378962342</c:v>
                </c:pt>
                <c:pt idx="280" formatCode="General">
                  <c:v>0.103961714115497</c:v>
                </c:pt>
                <c:pt idx="281" formatCode="General">
                  <c:v>0.104462509756689</c:v>
                </c:pt>
                <c:pt idx="282" formatCode="General">
                  <c:v>0.10502266672414701</c:v>
                </c:pt>
                <c:pt idx="283" formatCode="General">
                  <c:v>0.10554149494137199</c:v>
                </c:pt>
                <c:pt idx="284" formatCode="General">
                  <c:v>0.106094743026554</c:v>
                </c:pt>
                <c:pt idx="285" formatCode="General">
                  <c:v>0.106588819878058</c:v>
                </c:pt>
                <c:pt idx="286" formatCode="General">
                  <c:v>0.10719901052521701</c:v>
                </c:pt>
                <c:pt idx="287" formatCode="General">
                  <c:v>0.107650290325133</c:v>
                </c:pt>
                <c:pt idx="288" formatCode="General">
                  <c:v>0.10822146610767901</c:v>
                </c:pt>
                <c:pt idx="289" formatCode="General">
                  <c:v>0.108737895225367</c:v>
                </c:pt>
                <c:pt idx="290" formatCode="General">
                  <c:v>0.109319231128907</c:v>
                </c:pt>
                <c:pt idx="291" formatCode="General">
                  <c:v>0.109835653691678</c:v>
                </c:pt>
                <c:pt idx="292" formatCode="General">
                  <c:v>0.110372632473438</c:v>
                </c:pt>
                <c:pt idx="293" formatCode="General">
                  <c:v>0.110864408549156</c:v>
                </c:pt>
                <c:pt idx="294" formatCode="General">
                  <c:v>0.111457392539795</c:v>
                </c:pt>
                <c:pt idx="295" formatCode="General">
                  <c:v>0.111933856329939</c:v>
                </c:pt>
                <c:pt idx="296" formatCode="General">
                  <c:v>0.112520023207138</c:v>
                </c:pt>
                <c:pt idx="297" formatCode="General">
                  <c:v>0.11302026823532201</c:v>
                </c:pt>
                <c:pt idx="298" formatCode="General">
                  <c:v>0.113595724378519</c:v>
                </c:pt>
                <c:pt idx="299" formatCode="General">
                  <c:v>0.114093019694157</c:v>
                </c:pt>
                <c:pt idx="300" formatCode="General">
                  <c:v>0.114676800581651</c:v>
                </c:pt>
                <c:pt idx="301" formatCode="General">
                  <c:v>0.11518422979861501</c:v>
                </c:pt>
                <c:pt idx="302" formatCode="General">
                  <c:v>0.11580213558281099</c:v>
                </c:pt>
                <c:pt idx="303" formatCode="General">
                  <c:v>0.11629324305701901</c:v>
                </c:pt>
                <c:pt idx="304" formatCode="General">
                  <c:v>0.116855851563348</c:v>
                </c:pt>
                <c:pt idx="305" formatCode="General">
                  <c:v>0.117346395314713</c:v>
                </c:pt>
                <c:pt idx="306" formatCode="General">
                  <c:v>0.11793716374348399</c:v>
                </c:pt>
                <c:pt idx="307" formatCode="General">
                  <c:v>0.118438968841859</c:v>
                </c:pt>
                <c:pt idx="308" formatCode="General">
                  <c:v>0.11900191820386</c:v>
                </c:pt>
                <c:pt idx="309" formatCode="General">
                  <c:v>0.119495949170946</c:v>
                </c:pt>
                <c:pt idx="310" formatCode="General">
                  <c:v>0.120085026431191</c:v>
                </c:pt>
                <c:pt idx="311" formatCode="General">
                  <c:v>0.120569369231292</c:v>
                </c:pt>
                <c:pt idx="312" formatCode="General">
                  <c:v>0.12110900930926</c:v>
                </c:pt>
                <c:pt idx="313" formatCode="General">
                  <c:v>0.121612505576162</c:v>
                </c:pt>
                <c:pt idx="314" formatCode="General">
                  <c:v>0.122162607301295</c:v>
                </c:pt>
                <c:pt idx="315" formatCode="General">
                  <c:v>0.12265371477550201</c:v>
                </c:pt>
                <c:pt idx="316" formatCode="General">
                  <c:v>0.12321925988454401</c:v>
                </c:pt>
                <c:pt idx="317" formatCode="General">
                  <c:v>0.123710131381747</c:v>
                </c:pt>
                <c:pt idx="318" formatCode="General">
                  <c:v>0.12429854004048101</c:v>
                </c:pt>
                <c:pt idx="319" formatCode="General">
                  <c:v>0.12478108679338699</c:v>
                </c:pt>
                <c:pt idx="320" formatCode="General">
                  <c:v>0.12533873978263799</c:v>
                </c:pt>
                <c:pt idx="321" formatCode="General">
                  <c:v>0.12579920957586499</c:v>
                </c:pt>
                <c:pt idx="322" formatCode="General">
                  <c:v>0.126350228989345</c:v>
                </c:pt>
                <c:pt idx="323" formatCode="General">
                  <c:v>0.126877821130292</c:v>
                </c:pt>
                <c:pt idx="324" formatCode="General">
                  <c:v>0.12739246075570099</c:v>
                </c:pt>
                <c:pt idx="325" formatCode="General">
                  <c:v>0.127858449788848</c:v>
                </c:pt>
                <c:pt idx="326" formatCode="General">
                  <c:v>0.12843266049785901</c:v>
                </c:pt>
                <c:pt idx="327" formatCode="General">
                  <c:v>0.128944035774717</c:v>
                </c:pt>
                <c:pt idx="328" formatCode="General">
                  <c:v>0.129512504376638</c:v>
                </c:pt>
                <c:pt idx="329" formatCode="General">
                  <c:v>0.129970273544156</c:v>
                </c:pt>
                <c:pt idx="330" formatCode="General">
                  <c:v>0.13055450016599099</c:v>
                </c:pt>
                <c:pt idx="331" formatCode="General">
                  <c:v>0.13102296695767601</c:v>
                </c:pt>
                <c:pt idx="332" formatCode="General">
                  <c:v>0.13155911981992299</c:v>
                </c:pt>
                <c:pt idx="333" formatCode="General">
                  <c:v>0.13206126577397001</c:v>
                </c:pt>
                <c:pt idx="334" formatCode="General">
                  <c:v>0.132623192568955</c:v>
                </c:pt>
                <c:pt idx="335" formatCode="General">
                  <c:v>0.13309459596335299</c:v>
                </c:pt>
                <c:pt idx="336" formatCode="General">
                  <c:v>0.133644369942647</c:v>
                </c:pt>
                <c:pt idx="337" formatCode="General">
                  <c:v>0.13408997318464</c:v>
                </c:pt>
                <c:pt idx="338" formatCode="General">
                  <c:v>0.13465787806371901</c:v>
                </c:pt>
                <c:pt idx="339" formatCode="General">
                  <c:v>0.135147858092242</c:v>
                </c:pt>
                <c:pt idx="340" formatCode="General">
                  <c:v>0.13570766109419399</c:v>
                </c:pt>
                <c:pt idx="341" formatCode="General">
                  <c:v>0.13616305738184101</c:v>
                </c:pt>
                <c:pt idx="342" formatCode="General">
                  <c:v>0.13672330611813299</c:v>
                </c:pt>
                <c:pt idx="343" formatCode="General">
                  <c:v>0.13721272242381299</c:v>
                </c:pt>
                <c:pt idx="344" formatCode="General">
                  <c:v>0.137732540433471</c:v>
                </c:pt>
                <c:pt idx="345" formatCode="General">
                  <c:v>0.13822894428042801</c:v>
                </c:pt>
                <c:pt idx="346" formatCode="General">
                  <c:v>0.13877567677834099</c:v>
                </c:pt>
                <c:pt idx="347" formatCode="General">
                  <c:v>0.13925776468707299</c:v>
                </c:pt>
                <c:pt idx="348" formatCode="General">
                  <c:v>0.13979031234509701</c:v>
                </c:pt>
                <c:pt idx="349" formatCode="General">
                  <c:v>0.14027894206076499</c:v>
                </c:pt>
                <c:pt idx="350" formatCode="General">
                  <c:v>0.140857990298353</c:v>
                </c:pt>
                <c:pt idx="351" formatCode="General">
                  <c:v>0.14132173754996399</c:v>
                </c:pt>
                <c:pt idx="352" formatCode="General">
                  <c:v>0.14183176251396801</c:v>
                </c:pt>
                <c:pt idx="353" formatCode="General">
                  <c:v>0.142295719522915</c:v>
                </c:pt>
                <c:pt idx="354" formatCode="General">
                  <c:v>0.14284043310646399</c:v>
                </c:pt>
                <c:pt idx="355" formatCode="General">
                  <c:v>0.14333795128927099</c:v>
                </c:pt>
                <c:pt idx="356" formatCode="General">
                  <c:v>0.14385360037186301</c:v>
                </c:pt>
                <c:pt idx="357" formatCode="General">
                  <c:v>0.14431970739351199</c:v>
                </c:pt>
                <c:pt idx="358" formatCode="General">
                  <c:v>0.14487195913134501</c:v>
                </c:pt>
                <c:pt idx="359" formatCode="General">
                  <c:v>0.145298199149201</c:v>
                </c:pt>
                <c:pt idx="360" formatCode="General">
                  <c:v>0.14586430798108499</c:v>
                </c:pt>
                <c:pt idx="361" formatCode="General">
                  <c:v>0.146303487404643</c:v>
                </c:pt>
                <c:pt idx="362" formatCode="General">
                  <c:v>0.14684087259124301</c:v>
                </c:pt>
                <c:pt idx="363" formatCode="General">
                  <c:v>0.14730867078141799</c:v>
                </c:pt>
                <c:pt idx="364" formatCode="General">
                  <c:v>0.14784234588512701</c:v>
                </c:pt>
                <c:pt idx="365" formatCode="General">
                  <c:v>0.14833029388945099</c:v>
                </c:pt>
                <c:pt idx="366" formatCode="General">
                  <c:v>0.148890319758573</c:v>
                </c:pt>
                <c:pt idx="367" formatCode="General">
                  <c:v>0.14932488452072601</c:v>
                </c:pt>
                <c:pt idx="368" formatCode="General">
                  <c:v>0.14985100836031601</c:v>
                </c:pt>
                <c:pt idx="369" formatCode="General">
                  <c:v>0.15031733824913401</c:v>
                </c:pt>
                <c:pt idx="370" formatCode="General">
                  <c:v>0.15086610277124601</c:v>
                </c:pt>
                <c:pt idx="371" formatCode="General">
                  <c:v>0.15131295144742499</c:v>
                </c:pt>
                <c:pt idx="372" formatCode="General">
                  <c:v>0.15181520228014</c:v>
                </c:pt>
                <c:pt idx="373" formatCode="General">
                  <c:v>0.15226295553483399</c:v>
                </c:pt>
                <c:pt idx="374" formatCode="General">
                  <c:v>0.15280777399705001</c:v>
                </c:pt>
                <c:pt idx="375" formatCode="General">
                  <c:v>0.1532548455404</c:v>
                </c:pt>
                <c:pt idx="376" formatCode="General">
                  <c:v>0.153794590497037</c:v>
                </c:pt>
                <c:pt idx="377" formatCode="General">
                  <c:v>0.15426722621578701</c:v>
                </c:pt>
                <c:pt idx="378" formatCode="General">
                  <c:v>0.154794936345235</c:v>
                </c:pt>
                <c:pt idx="379" formatCode="General">
                  <c:v>0.15526249855840599</c:v>
                </c:pt>
                <c:pt idx="380" formatCode="General">
                  <c:v>0.15581317711621501</c:v>
                </c:pt>
                <c:pt idx="381" formatCode="General">
                  <c:v>0.15624910530105601</c:v>
                </c:pt>
                <c:pt idx="382" formatCode="General">
                  <c:v>0.15678141698207601</c:v>
                </c:pt>
                <c:pt idx="383" formatCode="General">
                  <c:v>0.15720709327709001</c:v>
                </c:pt>
                <c:pt idx="384" formatCode="General">
                  <c:v>0.15773998179078599</c:v>
                </c:pt>
                <c:pt idx="385" formatCode="General">
                  <c:v>0.158171282204388</c:v>
                </c:pt>
                <c:pt idx="386" formatCode="General">
                  <c:v>0.15870833964514899</c:v>
                </c:pt>
                <c:pt idx="387" formatCode="General">
                  <c:v>0.159201806889393</c:v>
                </c:pt>
                <c:pt idx="388" formatCode="General">
                  <c:v>0.159706535480648</c:v>
                </c:pt>
                <c:pt idx="389" formatCode="General">
                  <c:v>0.16015788082973101</c:v>
                </c:pt>
                <c:pt idx="390" formatCode="General">
                  <c:v>0.160646064811058</c:v>
                </c:pt>
                <c:pt idx="391" formatCode="General">
                  <c:v>0.16107094140622599</c:v>
                </c:pt>
                <c:pt idx="392" formatCode="General">
                  <c:v>0.161491780172664</c:v>
                </c:pt>
                <c:pt idx="393" formatCode="General">
                  <c:v>0.16198603400691999</c:v>
                </c:pt>
                <c:pt idx="394" formatCode="General">
                  <c:v>0.16244730349999201</c:v>
                </c:pt>
                <c:pt idx="395" formatCode="General">
                  <c:v>0.16297320447241201</c:v>
                </c:pt>
                <c:pt idx="396" formatCode="General">
                  <c:v>0.16341036498160599</c:v>
                </c:pt>
                <c:pt idx="397" formatCode="General">
                  <c:v>0.16393197903845799</c:v>
                </c:pt>
                <c:pt idx="398" formatCode="General">
                  <c:v>0.16432759448516701</c:v>
                </c:pt>
                <c:pt idx="399" formatCode="General">
                  <c:v>0.164814637910977</c:v>
                </c:pt>
                <c:pt idx="400" formatCode="General">
                  <c:v>0.165267674428587</c:v>
                </c:pt>
                <c:pt idx="401" formatCode="General">
                  <c:v>0.165746288231431</c:v>
                </c:pt>
                <c:pt idx="402" formatCode="General">
                  <c:v>0.166158448288066</c:v>
                </c:pt>
                <c:pt idx="403" formatCode="General">
                  <c:v>0.16665912594075599</c:v>
                </c:pt>
                <c:pt idx="404" formatCode="General">
                  <c:v>0.167082770211571</c:v>
                </c:pt>
                <c:pt idx="405" formatCode="General">
                  <c:v>0.167543357993299</c:v>
                </c:pt>
                <c:pt idx="406" formatCode="General">
                  <c:v>0.16795495432709201</c:v>
                </c:pt>
                <c:pt idx="407" formatCode="General">
                  <c:v>0.168452813365572</c:v>
                </c:pt>
                <c:pt idx="408" formatCode="General">
                  <c:v>0.16890945508740501</c:v>
                </c:pt>
                <c:pt idx="409" formatCode="General">
                  <c:v>0.169405636067191</c:v>
                </c:pt>
                <c:pt idx="410" formatCode="General">
                  <c:v>0.16980641678831401</c:v>
                </c:pt>
                <c:pt idx="411" formatCode="General">
                  <c:v>0.17028501748132499</c:v>
                </c:pt>
                <c:pt idx="412" formatCode="General">
                  <c:v>0.170661151715394</c:v>
                </c:pt>
                <c:pt idx="413" formatCode="General">
                  <c:v>0.17111869801574101</c:v>
                </c:pt>
                <c:pt idx="414" formatCode="General">
                  <c:v>0.171506867077</c:v>
                </c:pt>
                <c:pt idx="415" formatCode="General">
                  <c:v>0.17199245531128701</c:v>
                </c:pt>
                <c:pt idx="416" formatCode="General">
                  <c:v>0.172389971683859</c:v>
                </c:pt>
                <c:pt idx="417" formatCode="General">
                  <c:v>0.17288750297649999</c:v>
                </c:pt>
                <c:pt idx="418" formatCode="General">
                  <c:v>0.173266783570619</c:v>
                </c:pt>
                <c:pt idx="419" formatCode="General">
                  <c:v>0.17376959812617601</c:v>
                </c:pt>
                <c:pt idx="420" formatCode="General">
                  <c:v>0.17410056898370299</c:v>
                </c:pt>
                <c:pt idx="421" formatCode="General">
                  <c:v>0.17455698783836601</c:v>
                </c:pt>
                <c:pt idx="422" formatCode="General">
                  <c:v>0.17493975564820599</c:v>
                </c:pt>
                <c:pt idx="423" formatCode="General">
                  <c:v>0.175410359342758</c:v>
                </c:pt>
                <c:pt idx="424" formatCode="General">
                  <c:v>0.17582972980784001</c:v>
                </c:pt>
                <c:pt idx="425" formatCode="General">
                  <c:v>0.176245154213026</c:v>
                </c:pt>
                <c:pt idx="426" formatCode="General">
                  <c:v>0.17661565121867301</c:v>
                </c:pt>
                <c:pt idx="427" formatCode="General">
                  <c:v>0.177071965194668</c:v>
                </c:pt>
                <c:pt idx="428" formatCode="General">
                  <c:v>0.17740247720802099</c:v>
                </c:pt>
                <c:pt idx="429" formatCode="General">
                  <c:v>0.17788907489949099</c:v>
                </c:pt>
                <c:pt idx="430" formatCode="General">
                  <c:v>0.178230297646846</c:v>
                </c:pt>
                <c:pt idx="431" formatCode="General">
                  <c:v>0.178649890979097</c:v>
                </c:pt>
                <c:pt idx="432" formatCode="General">
                  <c:v>0.17901857882771599</c:v>
                </c:pt>
                <c:pt idx="433" formatCode="General">
                  <c:v>0.17946115369816201</c:v>
                </c:pt>
                <c:pt idx="434" formatCode="General">
                  <c:v>0.17973445439795099</c:v>
                </c:pt>
                <c:pt idx="435" formatCode="General">
                  <c:v>0.18012241370187199</c:v>
                </c:pt>
                <c:pt idx="436" formatCode="General">
                  <c:v>0.18043096674404799</c:v>
                </c:pt>
                <c:pt idx="437" formatCode="General">
                  <c:v>0.18083851213927701</c:v>
                </c:pt>
                <c:pt idx="438" formatCode="General">
                  <c:v>0.18121126403629301</c:v>
                </c:pt>
                <c:pt idx="439" formatCode="General">
                  <c:v>0.181594595568976</c:v>
                </c:pt>
                <c:pt idx="440" formatCode="General">
                  <c:v>0.18190417117816701</c:v>
                </c:pt>
                <c:pt idx="441" formatCode="General">
                  <c:v>0.18224177561146501</c:v>
                </c:pt>
                <c:pt idx="442" formatCode="General">
                  <c:v>0.18248694260848</c:v>
                </c:pt>
                <c:pt idx="443" formatCode="General">
                  <c:v>0.18285428014424401</c:v>
                </c:pt>
                <c:pt idx="444" formatCode="General">
                  <c:v>0.183130071712406</c:v>
                </c:pt>
                <c:pt idx="445" formatCode="General">
                  <c:v>0.18345067269160401</c:v>
                </c:pt>
                <c:pt idx="446" formatCode="General">
                  <c:v>0.18478840010593001</c:v>
                </c:pt>
                <c:pt idx="447" formatCode="General">
                  <c:v>0.187571054043432</c:v>
                </c:pt>
                <c:pt idx="448" formatCode="General">
                  <c:v>0.18812477408262199</c:v>
                </c:pt>
                <c:pt idx="449" formatCode="General">
                  <c:v>0.18862803437251999</c:v>
                </c:pt>
                <c:pt idx="450" formatCode="General">
                  <c:v>0.18908851727557999</c:v>
                </c:pt>
                <c:pt idx="451" formatCode="General">
                  <c:v>0.189599997431106</c:v>
                </c:pt>
                <c:pt idx="452" formatCode="General">
                  <c:v>0.190016444403309</c:v>
                </c:pt>
                <c:pt idx="453" formatCode="General">
                  <c:v>0.19048908012205901</c:v>
                </c:pt>
                <c:pt idx="454" formatCode="General">
                  <c:v>0.19089167000021001</c:v>
                </c:pt>
                <c:pt idx="455" formatCode="General">
                  <c:v>0.19140518217993599</c:v>
                </c:pt>
                <c:pt idx="456" formatCode="General">
                  <c:v>0.191863515070295</c:v>
                </c:pt>
                <c:pt idx="457" formatCode="General">
                  <c:v>0.19235732317021101</c:v>
                </c:pt>
                <c:pt idx="458" formatCode="General">
                  <c:v>0.19279222878803601</c:v>
                </c:pt>
                <c:pt idx="459" formatCode="General">
                  <c:v>0.19329166100654099</c:v>
                </c:pt>
                <c:pt idx="460" formatCode="General">
                  <c:v>0.19370349331733699</c:v>
                </c:pt>
                <c:pt idx="461" formatCode="General">
                  <c:v>0.19419954319878799</c:v>
                </c:pt>
                <c:pt idx="462" formatCode="General">
                  <c:v>0.194636375962144</c:v>
                </c:pt>
                <c:pt idx="463" formatCode="General">
                  <c:v>0.19515383420176399</c:v>
                </c:pt>
                <c:pt idx="464" formatCode="General">
                  <c:v>0.19559470479384999</c:v>
                </c:pt>
                <c:pt idx="465" formatCode="General">
                  <c:v>0.19606655392258801</c:v>
                </c:pt>
                <c:pt idx="466" formatCode="General">
                  <c:v>0.19649662201183701</c:v>
                </c:pt>
                <c:pt idx="467" formatCode="General">
                  <c:v>0.19703198828407201</c:v>
                </c:pt>
                <c:pt idx="468" formatCode="General">
                  <c:v>0.19744493493071899</c:v>
                </c:pt>
                <c:pt idx="469" formatCode="General">
                  <c:v>0.19796340262752199</c:v>
                </c:pt>
                <c:pt idx="470" formatCode="General">
                  <c:v>0.198389865512548</c:v>
                </c:pt>
                <c:pt idx="471" formatCode="General">
                  <c:v>0.198927932410492</c:v>
                </c:pt>
                <c:pt idx="472" formatCode="General">
                  <c:v>0.19934076106863699</c:v>
                </c:pt>
                <c:pt idx="473" formatCode="General">
                  <c:v>0.199843575624195</c:v>
                </c:pt>
                <c:pt idx="474" formatCode="General">
                  <c:v>0.20023524501100801</c:v>
                </c:pt>
                <c:pt idx="475" formatCode="General">
                  <c:v>0.200712836246836</c:v>
                </c:pt>
                <c:pt idx="476" formatCode="General">
                  <c:v>0.201130856399063</c:v>
                </c:pt>
                <c:pt idx="477" formatCode="General">
                  <c:v>0.20164414571161801</c:v>
                </c:pt>
                <c:pt idx="478" formatCode="General">
                  <c:v>0.20208603887071999</c:v>
                </c:pt>
                <c:pt idx="479" formatCode="General">
                  <c:v>0.20259830561625899</c:v>
                </c:pt>
                <c:pt idx="480" formatCode="General">
                  <c:v>0.203040539631032</c:v>
                </c:pt>
                <c:pt idx="481" formatCode="General">
                  <c:v>0.20352556414247699</c:v>
                </c:pt>
                <c:pt idx="482" formatCode="General">
                  <c:v>0.20395607796606699</c:v>
                </c:pt>
                <c:pt idx="483" formatCode="General">
                  <c:v>0.20447150418148899</c:v>
                </c:pt>
                <c:pt idx="484" formatCode="General">
                  <c:v>0.20487781725236501</c:v>
                </c:pt>
                <c:pt idx="485" formatCode="General">
                  <c:v>0.20535945942675701</c:v>
                </c:pt>
                <c:pt idx="486" formatCode="General">
                  <c:v>0.20579301473172801</c:v>
                </c:pt>
                <c:pt idx="487" formatCode="General">
                  <c:v>0.206302816828561</c:v>
                </c:pt>
                <c:pt idx="488" formatCode="General">
                  <c:v>0.20675292985329199</c:v>
                </c:pt>
                <c:pt idx="489" formatCode="General">
                  <c:v>0.20727657593434301</c:v>
                </c:pt>
                <c:pt idx="490" formatCode="General">
                  <c:v>0.20769324577371501</c:v>
                </c:pt>
                <c:pt idx="491" formatCode="General">
                  <c:v>0.20818266207939601</c:v>
                </c:pt>
                <c:pt idx="492" formatCode="General">
                  <c:v>0.20862207747995801</c:v>
                </c:pt>
                <c:pt idx="493" formatCode="General">
                  <c:v>0.209143809525312</c:v>
                </c:pt>
                <c:pt idx="494" formatCode="General">
                  <c:v>0.20954154876505399</c:v>
                </c:pt>
                <c:pt idx="495" formatCode="General">
                  <c:v>0.21005652924613599</c:v>
                </c:pt>
                <c:pt idx="496" formatCode="General">
                  <c:v>0.21049898612807999</c:v>
                </c:pt>
                <c:pt idx="497" formatCode="General">
                  <c:v>0.210995612842207</c:v>
                </c:pt>
                <c:pt idx="498" formatCode="General">
                  <c:v>0.211433219085741</c:v>
                </c:pt>
                <c:pt idx="499" formatCode="General">
                  <c:v>0.21192173081290699</c:v>
                </c:pt>
                <c:pt idx="500" formatCode="General">
                  <c:v>0.21234954401078701</c:v>
                </c:pt>
              </c:numCache>
            </c:numRef>
          </c:yVal>
          <c:smooth val="1"/>
          <c:extLst>
            <c:ext xmlns:c16="http://schemas.microsoft.com/office/drawing/2014/chart" uri="{C3380CC4-5D6E-409C-BE32-E72D297353CC}">
              <c16:uniqueId val="{00000000-E8ED-438B-B8F6-565CE4436AF8}"/>
            </c:ext>
          </c:extLst>
        </c:ser>
        <c:dLbls>
          <c:showLegendKey val="0"/>
          <c:showVal val="0"/>
          <c:showCatName val="0"/>
          <c:showSerName val="0"/>
          <c:showPercent val="0"/>
          <c:showBubbleSize val="0"/>
        </c:dLbls>
        <c:axId val="639661632"/>
        <c:axId val="1"/>
      </c:scatterChart>
      <c:scatterChart>
        <c:scatterStyle val="lineMarker"/>
        <c:varyColors val="0"/>
        <c:ser>
          <c:idx val="1"/>
          <c:order val="1"/>
          <c:spPr>
            <a:ln w="25400">
              <a:solidFill>
                <a:srgbClr val="FF0000"/>
              </a:solidFill>
              <a:prstDash val="solid"/>
            </a:ln>
          </c:spPr>
          <c:marker>
            <c:symbol val="none"/>
          </c:marker>
          <c:xVal>
            <c:numRef>
              <c:f>snl!$102:$102</c:f>
              <c:numCache>
                <c:formatCode>General</c:formatCode>
                <c:ptCount val="16384"/>
                <c:pt idx="0">
                  <c:v>1E-3</c:v>
                </c:pt>
                <c:pt idx="1">
                  <c:v>1.6000000000000001E-3</c:v>
                </c:pt>
                <c:pt idx="2">
                  <c:v>2.0999999999999999E-3</c:v>
                </c:pt>
                <c:pt idx="3">
                  <c:v>2.7000000000000001E-3</c:v>
                </c:pt>
                <c:pt idx="4">
                  <c:v>3.2000000000000002E-3</c:v>
                </c:pt>
                <c:pt idx="5">
                  <c:v>3.8E-3</c:v>
                </c:pt>
                <c:pt idx="6">
                  <c:v>4.3E-3</c:v>
                </c:pt>
                <c:pt idx="7">
                  <c:v>4.8999999999999998E-3</c:v>
                </c:pt>
                <c:pt idx="8">
                  <c:v>5.4999999999999997E-3</c:v>
                </c:pt>
                <c:pt idx="9">
                  <c:v>6.0000000000000001E-3</c:v>
                </c:pt>
                <c:pt idx="10">
                  <c:v>6.6E-3</c:v>
                </c:pt>
                <c:pt idx="11">
                  <c:v>7.1000000000000004E-3</c:v>
                </c:pt>
                <c:pt idx="12">
                  <c:v>7.7000000000000002E-3</c:v>
                </c:pt>
                <c:pt idx="13">
                  <c:v>8.3000000000000001E-3</c:v>
                </c:pt>
                <c:pt idx="14">
                  <c:v>8.8000000000000005E-3</c:v>
                </c:pt>
                <c:pt idx="15">
                  <c:v>9.4000000000000004E-3</c:v>
                </c:pt>
                <c:pt idx="16">
                  <c:v>9.9000000000000008E-3</c:v>
                </c:pt>
                <c:pt idx="17">
                  <c:v>1.0500000000000001E-2</c:v>
                </c:pt>
                <c:pt idx="18">
                  <c:v>1.0999999999999999E-2</c:v>
                </c:pt>
                <c:pt idx="19">
                  <c:v>1.1599999999999999E-2</c:v>
                </c:pt>
                <c:pt idx="20">
                  <c:v>1.2200000000000001E-2</c:v>
                </c:pt>
                <c:pt idx="21">
                  <c:v>1.2699999999999999E-2</c:v>
                </c:pt>
                <c:pt idx="22">
                  <c:v>1.3299999999999999E-2</c:v>
                </c:pt>
                <c:pt idx="23">
                  <c:v>1.38E-2</c:v>
                </c:pt>
                <c:pt idx="24">
                  <c:v>1.44E-2</c:v>
                </c:pt>
                <c:pt idx="25">
                  <c:v>1.4999999999999999E-2</c:v>
                </c:pt>
                <c:pt idx="26">
                  <c:v>1.55E-2</c:v>
                </c:pt>
                <c:pt idx="27">
                  <c:v>1.61E-2</c:v>
                </c:pt>
                <c:pt idx="28">
                  <c:v>1.66E-2</c:v>
                </c:pt>
                <c:pt idx="29">
                  <c:v>1.72E-2</c:v>
                </c:pt>
                <c:pt idx="30">
                  <c:v>1.77E-2</c:v>
                </c:pt>
                <c:pt idx="31">
                  <c:v>1.83E-2</c:v>
                </c:pt>
                <c:pt idx="32">
                  <c:v>1.89E-2</c:v>
                </c:pt>
                <c:pt idx="33">
                  <c:v>1.9400000000000001E-2</c:v>
                </c:pt>
                <c:pt idx="34">
                  <c:v>0.02</c:v>
                </c:pt>
                <c:pt idx="35">
                  <c:v>2.0500000000000001E-2</c:v>
                </c:pt>
                <c:pt idx="36">
                  <c:v>2.1100000000000001E-2</c:v>
                </c:pt>
                <c:pt idx="37">
                  <c:v>2.1600000000000001E-2</c:v>
                </c:pt>
                <c:pt idx="38">
                  <c:v>2.2200000000000001E-2</c:v>
                </c:pt>
                <c:pt idx="39">
                  <c:v>2.2800000000000001E-2</c:v>
                </c:pt>
                <c:pt idx="40">
                  <c:v>2.3300000000000001E-2</c:v>
                </c:pt>
                <c:pt idx="41">
                  <c:v>2.3900000000000001E-2</c:v>
                </c:pt>
                <c:pt idx="42">
                  <c:v>2.4400000000000002E-2</c:v>
                </c:pt>
                <c:pt idx="43">
                  <c:v>2.5000000000000001E-2</c:v>
                </c:pt>
                <c:pt idx="44">
                  <c:v>2.5600000000000001E-2</c:v>
                </c:pt>
                <c:pt idx="45">
                  <c:v>2.6100000000000002E-2</c:v>
                </c:pt>
                <c:pt idx="46">
                  <c:v>2.6700000000000002E-2</c:v>
                </c:pt>
                <c:pt idx="47">
                  <c:v>2.7199999999999998E-2</c:v>
                </c:pt>
                <c:pt idx="48">
                  <c:v>2.7799999999999998E-2</c:v>
                </c:pt>
                <c:pt idx="49">
                  <c:v>2.8299999999999999E-2</c:v>
                </c:pt>
                <c:pt idx="50">
                  <c:v>2.8899999999999999E-2</c:v>
                </c:pt>
                <c:pt idx="51">
                  <c:v>2.9499999999999998E-2</c:v>
                </c:pt>
                <c:pt idx="52">
                  <c:v>0.03</c:v>
                </c:pt>
                <c:pt idx="53">
                  <c:v>3.0599999999999999E-2</c:v>
                </c:pt>
                <c:pt idx="54">
                  <c:v>3.1099999999999999E-2</c:v>
                </c:pt>
                <c:pt idx="55">
                  <c:v>3.1699999999999999E-2</c:v>
                </c:pt>
                <c:pt idx="56">
                  <c:v>3.2199999999999999E-2</c:v>
                </c:pt>
                <c:pt idx="57">
                  <c:v>3.2800000000000003E-2</c:v>
                </c:pt>
                <c:pt idx="58">
                  <c:v>3.3399999999999999E-2</c:v>
                </c:pt>
                <c:pt idx="59">
                  <c:v>3.39E-2</c:v>
                </c:pt>
                <c:pt idx="60">
                  <c:v>3.4500000000000003E-2</c:v>
                </c:pt>
                <c:pt idx="61">
                  <c:v>3.5000000000000003E-2</c:v>
                </c:pt>
                <c:pt idx="62">
                  <c:v>3.56E-2</c:v>
                </c:pt>
                <c:pt idx="63">
                  <c:v>3.6200000000000003E-2</c:v>
                </c:pt>
                <c:pt idx="64">
                  <c:v>3.6700000000000003E-2</c:v>
                </c:pt>
                <c:pt idx="65">
                  <c:v>3.73E-2</c:v>
                </c:pt>
                <c:pt idx="66">
                  <c:v>3.78E-2</c:v>
                </c:pt>
                <c:pt idx="67">
                  <c:v>3.8399999999999997E-2</c:v>
                </c:pt>
                <c:pt idx="68">
                  <c:v>3.8899999999999997E-2</c:v>
                </c:pt>
                <c:pt idx="69">
                  <c:v>3.95E-2</c:v>
                </c:pt>
                <c:pt idx="70">
                  <c:v>4.0099999999999997E-2</c:v>
                </c:pt>
                <c:pt idx="71">
                  <c:v>4.0599999999999997E-2</c:v>
                </c:pt>
                <c:pt idx="72">
                  <c:v>4.1200000000000001E-2</c:v>
                </c:pt>
                <c:pt idx="73">
                  <c:v>4.1700000000000001E-2</c:v>
                </c:pt>
                <c:pt idx="74">
                  <c:v>4.2299999999999997E-2</c:v>
                </c:pt>
                <c:pt idx="75">
                  <c:v>4.2900000000000001E-2</c:v>
                </c:pt>
                <c:pt idx="76">
                  <c:v>4.3400000000000001E-2</c:v>
                </c:pt>
                <c:pt idx="77">
                  <c:v>4.3999999999999997E-2</c:v>
                </c:pt>
                <c:pt idx="78">
                  <c:v>4.4499999999999998E-2</c:v>
                </c:pt>
                <c:pt idx="79">
                  <c:v>4.5100000000000001E-2</c:v>
                </c:pt>
                <c:pt idx="80">
                  <c:v>4.5600000000000002E-2</c:v>
                </c:pt>
                <c:pt idx="81">
                  <c:v>4.6199999999999998E-2</c:v>
                </c:pt>
                <c:pt idx="82">
                  <c:v>4.6800000000000001E-2</c:v>
                </c:pt>
                <c:pt idx="83">
                  <c:v>4.7300000000000002E-2</c:v>
                </c:pt>
                <c:pt idx="84">
                  <c:v>4.7899999999999998E-2</c:v>
                </c:pt>
                <c:pt idx="85">
                  <c:v>4.8399999999999999E-2</c:v>
                </c:pt>
                <c:pt idx="86">
                  <c:v>4.9000000000000002E-2</c:v>
                </c:pt>
                <c:pt idx="87">
                  <c:v>4.9500000000000002E-2</c:v>
                </c:pt>
                <c:pt idx="88">
                  <c:v>5.0099999999999999E-2</c:v>
                </c:pt>
                <c:pt idx="89">
                  <c:v>5.0700000000000002E-2</c:v>
                </c:pt>
                <c:pt idx="90">
                  <c:v>5.1200000000000002E-2</c:v>
                </c:pt>
                <c:pt idx="91">
                  <c:v>5.1799999999999999E-2</c:v>
                </c:pt>
                <c:pt idx="92">
                  <c:v>5.2299999999999999E-2</c:v>
                </c:pt>
                <c:pt idx="93">
                  <c:v>5.2900000000000003E-2</c:v>
                </c:pt>
                <c:pt idx="94">
                  <c:v>5.3499999999999999E-2</c:v>
                </c:pt>
                <c:pt idx="95">
                  <c:v>5.3999999999999999E-2</c:v>
                </c:pt>
                <c:pt idx="96">
                  <c:v>5.4600000000000003E-2</c:v>
                </c:pt>
                <c:pt idx="97">
                  <c:v>5.5100000000000003E-2</c:v>
                </c:pt>
                <c:pt idx="98">
                  <c:v>5.57E-2</c:v>
                </c:pt>
                <c:pt idx="99">
                  <c:v>5.62E-2</c:v>
                </c:pt>
                <c:pt idx="100">
                  <c:v>5.6800000000000003E-2</c:v>
                </c:pt>
                <c:pt idx="101">
                  <c:v>5.74E-2</c:v>
                </c:pt>
                <c:pt idx="102">
                  <c:v>5.79E-2</c:v>
                </c:pt>
                <c:pt idx="103">
                  <c:v>5.8500000000000003E-2</c:v>
                </c:pt>
                <c:pt idx="104">
                  <c:v>5.8999999999999997E-2</c:v>
                </c:pt>
                <c:pt idx="105">
                  <c:v>5.96E-2</c:v>
                </c:pt>
                <c:pt idx="106">
                  <c:v>6.0100000000000001E-2</c:v>
                </c:pt>
                <c:pt idx="107">
                  <c:v>6.0699999999999997E-2</c:v>
                </c:pt>
                <c:pt idx="108">
                  <c:v>6.13E-2</c:v>
                </c:pt>
                <c:pt idx="109">
                  <c:v>6.1800000000000001E-2</c:v>
                </c:pt>
                <c:pt idx="110">
                  <c:v>6.2399999999999997E-2</c:v>
                </c:pt>
                <c:pt idx="111">
                  <c:v>6.2899999999999998E-2</c:v>
                </c:pt>
                <c:pt idx="112">
                  <c:v>6.3500000000000001E-2</c:v>
                </c:pt>
                <c:pt idx="113">
                  <c:v>6.4100000000000004E-2</c:v>
                </c:pt>
                <c:pt idx="114">
                  <c:v>6.4600000000000005E-2</c:v>
                </c:pt>
                <c:pt idx="115">
                  <c:v>6.5199999999999897E-2</c:v>
                </c:pt>
                <c:pt idx="116">
                  <c:v>6.5699999999999995E-2</c:v>
                </c:pt>
                <c:pt idx="117">
                  <c:v>6.6299999999999998E-2</c:v>
                </c:pt>
                <c:pt idx="118">
                  <c:v>6.6799999999999998E-2</c:v>
                </c:pt>
                <c:pt idx="119">
                  <c:v>6.7400000000000002E-2</c:v>
                </c:pt>
                <c:pt idx="120">
                  <c:v>6.8000000000000005E-2</c:v>
                </c:pt>
                <c:pt idx="121">
                  <c:v>6.8500000000000005E-2</c:v>
                </c:pt>
                <c:pt idx="122">
                  <c:v>6.9099999999999995E-2</c:v>
                </c:pt>
                <c:pt idx="123">
                  <c:v>6.9599999999999995E-2</c:v>
                </c:pt>
                <c:pt idx="124">
                  <c:v>7.0199999999999999E-2</c:v>
                </c:pt>
                <c:pt idx="125">
                  <c:v>7.0699999999999999E-2</c:v>
                </c:pt>
                <c:pt idx="126">
                  <c:v>7.1300000000000002E-2</c:v>
                </c:pt>
                <c:pt idx="127">
                  <c:v>7.1900000000000006E-2</c:v>
                </c:pt>
                <c:pt idx="128">
                  <c:v>7.2400000000000006E-2</c:v>
                </c:pt>
                <c:pt idx="129">
                  <c:v>7.2999999999999995E-2</c:v>
                </c:pt>
                <c:pt idx="130">
                  <c:v>7.3499999999999996E-2</c:v>
                </c:pt>
                <c:pt idx="131">
                  <c:v>7.4099999999999999E-2</c:v>
                </c:pt>
                <c:pt idx="132">
                  <c:v>7.4700000000000003E-2</c:v>
                </c:pt>
                <c:pt idx="133">
                  <c:v>7.5200000000000003E-2</c:v>
                </c:pt>
                <c:pt idx="134">
                  <c:v>7.5800000000000006E-2</c:v>
                </c:pt>
                <c:pt idx="135">
                  <c:v>7.6300000000000007E-2</c:v>
                </c:pt>
                <c:pt idx="136">
                  <c:v>7.6899999999999996E-2</c:v>
                </c:pt>
                <c:pt idx="137">
                  <c:v>7.7399999999999997E-2</c:v>
                </c:pt>
                <c:pt idx="138">
                  <c:v>7.8E-2</c:v>
                </c:pt>
                <c:pt idx="139">
                  <c:v>7.8600000000000003E-2</c:v>
                </c:pt>
                <c:pt idx="140">
                  <c:v>7.9100000000000004E-2</c:v>
                </c:pt>
                <c:pt idx="141">
                  <c:v>7.9699999999999896E-2</c:v>
                </c:pt>
                <c:pt idx="142">
                  <c:v>8.0199999999999896E-2</c:v>
                </c:pt>
                <c:pt idx="143">
                  <c:v>8.0799999999999997E-2</c:v>
                </c:pt>
                <c:pt idx="144">
                  <c:v>8.14E-2</c:v>
                </c:pt>
                <c:pt idx="145">
                  <c:v>8.1900000000000001E-2</c:v>
                </c:pt>
                <c:pt idx="146">
                  <c:v>8.2500000000000004E-2</c:v>
                </c:pt>
                <c:pt idx="147">
                  <c:v>8.3000000000000004E-2</c:v>
                </c:pt>
                <c:pt idx="148">
                  <c:v>8.3599999999999897E-2</c:v>
                </c:pt>
                <c:pt idx="149">
                  <c:v>8.4099999999999897E-2</c:v>
                </c:pt>
                <c:pt idx="150">
                  <c:v>8.4699999999999998E-2</c:v>
                </c:pt>
                <c:pt idx="151">
                  <c:v>8.5300000000000001E-2</c:v>
                </c:pt>
                <c:pt idx="152">
                  <c:v>8.5800000000000001E-2</c:v>
                </c:pt>
                <c:pt idx="153">
                  <c:v>8.6400000000000005E-2</c:v>
                </c:pt>
                <c:pt idx="154">
                  <c:v>8.6900000000000005E-2</c:v>
                </c:pt>
                <c:pt idx="155">
                  <c:v>8.7499999999999897E-2</c:v>
                </c:pt>
                <c:pt idx="156">
                  <c:v>8.7999999999999995E-2</c:v>
                </c:pt>
                <c:pt idx="157">
                  <c:v>8.8599999999999998E-2</c:v>
                </c:pt>
                <c:pt idx="158">
                  <c:v>8.9200000000000002E-2</c:v>
                </c:pt>
                <c:pt idx="159">
                  <c:v>8.9700000000000002E-2</c:v>
                </c:pt>
                <c:pt idx="160">
                  <c:v>9.0300000000000005E-2</c:v>
                </c:pt>
                <c:pt idx="161">
                  <c:v>9.0800000000000006E-2</c:v>
                </c:pt>
                <c:pt idx="162">
                  <c:v>9.1399999999999995E-2</c:v>
                </c:pt>
                <c:pt idx="163">
                  <c:v>9.1999999999999998E-2</c:v>
                </c:pt>
                <c:pt idx="164">
                  <c:v>9.2499999999999999E-2</c:v>
                </c:pt>
                <c:pt idx="165">
                  <c:v>9.3100000000000002E-2</c:v>
                </c:pt>
                <c:pt idx="166">
                  <c:v>9.3600000000000003E-2</c:v>
                </c:pt>
                <c:pt idx="167">
                  <c:v>9.4200000000000006E-2</c:v>
                </c:pt>
                <c:pt idx="168">
                  <c:v>9.4700000000000006E-2</c:v>
                </c:pt>
                <c:pt idx="169">
                  <c:v>9.5299999999999996E-2</c:v>
                </c:pt>
                <c:pt idx="170">
                  <c:v>9.5899999999999999E-2</c:v>
                </c:pt>
                <c:pt idx="171">
                  <c:v>9.64E-2</c:v>
                </c:pt>
                <c:pt idx="172">
                  <c:v>9.7000000000000003E-2</c:v>
                </c:pt>
                <c:pt idx="173">
                  <c:v>9.7500000000000003E-2</c:v>
                </c:pt>
                <c:pt idx="174">
                  <c:v>9.8100000000000007E-2</c:v>
                </c:pt>
                <c:pt idx="175">
                  <c:v>9.8599999999999896E-2</c:v>
                </c:pt>
                <c:pt idx="176">
                  <c:v>9.9199999999999997E-2</c:v>
                </c:pt>
                <c:pt idx="177">
                  <c:v>9.98E-2</c:v>
                </c:pt>
                <c:pt idx="178">
                  <c:v>0.1003</c:v>
                </c:pt>
                <c:pt idx="179">
                  <c:v>0.1009</c:v>
                </c:pt>
                <c:pt idx="180">
                  <c:v>0.1014</c:v>
                </c:pt>
                <c:pt idx="181">
                  <c:v>0.10199999999999999</c:v>
                </c:pt>
                <c:pt idx="182">
                  <c:v>0.1026</c:v>
                </c:pt>
                <c:pt idx="183">
                  <c:v>0.1031</c:v>
                </c:pt>
                <c:pt idx="184">
                  <c:v>0.1037</c:v>
                </c:pt>
                <c:pt idx="185">
                  <c:v>0.1042</c:v>
                </c:pt>
                <c:pt idx="186">
                  <c:v>0.1048</c:v>
                </c:pt>
                <c:pt idx="187">
                  <c:v>0.1053</c:v>
                </c:pt>
                <c:pt idx="188">
                  <c:v>0.10589999999999999</c:v>
                </c:pt>
                <c:pt idx="189">
                  <c:v>0.1065</c:v>
                </c:pt>
                <c:pt idx="190">
                  <c:v>0.107</c:v>
                </c:pt>
                <c:pt idx="191">
                  <c:v>0.1076</c:v>
                </c:pt>
                <c:pt idx="192">
                  <c:v>0.1081</c:v>
                </c:pt>
                <c:pt idx="193">
                  <c:v>0.1087</c:v>
                </c:pt>
                <c:pt idx="194">
                  <c:v>0.10929999999999999</c:v>
                </c:pt>
                <c:pt idx="195">
                  <c:v>0.10979999999999999</c:v>
                </c:pt>
                <c:pt idx="196">
                  <c:v>0.1104</c:v>
                </c:pt>
                <c:pt idx="197">
                  <c:v>0.1109</c:v>
                </c:pt>
                <c:pt idx="198">
                  <c:v>0.1115</c:v>
                </c:pt>
                <c:pt idx="199">
                  <c:v>0.112</c:v>
                </c:pt>
                <c:pt idx="200">
                  <c:v>0.11260000000000001</c:v>
                </c:pt>
                <c:pt idx="201">
                  <c:v>0.1132</c:v>
                </c:pt>
                <c:pt idx="202">
                  <c:v>0.1137</c:v>
                </c:pt>
                <c:pt idx="203">
                  <c:v>0.1143</c:v>
                </c:pt>
                <c:pt idx="204">
                  <c:v>0.1148</c:v>
                </c:pt>
                <c:pt idx="205">
                  <c:v>0.1154</c:v>
                </c:pt>
                <c:pt idx="206">
                  <c:v>0.1159</c:v>
                </c:pt>
                <c:pt idx="207">
                  <c:v>0.11650000000000001</c:v>
                </c:pt>
                <c:pt idx="208">
                  <c:v>0.1171</c:v>
                </c:pt>
                <c:pt idx="209">
                  <c:v>0.1176</c:v>
                </c:pt>
                <c:pt idx="210">
                  <c:v>0.1182</c:v>
                </c:pt>
                <c:pt idx="211">
                  <c:v>0.1187</c:v>
                </c:pt>
                <c:pt idx="212">
                  <c:v>0.1193</c:v>
                </c:pt>
                <c:pt idx="213">
                  <c:v>0.11990000000000001</c:v>
                </c:pt>
                <c:pt idx="214">
                  <c:v>0.12039999999999999</c:v>
                </c:pt>
                <c:pt idx="215">
                  <c:v>0.121</c:v>
                </c:pt>
                <c:pt idx="216">
                  <c:v>0.1215</c:v>
                </c:pt>
                <c:pt idx="217">
                  <c:v>0.1221</c:v>
                </c:pt>
                <c:pt idx="218">
                  <c:v>0.1226</c:v>
                </c:pt>
                <c:pt idx="219">
                  <c:v>0.1232</c:v>
                </c:pt>
                <c:pt idx="220">
                  <c:v>0.12379999999999999</c:v>
                </c:pt>
                <c:pt idx="221">
                  <c:v>0.12429999999999999</c:v>
                </c:pt>
                <c:pt idx="222">
                  <c:v>0.1249</c:v>
                </c:pt>
                <c:pt idx="223">
                  <c:v>0.12540000000000001</c:v>
                </c:pt>
                <c:pt idx="224">
                  <c:v>0.126</c:v>
                </c:pt>
                <c:pt idx="225">
                  <c:v>0.1265</c:v>
                </c:pt>
                <c:pt idx="226">
                  <c:v>0.12709999999999999</c:v>
                </c:pt>
                <c:pt idx="227">
                  <c:v>0.12770000000000001</c:v>
                </c:pt>
                <c:pt idx="228">
                  <c:v>0.12820000000000001</c:v>
                </c:pt>
                <c:pt idx="229">
                  <c:v>0.1288</c:v>
                </c:pt>
                <c:pt idx="230">
                  <c:v>0.1293</c:v>
                </c:pt>
                <c:pt idx="231">
                  <c:v>0.12989999999999999</c:v>
                </c:pt>
                <c:pt idx="232">
                  <c:v>0.1305</c:v>
                </c:pt>
                <c:pt idx="233">
                  <c:v>0.13100000000000001</c:v>
                </c:pt>
                <c:pt idx="234">
                  <c:v>0.13159999999999999</c:v>
                </c:pt>
                <c:pt idx="235">
                  <c:v>0.1321</c:v>
                </c:pt>
                <c:pt idx="236">
                  <c:v>0.13270000000000001</c:v>
                </c:pt>
                <c:pt idx="237">
                  <c:v>0.13320000000000001</c:v>
                </c:pt>
                <c:pt idx="238">
                  <c:v>0.1338</c:v>
                </c:pt>
                <c:pt idx="239">
                  <c:v>0.13439999999999999</c:v>
                </c:pt>
                <c:pt idx="240">
                  <c:v>0.13489999999999999</c:v>
                </c:pt>
                <c:pt idx="241">
                  <c:v>0.13550000000000001</c:v>
                </c:pt>
                <c:pt idx="242">
                  <c:v>0.13600000000000001</c:v>
                </c:pt>
                <c:pt idx="243">
                  <c:v>0.1366</c:v>
                </c:pt>
                <c:pt idx="244">
                  <c:v>0.13719999999999999</c:v>
                </c:pt>
                <c:pt idx="245">
                  <c:v>0.13769999999999999</c:v>
                </c:pt>
                <c:pt idx="246">
                  <c:v>0.13830000000000001</c:v>
                </c:pt>
                <c:pt idx="247">
                  <c:v>0.13880000000000001</c:v>
                </c:pt>
                <c:pt idx="248">
                  <c:v>0.1394</c:v>
                </c:pt>
                <c:pt idx="249">
                  <c:v>0.1399</c:v>
                </c:pt>
                <c:pt idx="250">
                  <c:v>0.14050000000000001</c:v>
                </c:pt>
                <c:pt idx="251">
                  <c:v>0.1411</c:v>
                </c:pt>
                <c:pt idx="252">
                  <c:v>0.1416</c:v>
                </c:pt>
                <c:pt idx="253">
                  <c:v>0.14219999999999999</c:v>
                </c:pt>
                <c:pt idx="254">
                  <c:v>0.14269999999999999</c:v>
                </c:pt>
                <c:pt idx="255">
                  <c:v>0.14330000000000001</c:v>
                </c:pt>
                <c:pt idx="256">
                  <c:v>0.14380000000000001</c:v>
                </c:pt>
                <c:pt idx="257">
                  <c:v>0.1444</c:v>
                </c:pt>
                <c:pt idx="258">
                  <c:v>0.14499999999999999</c:v>
                </c:pt>
                <c:pt idx="259">
                  <c:v>0.14549999999999999</c:v>
                </c:pt>
                <c:pt idx="260">
                  <c:v>0.14610000000000001</c:v>
                </c:pt>
                <c:pt idx="261">
                  <c:v>0.14660000000000001</c:v>
                </c:pt>
                <c:pt idx="262">
                  <c:v>0.1472</c:v>
                </c:pt>
                <c:pt idx="263">
                  <c:v>0.14779999999999999</c:v>
                </c:pt>
                <c:pt idx="264">
                  <c:v>0.14829999999999999</c:v>
                </c:pt>
                <c:pt idx="265">
                  <c:v>0.1489</c:v>
                </c:pt>
                <c:pt idx="266">
                  <c:v>0.14940000000000001</c:v>
                </c:pt>
                <c:pt idx="267">
                  <c:v>0.15</c:v>
                </c:pt>
                <c:pt idx="268">
                  <c:v>0.15049999999999999</c:v>
                </c:pt>
                <c:pt idx="269">
                  <c:v>0.15110000000000001</c:v>
                </c:pt>
                <c:pt idx="270">
                  <c:v>0.1517</c:v>
                </c:pt>
                <c:pt idx="271">
                  <c:v>0.1522</c:v>
                </c:pt>
                <c:pt idx="272">
                  <c:v>0.15279999999999999</c:v>
                </c:pt>
                <c:pt idx="273">
                  <c:v>0.15329999999999999</c:v>
                </c:pt>
                <c:pt idx="274">
                  <c:v>0.15390000000000001</c:v>
                </c:pt>
                <c:pt idx="275">
                  <c:v>0.15440000000000001</c:v>
                </c:pt>
                <c:pt idx="276">
                  <c:v>0.155</c:v>
                </c:pt>
                <c:pt idx="277">
                  <c:v>0.15559999999999999</c:v>
                </c:pt>
                <c:pt idx="278">
                  <c:v>0.15609999999999999</c:v>
                </c:pt>
                <c:pt idx="279">
                  <c:v>0.15670000000000001</c:v>
                </c:pt>
                <c:pt idx="280">
                  <c:v>0.15720000000000001</c:v>
                </c:pt>
                <c:pt idx="281">
                  <c:v>0.1578</c:v>
                </c:pt>
                <c:pt idx="282">
                  <c:v>0.15840000000000001</c:v>
                </c:pt>
                <c:pt idx="283">
                  <c:v>0.15890000000000001</c:v>
                </c:pt>
                <c:pt idx="284">
                  <c:v>0.1595</c:v>
                </c:pt>
                <c:pt idx="285">
                  <c:v>0.16</c:v>
                </c:pt>
                <c:pt idx="286">
                  <c:v>0.16059999999999999</c:v>
                </c:pt>
                <c:pt idx="287">
                  <c:v>0.16109999999999999</c:v>
                </c:pt>
                <c:pt idx="288">
                  <c:v>0.16170000000000001</c:v>
                </c:pt>
                <c:pt idx="289">
                  <c:v>0.1623</c:v>
                </c:pt>
                <c:pt idx="290">
                  <c:v>0.1628</c:v>
                </c:pt>
                <c:pt idx="291">
                  <c:v>0.16339999999999999</c:v>
                </c:pt>
                <c:pt idx="292">
                  <c:v>0.16389999999999999</c:v>
                </c:pt>
                <c:pt idx="293">
                  <c:v>0.16450000000000001</c:v>
                </c:pt>
                <c:pt idx="294">
                  <c:v>0.1651</c:v>
                </c:pt>
                <c:pt idx="295">
                  <c:v>0.1656</c:v>
                </c:pt>
                <c:pt idx="296">
                  <c:v>0.16619999999999999</c:v>
                </c:pt>
                <c:pt idx="297">
                  <c:v>0.16669999999999999</c:v>
                </c:pt>
                <c:pt idx="298">
                  <c:v>0.1673</c:v>
                </c:pt>
                <c:pt idx="299">
                  <c:v>0.1678</c:v>
                </c:pt>
                <c:pt idx="300">
                  <c:v>0.16839999999999999</c:v>
                </c:pt>
                <c:pt idx="301">
                  <c:v>0.16900000000000001</c:v>
                </c:pt>
                <c:pt idx="302">
                  <c:v>0.16950000000000001</c:v>
                </c:pt>
                <c:pt idx="303">
                  <c:v>0.1701</c:v>
                </c:pt>
                <c:pt idx="304">
                  <c:v>0.1706</c:v>
                </c:pt>
                <c:pt idx="305">
                  <c:v>0.17119999999999999</c:v>
                </c:pt>
                <c:pt idx="306">
                  <c:v>0.17169999999999999</c:v>
                </c:pt>
                <c:pt idx="307">
                  <c:v>0.17230000000000001</c:v>
                </c:pt>
                <c:pt idx="308">
                  <c:v>0.1729</c:v>
                </c:pt>
                <c:pt idx="309">
                  <c:v>0.1734</c:v>
                </c:pt>
                <c:pt idx="310">
                  <c:v>0.17399999999999999</c:v>
                </c:pt>
                <c:pt idx="311">
                  <c:v>0.17449999999999999</c:v>
                </c:pt>
                <c:pt idx="312">
                  <c:v>0.17510000000000001</c:v>
                </c:pt>
                <c:pt idx="313">
                  <c:v>0.1757</c:v>
                </c:pt>
                <c:pt idx="314">
                  <c:v>0.1762</c:v>
                </c:pt>
                <c:pt idx="315">
                  <c:v>0.17680000000000001</c:v>
                </c:pt>
                <c:pt idx="316">
                  <c:v>0.17730000000000001</c:v>
                </c:pt>
                <c:pt idx="317">
                  <c:v>0.1779</c:v>
                </c:pt>
                <c:pt idx="318">
                  <c:v>0.1784</c:v>
                </c:pt>
                <c:pt idx="319">
                  <c:v>0.17899999999999999</c:v>
                </c:pt>
                <c:pt idx="320">
                  <c:v>0.17960000000000001</c:v>
                </c:pt>
                <c:pt idx="321">
                  <c:v>0.18010000000000001</c:v>
                </c:pt>
                <c:pt idx="322">
                  <c:v>0.1807</c:v>
                </c:pt>
                <c:pt idx="323">
                  <c:v>0.1812</c:v>
                </c:pt>
                <c:pt idx="324">
                  <c:v>0.18179999999999999</c:v>
                </c:pt>
                <c:pt idx="325">
                  <c:v>0.18229999999999999</c:v>
                </c:pt>
                <c:pt idx="326">
                  <c:v>0.18290000000000001</c:v>
                </c:pt>
                <c:pt idx="327">
                  <c:v>0.1835</c:v>
                </c:pt>
                <c:pt idx="328">
                  <c:v>0.184</c:v>
                </c:pt>
                <c:pt idx="329">
                  <c:v>0.18459999999999999</c:v>
                </c:pt>
                <c:pt idx="330">
                  <c:v>0.18509999999999999</c:v>
                </c:pt>
                <c:pt idx="331">
                  <c:v>0.1857</c:v>
                </c:pt>
                <c:pt idx="332">
                  <c:v>0.18629999999999999</c:v>
                </c:pt>
                <c:pt idx="333">
                  <c:v>0.18679999999999999</c:v>
                </c:pt>
                <c:pt idx="334">
                  <c:v>0.18740000000000001</c:v>
                </c:pt>
                <c:pt idx="335">
                  <c:v>0.18790000000000001</c:v>
                </c:pt>
                <c:pt idx="336">
                  <c:v>0.1885</c:v>
                </c:pt>
                <c:pt idx="337">
                  <c:v>0.189</c:v>
                </c:pt>
                <c:pt idx="338">
                  <c:v>0.18959999999999999</c:v>
                </c:pt>
                <c:pt idx="339">
                  <c:v>0.19020000000000001</c:v>
                </c:pt>
                <c:pt idx="340">
                  <c:v>0.19070000000000001</c:v>
                </c:pt>
                <c:pt idx="341">
                  <c:v>0.1913</c:v>
                </c:pt>
                <c:pt idx="342">
                  <c:v>0.1918</c:v>
                </c:pt>
                <c:pt idx="343">
                  <c:v>0.19239999999999999</c:v>
                </c:pt>
                <c:pt idx="344">
                  <c:v>0.193</c:v>
                </c:pt>
                <c:pt idx="345">
                  <c:v>0.19350000000000001</c:v>
                </c:pt>
                <c:pt idx="346">
                  <c:v>0.19409999999999999</c:v>
                </c:pt>
                <c:pt idx="347">
                  <c:v>0.1946</c:v>
                </c:pt>
                <c:pt idx="348">
                  <c:v>0.19520000000000001</c:v>
                </c:pt>
                <c:pt idx="349">
                  <c:v>0.19570000000000001</c:v>
                </c:pt>
                <c:pt idx="350">
                  <c:v>0.1963</c:v>
                </c:pt>
                <c:pt idx="351">
                  <c:v>0.19689999999999999</c:v>
                </c:pt>
                <c:pt idx="352">
                  <c:v>0.19739999999999999</c:v>
                </c:pt>
                <c:pt idx="353">
                  <c:v>0.19800000000000001</c:v>
                </c:pt>
                <c:pt idx="354">
                  <c:v>0.19850000000000001</c:v>
                </c:pt>
                <c:pt idx="355">
                  <c:v>0.1991</c:v>
                </c:pt>
                <c:pt idx="356">
                  <c:v>0.1996</c:v>
                </c:pt>
                <c:pt idx="357">
                  <c:v>0.20019999999999999</c:v>
                </c:pt>
                <c:pt idx="358">
                  <c:v>0.20080000000000001</c:v>
                </c:pt>
                <c:pt idx="359">
                  <c:v>0.20130000000000001</c:v>
                </c:pt>
                <c:pt idx="360">
                  <c:v>0.2019</c:v>
                </c:pt>
                <c:pt idx="361">
                  <c:v>0.2024</c:v>
                </c:pt>
                <c:pt idx="362">
                  <c:v>0.20300000000000001</c:v>
                </c:pt>
                <c:pt idx="363">
                  <c:v>0.2036</c:v>
                </c:pt>
                <c:pt idx="364">
                  <c:v>0.2041</c:v>
                </c:pt>
                <c:pt idx="365">
                  <c:v>0.20469999999999999</c:v>
                </c:pt>
                <c:pt idx="366">
                  <c:v>0.20519999999999999</c:v>
                </c:pt>
                <c:pt idx="367">
                  <c:v>0.20580000000000001</c:v>
                </c:pt>
                <c:pt idx="368">
                  <c:v>0.20630000000000001</c:v>
                </c:pt>
                <c:pt idx="369">
                  <c:v>0.2069</c:v>
                </c:pt>
                <c:pt idx="370">
                  <c:v>0.20749999999999999</c:v>
                </c:pt>
                <c:pt idx="371">
                  <c:v>0.20799999999999999</c:v>
                </c:pt>
                <c:pt idx="372">
                  <c:v>0.20860000000000001</c:v>
                </c:pt>
                <c:pt idx="373">
                  <c:v>0.20910000000000001</c:v>
                </c:pt>
                <c:pt idx="374">
                  <c:v>0.2097</c:v>
                </c:pt>
                <c:pt idx="375">
                  <c:v>0.21029999999999999</c:v>
                </c:pt>
                <c:pt idx="376">
                  <c:v>0.21079999999999999</c:v>
                </c:pt>
                <c:pt idx="377">
                  <c:v>0.2114</c:v>
                </c:pt>
                <c:pt idx="378">
                  <c:v>0.21190000000000001</c:v>
                </c:pt>
                <c:pt idx="379">
                  <c:v>0.21249999999999999</c:v>
                </c:pt>
                <c:pt idx="380">
                  <c:v>0.21299999999999999</c:v>
                </c:pt>
                <c:pt idx="381">
                  <c:v>0.21360000000000001</c:v>
                </c:pt>
                <c:pt idx="382">
                  <c:v>0.2142</c:v>
                </c:pt>
                <c:pt idx="383">
                  <c:v>0.2147</c:v>
                </c:pt>
                <c:pt idx="384">
                  <c:v>0.21529999999999999</c:v>
                </c:pt>
                <c:pt idx="385">
                  <c:v>0.21579999999999999</c:v>
                </c:pt>
                <c:pt idx="386">
                  <c:v>0.21640000000000001</c:v>
                </c:pt>
                <c:pt idx="387">
                  <c:v>0.21690000000000001</c:v>
                </c:pt>
                <c:pt idx="388">
                  <c:v>0.2175</c:v>
                </c:pt>
                <c:pt idx="389">
                  <c:v>0.21809999999999999</c:v>
                </c:pt>
                <c:pt idx="390">
                  <c:v>0.21859999999999999</c:v>
                </c:pt>
                <c:pt idx="391">
                  <c:v>0.21920000000000001</c:v>
                </c:pt>
                <c:pt idx="392">
                  <c:v>0.21970000000000001</c:v>
                </c:pt>
                <c:pt idx="393">
                  <c:v>0.2203</c:v>
                </c:pt>
                <c:pt idx="394">
                  <c:v>0.22090000000000001</c:v>
                </c:pt>
                <c:pt idx="395">
                  <c:v>0.22140000000000001</c:v>
                </c:pt>
                <c:pt idx="396">
                  <c:v>0.222</c:v>
                </c:pt>
                <c:pt idx="397">
                  <c:v>0.2225</c:v>
                </c:pt>
                <c:pt idx="398">
                  <c:v>0.22309999999999999</c:v>
                </c:pt>
                <c:pt idx="399">
                  <c:v>0.22359999999999999</c:v>
                </c:pt>
                <c:pt idx="400">
                  <c:v>0.22420000000000001</c:v>
                </c:pt>
                <c:pt idx="401">
                  <c:v>0.2248</c:v>
                </c:pt>
                <c:pt idx="402">
                  <c:v>0.2253</c:v>
                </c:pt>
                <c:pt idx="403">
                  <c:v>0.22589999999999999</c:v>
                </c:pt>
                <c:pt idx="404">
                  <c:v>0.22639999999999999</c:v>
                </c:pt>
                <c:pt idx="405">
                  <c:v>0.22700000000000001</c:v>
                </c:pt>
                <c:pt idx="406">
                  <c:v>0.22750000000000001</c:v>
                </c:pt>
                <c:pt idx="407">
                  <c:v>0.2281</c:v>
                </c:pt>
                <c:pt idx="408">
                  <c:v>0.22869999999999999</c:v>
                </c:pt>
                <c:pt idx="409">
                  <c:v>0.22919999999999999</c:v>
                </c:pt>
                <c:pt idx="410">
                  <c:v>0.2298</c:v>
                </c:pt>
                <c:pt idx="411">
                  <c:v>0.2303</c:v>
                </c:pt>
                <c:pt idx="412">
                  <c:v>0.23089999999999999</c:v>
                </c:pt>
                <c:pt idx="413">
                  <c:v>0.23150000000000001</c:v>
                </c:pt>
                <c:pt idx="414">
                  <c:v>0.23200000000000001</c:v>
                </c:pt>
                <c:pt idx="415">
                  <c:v>0.2326</c:v>
                </c:pt>
                <c:pt idx="416">
                  <c:v>0.2331</c:v>
                </c:pt>
                <c:pt idx="417">
                  <c:v>0.23369999999999999</c:v>
                </c:pt>
                <c:pt idx="418">
                  <c:v>0.23419999999999999</c:v>
                </c:pt>
                <c:pt idx="419">
                  <c:v>0.23480000000000001</c:v>
                </c:pt>
                <c:pt idx="420">
                  <c:v>0.2354</c:v>
                </c:pt>
                <c:pt idx="421">
                  <c:v>0.2359</c:v>
                </c:pt>
                <c:pt idx="422">
                  <c:v>0.23649999999999999</c:v>
                </c:pt>
                <c:pt idx="423">
                  <c:v>0.23699999999999999</c:v>
                </c:pt>
                <c:pt idx="424">
                  <c:v>0.23760000000000001</c:v>
                </c:pt>
                <c:pt idx="425">
                  <c:v>0.2382</c:v>
                </c:pt>
                <c:pt idx="426">
                  <c:v>0.2387</c:v>
                </c:pt>
                <c:pt idx="427">
                  <c:v>0.23930000000000001</c:v>
                </c:pt>
                <c:pt idx="428">
                  <c:v>0.23980000000000001</c:v>
                </c:pt>
                <c:pt idx="429">
                  <c:v>0.2404</c:v>
                </c:pt>
                <c:pt idx="430">
                  <c:v>0.2409</c:v>
                </c:pt>
                <c:pt idx="431">
                  <c:v>0.24149999999999999</c:v>
                </c:pt>
                <c:pt idx="432">
                  <c:v>0.24210000000000001</c:v>
                </c:pt>
                <c:pt idx="433">
                  <c:v>0.24260000000000001</c:v>
                </c:pt>
                <c:pt idx="434">
                  <c:v>0.2432</c:v>
                </c:pt>
                <c:pt idx="435">
                  <c:v>0.2437</c:v>
                </c:pt>
                <c:pt idx="436">
                  <c:v>0.24429999999999999</c:v>
                </c:pt>
                <c:pt idx="437">
                  <c:v>0.24479999999999999</c:v>
                </c:pt>
                <c:pt idx="438">
                  <c:v>0.24540000000000001</c:v>
                </c:pt>
                <c:pt idx="439">
                  <c:v>0.246</c:v>
                </c:pt>
                <c:pt idx="440">
                  <c:v>0.2465</c:v>
                </c:pt>
                <c:pt idx="441">
                  <c:v>0.24709999999999999</c:v>
                </c:pt>
                <c:pt idx="442">
                  <c:v>0.24759999999999999</c:v>
                </c:pt>
                <c:pt idx="443">
                  <c:v>0.2482</c:v>
                </c:pt>
                <c:pt idx="444">
                  <c:v>0.24879999999999999</c:v>
                </c:pt>
                <c:pt idx="445">
                  <c:v>0.24929999999999999</c:v>
                </c:pt>
                <c:pt idx="446">
                  <c:v>0.24990000000000001</c:v>
                </c:pt>
                <c:pt idx="447">
                  <c:v>0.25040000000000001</c:v>
                </c:pt>
                <c:pt idx="448">
                  <c:v>0.251</c:v>
                </c:pt>
                <c:pt idx="449">
                  <c:v>0.2515</c:v>
                </c:pt>
                <c:pt idx="450">
                  <c:v>0.25209999999999999</c:v>
                </c:pt>
                <c:pt idx="451">
                  <c:v>0.25269999999999998</c:v>
                </c:pt>
                <c:pt idx="452">
                  <c:v>0.25319999999999998</c:v>
                </c:pt>
                <c:pt idx="453">
                  <c:v>0.25380000000000003</c:v>
                </c:pt>
                <c:pt idx="454">
                  <c:v>0.25430000000000003</c:v>
                </c:pt>
                <c:pt idx="455">
                  <c:v>0.25490000000000002</c:v>
                </c:pt>
                <c:pt idx="456">
                  <c:v>0.25540000000000002</c:v>
                </c:pt>
                <c:pt idx="457">
                  <c:v>0.25600000000000001</c:v>
                </c:pt>
                <c:pt idx="458">
                  <c:v>0.25659999999999999</c:v>
                </c:pt>
                <c:pt idx="459">
                  <c:v>0.2571</c:v>
                </c:pt>
                <c:pt idx="460">
                  <c:v>0.25769999999999998</c:v>
                </c:pt>
                <c:pt idx="461">
                  <c:v>0.25819999999999999</c:v>
                </c:pt>
                <c:pt idx="462">
                  <c:v>0.25879999999999997</c:v>
                </c:pt>
                <c:pt idx="463">
                  <c:v>0.25940000000000002</c:v>
                </c:pt>
                <c:pt idx="464">
                  <c:v>0.25990000000000002</c:v>
                </c:pt>
                <c:pt idx="465">
                  <c:v>0.26050000000000001</c:v>
                </c:pt>
                <c:pt idx="466">
                  <c:v>0.26100000000000001</c:v>
                </c:pt>
                <c:pt idx="467">
                  <c:v>0.2616</c:v>
                </c:pt>
                <c:pt idx="468">
                  <c:v>0.2621</c:v>
                </c:pt>
                <c:pt idx="469">
                  <c:v>0.26269999999999999</c:v>
                </c:pt>
                <c:pt idx="470">
                  <c:v>0.26329999999999998</c:v>
                </c:pt>
                <c:pt idx="471">
                  <c:v>0.26379999999999998</c:v>
                </c:pt>
                <c:pt idx="472">
                  <c:v>0.26440000000000002</c:v>
                </c:pt>
                <c:pt idx="473">
                  <c:v>0.26490000000000002</c:v>
                </c:pt>
                <c:pt idx="474">
                  <c:v>0.26550000000000001</c:v>
                </c:pt>
                <c:pt idx="475">
                  <c:v>0.2661</c:v>
                </c:pt>
                <c:pt idx="476">
                  <c:v>0.2666</c:v>
                </c:pt>
                <c:pt idx="477">
                  <c:v>0.26719999999999999</c:v>
                </c:pt>
                <c:pt idx="478">
                  <c:v>0.26769999999999999</c:v>
                </c:pt>
                <c:pt idx="479">
                  <c:v>0.26829999999999998</c:v>
                </c:pt>
                <c:pt idx="480">
                  <c:v>0.26879999999999998</c:v>
                </c:pt>
                <c:pt idx="481">
                  <c:v>0.26939999999999997</c:v>
                </c:pt>
                <c:pt idx="482">
                  <c:v>0.27</c:v>
                </c:pt>
                <c:pt idx="483">
                  <c:v>0.27050000000000002</c:v>
                </c:pt>
                <c:pt idx="484">
                  <c:v>0.27110000000000001</c:v>
                </c:pt>
                <c:pt idx="485">
                  <c:v>0.27160000000000001</c:v>
                </c:pt>
                <c:pt idx="486">
                  <c:v>0.2722</c:v>
                </c:pt>
                <c:pt idx="487">
                  <c:v>0.2727</c:v>
                </c:pt>
                <c:pt idx="488">
                  <c:v>0.27329999999999999</c:v>
                </c:pt>
                <c:pt idx="489">
                  <c:v>0.27389999999999998</c:v>
                </c:pt>
                <c:pt idx="490">
                  <c:v>0.27439999999999998</c:v>
                </c:pt>
                <c:pt idx="491">
                  <c:v>0.27500000000000002</c:v>
                </c:pt>
                <c:pt idx="492">
                  <c:v>0.27550000000000002</c:v>
                </c:pt>
                <c:pt idx="493">
                  <c:v>0.27610000000000001</c:v>
                </c:pt>
                <c:pt idx="494">
                  <c:v>0.2767</c:v>
                </c:pt>
                <c:pt idx="495">
                  <c:v>0.2772</c:v>
                </c:pt>
                <c:pt idx="496">
                  <c:v>0.27779999999999999</c:v>
                </c:pt>
                <c:pt idx="497">
                  <c:v>0.27829999999999999</c:v>
                </c:pt>
                <c:pt idx="498">
                  <c:v>0.27889999999999998</c:v>
                </c:pt>
                <c:pt idx="499">
                  <c:v>0.27939999999999998</c:v>
                </c:pt>
                <c:pt idx="500">
                  <c:v>0.28000000000000003</c:v>
                </c:pt>
              </c:numCache>
            </c:numRef>
          </c:xVal>
          <c:yVal>
            <c:numRef>
              <c:f>snl!$104:$104</c:f>
              <c:numCache>
                <c:formatCode>General</c:formatCode>
                <c:ptCount val="16384"/>
                <c:pt idx="0">
                  <c:v>1.379829</c:v>
                </c:pt>
                <c:pt idx="1">
                  <c:v>1.4267510000000001</c:v>
                </c:pt>
                <c:pt idx="2">
                  <c:v>1.4476770000000001</c:v>
                </c:pt>
                <c:pt idx="3">
                  <c:v>1.4657469999999999</c:v>
                </c:pt>
                <c:pt idx="4">
                  <c:v>1.47722</c:v>
                </c:pt>
                <c:pt idx="5">
                  <c:v>1.4889520000000001</c:v>
                </c:pt>
                <c:pt idx="6">
                  <c:v>1.4989239999999999</c:v>
                </c:pt>
                <c:pt idx="7">
                  <c:v>1.5076309999999999</c:v>
                </c:pt>
                <c:pt idx="8">
                  <c:v>1.5141830000000001</c:v>
                </c:pt>
                <c:pt idx="9">
                  <c:v>1.5218259999999999</c:v>
                </c:pt>
                <c:pt idx="10">
                  <c:v>1.527525</c:v>
                </c:pt>
                <c:pt idx="11">
                  <c:v>1.5332589999999999</c:v>
                </c:pt>
                <c:pt idx="12">
                  <c:v>1.5381400000000001</c:v>
                </c:pt>
                <c:pt idx="13">
                  <c:v>1.5433859999999999</c:v>
                </c:pt>
                <c:pt idx="14">
                  <c:v>1.5474589999999999</c:v>
                </c:pt>
                <c:pt idx="15">
                  <c:v>1.551801</c:v>
                </c:pt>
                <c:pt idx="16">
                  <c:v>1.5553140000000001</c:v>
                </c:pt>
                <c:pt idx="17">
                  <c:v>1.559355</c:v>
                </c:pt>
                <c:pt idx="18">
                  <c:v>1.5625070000000001</c:v>
                </c:pt>
                <c:pt idx="19">
                  <c:v>1.5661670000000001</c:v>
                </c:pt>
                <c:pt idx="20">
                  <c:v>1.5691949999999999</c:v>
                </c:pt>
                <c:pt idx="21">
                  <c:v>1.572568</c:v>
                </c:pt>
                <c:pt idx="22">
                  <c:v>1.575501</c:v>
                </c:pt>
                <c:pt idx="23">
                  <c:v>1.578759</c:v>
                </c:pt>
                <c:pt idx="24">
                  <c:v>1.581553</c:v>
                </c:pt>
                <c:pt idx="25">
                  <c:v>1.5848070000000001</c:v>
                </c:pt>
                <c:pt idx="26">
                  <c:v>1.5873299999999999</c:v>
                </c:pt>
                <c:pt idx="27">
                  <c:v>1.5902149999999999</c:v>
                </c:pt>
                <c:pt idx="28">
                  <c:v>1.592557</c:v>
                </c:pt>
                <c:pt idx="29">
                  <c:v>1.595415</c:v>
                </c:pt>
                <c:pt idx="30">
                  <c:v>1.5978349999999999</c:v>
                </c:pt>
                <c:pt idx="31">
                  <c:v>1.6004160000000001</c:v>
                </c:pt>
                <c:pt idx="32">
                  <c:v>1.6026309999999999</c:v>
                </c:pt>
                <c:pt idx="33">
                  <c:v>1.6053329999999999</c:v>
                </c:pt>
                <c:pt idx="34">
                  <c:v>1.6074630000000001</c:v>
                </c:pt>
                <c:pt idx="35">
                  <c:v>1.6100030000000001</c:v>
                </c:pt>
                <c:pt idx="36">
                  <c:v>1.6121479999999999</c:v>
                </c:pt>
                <c:pt idx="37">
                  <c:v>1.6145890000000001</c:v>
                </c:pt>
                <c:pt idx="38">
                  <c:v>1.6165780000000001</c:v>
                </c:pt>
                <c:pt idx="39">
                  <c:v>1.6189560000000001</c:v>
                </c:pt>
                <c:pt idx="40">
                  <c:v>1.6210039999999999</c:v>
                </c:pt>
                <c:pt idx="41">
                  <c:v>1.623448</c:v>
                </c:pt>
                <c:pt idx="42">
                  <c:v>1.62534</c:v>
                </c:pt>
                <c:pt idx="43">
                  <c:v>1.6276539999999999</c:v>
                </c:pt>
                <c:pt idx="44">
                  <c:v>1.6295299999999999</c:v>
                </c:pt>
                <c:pt idx="45">
                  <c:v>1.6317820000000001</c:v>
                </c:pt>
                <c:pt idx="46">
                  <c:v>1.6336010000000001</c:v>
                </c:pt>
                <c:pt idx="47">
                  <c:v>1.635696</c:v>
                </c:pt>
                <c:pt idx="48">
                  <c:v>1.6374550000000001</c:v>
                </c:pt>
                <c:pt idx="49">
                  <c:v>1.639605</c:v>
                </c:pt>
                <c:pt idx="50">
                  <c:v>1.64134</c:v>
                </c:pt>
                <c:pt idx="51">
                  <c:v>1.643357</c:v>
                </c:pt>
                <c:pt idx="52">
                  <c:v>1.6450499999999999</c:v>
                </c:pt>
                <c:pt idx="53">
                  <c:v>1.6471439999999999</c:v>
                </c:pt>
                <c:pt idx="54">
                  <c:v>1.648852</c:v>
                </c:pt>
                <c:pt idx="55">
                  <c:v>1.650806</c:v>
                </c:pt>
                <c:pt idx="56">
                  <c:v>1.652431</c:v>
                </c:pt>
                <c:pt idx="57">
                  <c:v>1.654433</c:v>
                </c:pt>
                <c:pt idx="58">
                  <c:v>1.655993</c:v>
                </c:pt>
                <c:pt idx="59">
                  <c:v>1.657918</c:v>
                </c:pt>
                <c:pt idx="60">
                  <c:v>1.65951</c:v>
                </c:pt>
                <c:pt idx="61">
                  <c:v>1.6613960000000001</c:v>
                </c:pt>
                <c:pt idx="62">
                  <c:v>1.663071</c:v>
                </c:pt>
                <c:pt idx="63">
                  <c:v>1.664941</c:v>
                </c:pt>
                <c:pt idx="64">
                  <c:v>1.666539</c:v>
                </c:pt>
                <c:pt idx="65">
                  <c:v>1.6684730000000001</c:v>
                </c:pt>
                <c:pt idx="66">
                  <c:v>1.6700280000000001</c:v>
                </c:pt>
                <c:pt idx="67">
                  <c:v>1.6718550000000001</c:v>
                </c:pt>
                <c:pt idx="68">
                  <c:v>1.673384</c:v>
                </c:pt>
                <c:pt idx="69">
                  <c:v>1.6751769999999999</c:v>
                </c:pt>
                <c:pt idx="70">
                  <c:v>1.676641</c:v>
                </c:pt>
                <c:pt idx="71">
                  <c:v>1.678388</c:v>
                </c:pt>
                <c:pt idx="72">
                  <c:v>1.6798299999999999</c:v>
                </c:pt>
                <c:pt idx="73">
                  <c:v>1.6815979999999999</c:v>
                </c:pt>
                <c:pt idx="74">
                  <c:v>1.6830099999999999</c:v>
                </c:pt>
                <c:pt idx="75">
                  <c:v>1.684715</c:v>
                </c:pt>
                <c:pt idx="76">
                  <c:v>1.6860710000000001</c:v>
                </c:pt>
                <c:pt idx="77">
                  <c:v>1.687819</c:v>
                </c:pt>
                <c:pt idx="78">
                  <c:v>1.6892670000000001</c:v>
                </c:pt>
                <c:pt idx="79">
                  <c:v>1.690849</c:v>
                </c:pt>
                <c:pt idx="80">
                  <c:v>1.6922159999999999</c:v>
                </c:pt>
                <c:pt idx="81">
                  <c:v>1.69394</c:v>
                </c:pt>
                <c:pt idx="82">
                  <c:v>1.695208</c:v>
                </c:pt>
                <c:pt idx="83">
                  <c:v>1.696869</c:v>
                </c:pt>
                <c:pt idx="84">
                  <c:v>1.698259</c:v>
                </c:pt>
                <c:pt idx="85">
                  <c:v>1.69983</c:v>
                </c:pt>
                <c:pt idx="86">
                  <c:v>1.7012020000000001</c:v>
                </c:pt>
                <c:pt idx="87">
                  <c:v>1.7028220000000001</c:v>
                </c:pt>
                <c:pt idx="88">
                  <c:v>1.7041599999999999</c:v>
                </c:pt>
                <c:pt idx="89">
                  <c:v>1.7057549999999999</c:v>
                </c:pt>
                <c:pt idx="90">
                  <c:v>1.7070449999999999</c:v>
                </c:pt>
                <c:pt idx="91">
                  <c:v>1.708664</c:v>
                </c:pt>
                <c:pt idx="92">
                  <c:v>1.7099329999999999</c:v>
                </c:pt>
                <c:pt idx="93">
                  <c:v>1.711535</c:v>
                </c:pt>
                <c:pt idx="94">
                  <c:v>1.7129829999999999</c:v>
                </c:pt>
                <c:pt idx="95">
                  <c:v>1.714518</c:v>
                </c:pt>
                <c:pt idx="96">
                  <c:v>1.7157249999999999</c:v>
                </c:pt>
                <c:pt idx="97">
                  <c:v>1.7174689999999999</c:v>
                </c:pt>
                <c:pt idx="98">
                  <c:v>1.7186129999999999</c:v>
                </c:pt>
                <c:pt idx="99">
                  <c:v>1.720064</c:v>
                </c:pt>
                <c:pt idx="100">
                  <c:v>1.7209300000000001</c:v>
                </c:pt>
                <c:pt idx="101">
                  <c:v>1.721787</c:v>
                </c:pt>
                <c:pt idx="102">
                  <c:v>1.7223299999999999</c:v>
                </c:pt>
                <c:pt idx="103">
                  <c:v>1.7229920000000001</c:v>
                </c:pt>
                <c:pt idx="104">
                  <c:v>1.723703</c:v>
                </c:pt>
                <c:pt idx="105">
                  <c:v>1.724672</c:v>
                </c:pt>
                <c:pt idx="106">
                  <c:v>1.7253890000000001</c:v>
                </c:pt>
                <c:pt idx="107">
                  <c:v>1.726415</c:v>
                </c:pt>
                <c:pt idx="108">
                  <c:v>1.727204</c:v>
                </c:pt>
                <c:pt idx="109">
                  <c:v>1.7282299999999999</c:v>
                </c:pt>
                <c:pt idx="110">
                  <c:v>1.729106</c:v>
                </c:pt>
                <c:pt idx="111">
                  <c:v>1.7300599999999999</c:v>
                </c:pt>
                <c:pt idx="112">
                  <c:v>1.7308760000000001</c:v>
                </c:pt>
                <c:pt idx="113">
                  <c:v>1.731981</c:v>
                </c:pt>
                <c:pt idx="114">
                  <c:v>1.7328509999999999</c:v>
                </c:pt>
                <c:pt idx="115">
                  <c:v>1.733868</c:v>
                </c:pt>
                <c:pt idx="116">
                  <c:v>1.7347360000000001</c:v>
                </c:pt>
                <c:pt idx="117">
                  <c:v>1.7357720000000001</c:v>
                </c:pt>
                <c:pt idx="118">
                  <c:v>1.736621</c:v>
                </c:pt>
                <c:pt idx="119">
                  <c:v>1.7376849999999999</c:v>
                </c:pt>
                <c:pt idx="120">
                  <c:v>1.738499</c:v>
                </c:pt>
                <c:pt idx="121">
                  <c:v>1.739695</c:v>
                </c:pt>
                <c:pt idx="122">
                  <c:v>1.7404999999999999</c:v>
                </c:pt>
                <c:pt idx="123">
                  <c:v>1.7416</c:v>
                </c:pt>
                <c:pt idx="124">
                  <c:v>1.742407</c:v>
                </c:pt>
                <c:pt idx="125">
                  <c:v>1.7434499999999999</c:v>
                </c:pt>
                <c:pt idx="126">
                  <c:v>1.7443770000000001</c:v>
                </c:pt>
                <c:pt idx="127">
                  <c:v>1.745387</c:v>
                </c:pt>
                <c:pt idx="128">
                  <c:v>1.7462819999999999</c:v>
                </c:pt>
                <c:pt idx="129">
                  <c:v>1.7472270000000001</c:v>
                </c:pt>
                <c:pt idx="130">
                  <c:v>1.74824</c:v>
                </c:pt>
                <c:pt idx="131">
                  <c:v>1.7493840000000001</c:v>
                </c:pt>
                <c:pt idx="132">
                  <c:v>1.750291</c:v>
                </c:pt>
                <c:pt idx="133">
                  <c:v>1.751314</c:v>
                </c:pt>
                <c:pt idx="134">
                  <c:v>1.752432</c:v>
                </c:pt>
                <c:pt idx="135">
                  <c:v>1.753396</c:v>
                </c:pt>
                <c:pt idx="136">
                  <c:v>1.75451</c:v>
                </c:pt>
                <c:pt idx="137">
                  <c:v>1.7554650000000001</c:v>
                </c:pt>
                <c:pt idx="138">
                  <c:v>1.7565869999999999</c:v>
                </c:pt>
                <c:pt idx="139">
                  <c:v>1.7575339999999999</c:v>
                </c:pt>
                <c:pt idx="140">
                  <c:v>1.758499</c:v>
                </c:pt>
                <c:pt idx="141">
                  <c:v>1.7594799999999999</c:v>
                </c:pt>
                <c:pt idx="142">
                  <c:v>1.760499</c:v>
                </c:pt>
                <c:pt idx="143">
                  <c:v>1.761409</c:v>
                </c:pt>
                <c:pt idx="144">
                  <c:v>1.762381</c:v>
                </c:pt>
                <c:pt idx="145">
                  <c:v>1.7632680000000001</c:v>
                </c:pt>
                <c:pt idx="146">
                  <c:v>1.7643150000000001</c:v>
                </c:pt>
                <c:pt idx="147">
                  <c:v>1.7652330000000001</c:v>
                </c:pt>
                <c:pt idx="148">
                  <c:v>1.7662009999999999</c:v>
                </c:pt>
                <c:pt idx="149">
                  <c:v>1.767115</c:v>
                </c:pt>
                <c:pt idx="150">
                  <c:v>1.768146</c:v>
                </c:pt>
                <c:pt idx="151">
                  <c:v>1.7690900000000001</c:v>
                </c:pt>
                <c:pt idx="152">
                  <c:v>1.770089</c:v>
                </c:pt>
                <c:pt idx="153">
                  <c:v>1.771053</c:v>
                </c:pt>
                <c:pt idx="154">
                  <c:v>1.772065</c:v>
                </c:pt>
                <c:pt idx="155">
                  <c:v>1.7730239999999999</c:v>
                </c:pt>
                <c:pt idx="156">
                  <c:v>1.7740119999999999</c:v>
                </c:pt>
                <c:pt idx="157">
                  <c:v>1.7749109999999999</c:v>
                </c:pt>
                <c:pt idx="158">
                  <c:v>1.775908</c:v>
                </c:pt>
                <c:pt idx="159">
                  <c:v>1.776845</c:v>
                </c:pt>
                <c:pt idx="160">
                  <c:v>1.7778240000000001</c:v>
                </c:pt>
                <c:pt idx="161">
                  <c:v>1.778769</c:v>
                </c:pt>
                <c:pt idx="162">
                  <c:v>1.7798080000000001</c:v>
                </c:pt>
                <c:pt idx="163">
                  <c:v>1.7807580000000001</c:v>
                </c:pt>
                <c:pt idx="164">
                  <c:v>1.7817210000000001</c:v>
                </c:pt>
                <c:pt idx="165">
                  <c:v>1.782654</c:v>
                </c:pt>
                <c:pt idx="166">
                  <c:v>1.783701</c:v>
                </c:pt>
                <c:pt idx="167">
                  <c:v>1.784589</c:v>
                </c:pt>
                <c:pt idx="168">
                  <c:v>1.7855989999999999</c:v>
                </c:pt>
                <c:pt idx="169">
                  <c:v>1.7865279999999999</c:v>
                </c:pt>
                <c:pt idx="170">
                  <c:v>1.7875319999999999</c:v>
                </c:pt>
                <c:pt idx="171">
                  <c:v>1.788527</c:v>
                </c:pt>
                <c:pt idx="172">
                  <c:v>1.789504</c:v>
                </c:pt>
                <c:pt idx="173">
                  <c:v>1.790459</c:v>
                </c:pt>
                <c:pt idx="174">
                  <c:v>1.791477</c:v>
                </c:pt>
                <c:pt idx="175">
                  <c:v>1.79244</c:v>
                </c:pt>
                <c:pt idx="176">
                  <c:v>1.793428</c:v>
                </c:pt>
                <c:pt idx="177">
                  <c:v>1.7944119999999999</c:v>
                </c:pt>
                <c:pt idx="178">
                  <c:v>1.7955350000000001</c:v>
                </c:pt>
                <c:pt idx="179">
                  <c:v>1.7965359999999999</c:v>
                </c:pt>
                <c:pt idx="180">
                  <c:v>1.7975410000000001</c:v>
                </c:pt>
                <c:pt idx="181">
                  <c:v>1.798486</c:v>
                </c:pt>
                <c:pt idx="182">
                  <c:v>1.799579</c:v>
                </c:pt>
                <c:pt idx="183">
                  <c:v>1.800508</c:v>
                </c:pt>
                <c:pt idx="184">
                  <c:v>1.80158</c:v>
                </c:pt>
                <c:pt idx="185">
                  <c:v>1.8026489999999999</c:v>
                </c:pt>
                <c:pt idx="186">
                  <c:v>1.803552</c:v>
                </c:pt>
                <c:pt idx="187">
                  <c:v>1.804487</c:v>
                </c:pt>
                <c:pt idx="188">
                  <c:v>1.805447</c:v>
                </c:pt>
                <c:pt idx="189">
                  <c:v>1.8063560000000001</c:v>
                </c:pt>
                <c:pt idx="190">
                  <c:v>1.8074300000000001</c:v>
                </c:pt>
                <c:pt idx="191">
                  <c:v>1.8083309999999999</c:v>
                </c:pt>
                <c:pt idx="192">
                  <c:v>1.809342</c:v>
                </c:pt>
                <c:pt idx="193">
                  <c:v>1.810249</c:v>
                </c:pt>
                <c:pt idx="194">
                  <c:v>1.8111649999999999</c:v>
                </c:pt>
                <c:pt idx="195">
                  <c:v>1.8122</c:v>
                </c:pt>
                <c:pt idx="196">
                  <c:v>1.8131280000000001</c:v>
                </c:pt>
                <c:pt idx="197">
                  <c:v>1.8139890000000001</c:v>
                </c:pt>
                <c:pt idx="198">
                  <c:v>1.8150740000000001</c:v>
                </c:pt>
                <c:pt idx="199">
                  <c:v>1.8159320000000001</c:v>
                </c:pt>
                <c:pt idx="200">
                  <c:v>1.816967</c:v>
                </c:pt>
                <c:pt idx="201">
                  <c:v>1.817828</c:v>
                </c:pt>
                <c:pt idx="202">
                  <c:v>1.818865</c:v>
                </c:pt>
                <c:pt idx="203">
                  <c:v>1.819733</c:v>
                </c:pt>
                <c:pt idx="204">
                  <c:v>1.820724</c:v>
                </c:pt>
                <c:pt idx="205">
                  <c:v>1.821698</c:v>
                </c:pt>
                <c:pt idx="206">
                  <c:v>1.8226290000000001</c:v>
                </c:pt>
                <c:pt idx="207">
                  <c:v>1.8235939999999999</c:v>
                </c:pt>
                <c:pt idx="208">
                  <c:v>1.8245260000000001</c:v>
                </c:pt>
                <c:pt idx="209">
                  <c:v>1.8254859999999999</c:v>
                </c:pt>
                <c:pt idx="210">
                  <c:v>1.826506</c:v>
                </c:pt>
                <c:pt idx="211">
                  <c:v>1.8274410000000001</c:v>
                </c:pt>
                <c:pt idx="212">
                  <c:v>1.8284320000000001</c:v>
                </c:pt>
                <c:pt idx="213">
                  <c:v>1.829329</c:v>
                </c:pt>
                <c:pt idx="214">
                  <c:v>1.830311</c:v>
                </c:pt>
                <c:pt idx="215">
                  <c:v>1.8312090000000001</c:v>
                </c:pt>
                <c:pt idx="216">
                  <c:v>1.832222</c:v>
                </c:pt>
                <c:pt idx="217">
                  <c:v>1.833135</c:v>
                </c:pt>
                <c:pt idx="218">
                  <c:v>1.83413</c:v>
                </c:pt>
                <c:pt idx="219">
                  <c:v>1.835081</c:v>
                </c:pt>
                <c:pt idx="220">
                  <c:v>1.836112</c:v>
                </c:pt>
                <c:pt idx="221">
                  <c:v>1.836983</c:v>
                </c:pt>
                <c:pt idx="222">
                  <c:v>1.8381670000000001</c:v>
                </c:pt>
                <c:pt idx="223">
                  <c:v>1.8391109999999999</c:v>
                </c:pt>
                <c:pt idx="224">
                  <c:v>1.8401419999999999</c:v>
                </c:pt>
                <c:pt idx="225">
                  <c:v>1.8411299999999999</c:v>
                </c:pt>
                <c:pt idx="226">
                  <c:v>1.8421460000000001</c:v>
                </c:pt>
                <c:pt idx="227">
                  <c:v>1.8432269999999999</c:v>
                </c:pt>
                <c:pt idx="228">
                  <c:v>1.8441449999999999</c:v>
                </c:pt>
                <c:pt idx="229">
                  <c:v>1.845108</c:v>
                </c:pt>
                <c:pt idx="230">
                  <c:v>1.8461380000000001</c:v>
                </c:pt>
                <c:pt idx="231">
                  <c:v>1.8470299999999999</c:v>
                </c:pt>
                <c:pt idx="232">
                  <c:v>1.848004</c:v>
                </c:pt>
                <c:pt idx="233">
                  <c:v>1.848857</c:v>
                </c:pt>
                <c:pt idx="234">
                  <c:v>1.8498589999999999</c:v>
                </c:pt>
                <c:pt idx="235">
                  <c:v>1.8507560000000001</c:v>
                </c:pt>
                <c:pt idx="236">
                  <c:v>1.8517479999999999</c:v>
                </c:pt>
                <c:pt idx="237">
                  <c:v>1.852644</c:v>
                </c:pt>
                <c:pt idx="238">
                  <c:v>1.853604</c:v>
                </c:pt>
                <c:pt idx="239">
                  <c:v>1.8545659999999999</c:v>
                </c:pt>
                <c:pt idx="240">
                  <c:v>1.855477</c:v>
                </c:pt>
                <c:pt idx="241">
                  <c:v>1.856428</c:v>
                </c:pt>
                <c:pt idx="242">
                  <c:v>1.8574980000000001</c:v>
                </c:pt>
                <c:pt idx="243">
                  <c:v>1.858309</c:v>
                </c:pt>
                <c:pt idx="244">
                  <c:v>1.8592580000000001</c:v>
                </c:pt>
                <c:pt idx="245">
                  <c:v>1.8601129999999999</c:v>
                </c:pt>
                <c:pt idx="246">
                  <c:v>1.8611340000000001</c:v>
                </c:pt>
                <c:pt idx="247">
                  <c:v>1.8621110000000001</c:v>
                </c:pt>
                <c:pt idx="248">
                  <c:v>1.8629830000000001</c:v>
                </c:pt>
                <c:pt idx="249">
                  <c:v>1.8639300000000001</c:v>
                </c:pt>
                <c:pt idx="250">
                  <c:v>1.8649579999999999</c:v>
                </c:pt>
                <c:pt idx="251">
                  <c:v>1.8657790000000001</c:v>
                </c:pt>
                <c:pt idx="252">
                  <c:v>1.8668469999999999</c:v>
                </c:pt>
                <c:pt idx="253">
                  <c:v>1.867702</c:v>
                </c:pt>
                <c:pt idx="254">
                  <c:v>1.868679</c:v>
                </c:pt>
                <c:pt idx="255">
                  <c:v>1.8695409999999999</c:v>
                </c:pt>
                <c:pt idx="256">
                  <c:v>1.870441</c:v>
                </c:pt>
                <c:pt idx="257">
                  <c:v>1.8714120000000001</c:v>
                </c:pt>
                <c:pt idx="258">
                  <c:v>1.8723320000000001</c:v>
                </c:pt>
                <c:pt idx="259">
                  <c:v>1.8733230000000001</c:v>
                </c:pt>
                <c:pt idx="260">
                  <c:v>1.874228</c:v>
                </c:pt>
                <c:pt idx="261">
                  <c:v>1.8751660000000001</c:v>
                </c:pt>
                <c:pt idx="262">
                  <c:v>1.8761399999999999</c:v>
                </c:pt>
                <c:pt idx="263">
                  <c:v>1.876987</c:v>
                </c:pt>
                <c:pt idx="264">
                  <c:v>1.8779870000000001</c:v>
                </c:pt>
                <c:pt idx="265">
                  <c:v>1.8789579999999999</c:v>
                </c:pt>
                <c:pt idx="266">
                  <c:v>1.8799349999999999</c:v>
                </c:pt>
                <c:pt idx="267">
                  <c:v>1.8808849999999999</c:v>
                </c:pt>
                <c:pt idx="268">
                  <c:v>1.8818889999999999</c:v>
                </c:pt>
                <c:pt idx="269">
                  <c:v>1.8827879999999999</c:v>
                </c:pt>
                <c:pt idx="270">
                  <c:v>1.883842</c:v>
                </c:pt>
                <c:pt idx="271">
                  <c:v>1.884738</c:v>
                </c:pt>
                <c:pt idx="272">
                  <c:v>1.885839</c:v>
                </c:pt>
                <c:pt idx="273">
                  <c:v>1.8867449999999999</c:v>
                </c:pt>
                <c:pt idx="274">
                  <c:v>1.8876930000000001</c:v>
                </c:pt>
                <c:pt idx="275">
                  <c:v>1.888639</c:v>
                </c:pt>
                <c:pt idx="276">
                  <c:v>1.889502</c:v>
                </c:pt>
                <c:pt idx="277">
                  <c:v>1.8904240000000001</c:v>
                </c:pt>
                <c:pt idx="278">
                  <c:v>1.8914070000000001</c:v>
                </c:pt>
                <c:pt idx="279">
                  <c:v>1.8922950000000001</c:v>
                </c:pt>
                <c:pt idx="280">
                  <c:v>1.893313</c:v>
                </c:pt>
                <c:pt idx="281">
                  <c:v>1.894158</c:v>
                </c:pt>
                <c:pt idx="282">
                  <c:v>1.8950959999999999</c:v>
                </c:pt>
                <c:pt idx="283">
                  <c:v>1.896026</c:v>
                </c:pt>
                <c:pt idx="284">
                  <c:v>1.8969180000000001</c:v>
                </c:pt>
                <c:pt idx="285">
                  <c:v>1.897796</c:v>
                </c:pt>
                <c:pt idx="286">
                  <c:v>1.8988309999999999</c:v>
                </c:pt>
                <c:pt idx="287">
                  <c:v>1.8996740000000001</c:v>
                </c:pt>
                <c:pt idx="288">
                  <c:v>1.9006240000000001</c:v>
                </c:pt>
                <c:pt idx="289">
                  <c:v>1.9015249999999999</c:v>
                </c:pt>
                <c:pt idx="290">
                  <c:v>1.9024719999999999</c:v>
                </c:pt>
                <c:pt idx="291">
                  <c:v>1.9034059999999999</c:v>
                </c:pt>
                <c:pt idx="292">
                  <c:v>1.90428</c:v>
                </c:pt>
                <c:pt idx="293">
                  <c:v>1.9051089999999999</c:v>
                </c:pt>
                <c:pt idx="294">
                  <c:v>1.906166</c:v>
                </c:pt>
                <c:pt idx="295">
                  <c:v>1.9070180000000001</c:v>
                </c:pt>
                <c:pt idx="296">
                  <c:v>1.907932</c:v>
                </c:pt>
                <c:pt idx="297">
                  <c:v>1.9088540000000001</c:v>
                </c:pt>
                <c:pt idx="298">
                  <c:v>1.909802</c:v>
                </c:pt>
                <c:pt idx="299">
                  <c:v>1.910736</c:v>
                </c:pt>
                <c:pt idx="300">
                  <c:v>1.911578</c:v>
                </c:pt>
                <c:pt idx="301">
                  <c:v>1.9125639999999999</c:v>
                </c:pt>
                <c:pt idx="302">
                  <c:v>1.9135420000000001</c:v>
                </c:pt>
                <c:pt idx="303">
                  <c:v>1.9144220000000001</c:v>
                </c:pt>
                <c:pt idx="304">
                  <c:v>1.9153180000000001</c:v>
                </c:pt>
                <c:pt idx="305">
                  <c:v>1.9161950000000001</c:v>
                </c:pt>
                <c:pt idx="306">
                  <c:v>1.917171</c:v>
                </c:pt>
                <c:pt idx="307">
                  <c:v>1.9180360000000001</c:v>
                </c:pt>
                <c:pt idx="308">
                  <c:v>1.9189700000000001</c:v>
                </c:pt>
                <c:pt idx="309">
                  <c:v>1.919875</c:v>
                </c:pt>
                <c:pt idx="310">
                  <c:v>1.9208609999999999</c:v>
                </c:pt>
                <c:pt idx="311">
                  <c:v>1.9216850000000001</c:v>
                </c:pt>
                <c:pt idx="312">
                  <c:v>1.9226209999999999</c:v>
                </c:pt>
                <c:pt idx="313">
                  <c:v>1.923578</c:v>
                </c:pt>
                <c:pt idx="314">
                  <c:v>1.9245080000000001</c:v>
                </c:pt>
                <c:pt idx="315">
                  <c:v>1.9253960000000001</c:v>
                </c:pt>
                <c:pt idx="316">
                  <c:v>1.926383</c:v>
                </c:pt>
                <c:pt idx="317">
                  <c:v>1.9272229999999999</c:v>
                </c:pt>
                <c:pt idx="318">
                  <c:v>1.928288</c:v>
                </c:pt>
                <c:pt idx="319">
                  <c:v>1.9292130000000001</c:v>
                </c:pt>
                <c:pt idx="320">
                  <c:v>1.930194</c:v>
                </c:pt>
                <c:pt idx="321">
                  <c:v>1.9311119999999999</c:v>
                </c:pt>
                <c:pt idx="322">
                  <c:v>1.9321060000000001</c:v>
                </c:pt>
                <c:pt idx="323">
                  <c:v>1.933046</c:v>
                </c:pt>
                <c:pt idx="324">
                  <c:v>1.9339379999999999</c:v>
                </c:pt>
                <c:pt idx="325">
                  <c:v>1.9347220000000001</c:v>
                </c:pt>
                <c:pt idx="326">
                  <c:v>1.9357279999999999</c:v>
                </c:pt>
                <c:pt idx="327">
                  <c:v>1.936536</c:v>
                </c:pt>
                <c:pt idx="328">
                  <c:v>1.9375199999999999</c:v>
                </c:pt>
                <c:pt idx="329">
                  <c:v>1.938385</c:v>
                </c:pt>
                <c:pt idx="330">
                  <c:v>1.9392149999999999</c:v>
                </c:pt>
                <c:pt idx="331">
                  <c:v>1.9402010000000001</c:v>
                </c:pt>
                <c:pt idx="332">
                  <c:v>1.9411160000000001</c:v>
                </c:pt>
                <c:pt idx="333">
                  <c:v>1.9419789999999999</c:v>
                </c:pt>
                <c:pt idx="334">
                  <c:v>1.9429670000000001</c:v>
                </c:pt>
                <c:pt idx="335">
                  <c:v>1.9438169999999999</c:v>
                </c:pt>
                <c:pt idx="336">
                  <c:v>1.9446920000000001</c:v>
                </c:pt>
                <c:pt idx="337">
                  <c:v>1.945468</c:v>
                </c:pt>
                <c:pt idx="338">
                  <c:v>1.9464760000000001</c:v>
                </c:pt>
                <c:pt idx="339">
                  <c:v>1.947379</c:v>
                </c:pt>
                <c:pt idx="340">
                  <c:v>1.9483839999999999</c:v>
                </c:pt>
                <c:pt idx="341">
                  <c:v>1.9492160000000001</c:v>
                </c:pt>
                <c:pt idx="342">
                  <c:v>1.950075</c:v>
                </c:pt>
                <c:pt idx="343">
                  <c:v>1.950985</c:v>
                </c:pt>
                <c:pt idx="344">
                  <c:v>1.9518660000000001</c:v>
                </c:pt>
                <c:pt idx="345">
                  <c:v>1.952747</c:v>
                </c:pt>
                <c:pt idx="346">
                  <c:v>1.953676</c:v>
                </c:pt>
                <c:pt idx="347">
                  <c:v>1.954612</c:v>
                </c:pt>
                <c:pt idx="348">
                  <c:v>1.9554910000000001</c:v>
                </c:pt>
                <c:pt idx="349">
                  <c:v>1.9563079999999999</c:v>
                </c:pt>
                <c:pt idx="350">
                  <c:v>1.9573700000000001</c:v>
                </c:pt>
                <c:pt idx="351">
                  <c:v>1.9582349999999999</c:v>
                </c:pt>
                <c:pt idx="352">
                  <c:v>1.9591209999999999</c:v>
                </c:pt>
                <c:pt idx="353">
                  <c:v>1.959932</c:v>
                </c:pt>
                <c:pt idx="354">
                  <c:v>1.9608540000000001</c:v>
                </c:pt>
                <c:pt idx="355">
                  <c:v>1.9616750000000001</c:v>
                </c:pt>
                <c:pt idx="356">
                  <c:v>1.9626220000000001</c:v>
                </c:pt>
                <c:pt idx="357">
                  <c:v>1.96349</c:v>
                </c:pt>
                <c:pt idx="358">
                  <c:v>1.964472</c:v>
                </c:pt>
                <c:pt idx="359">
                  <c:v>1.9653210000000001</c:v>
                </c:pt>
                <c:pt idx="360">
                  <c:v>1.9662390000000001</c:v>
                </c:pt>
                <c:pt idx="361">
                  <c:v>1.9669639999999999</c:v>
                </c:pt>
                <c:pt idx="362">
                  <c:v>1.9679599999999999</c:v>
                </c:pt>
                <c:pt idx="363">
                  <c:v>1.9689270000000001</c:v>
                </c:pt>
                <c:pt idx="364">
                  <c:v>1.969859</c:v>
                </c:pt>
                <c:pt idx="365">
                  <c:v>1.970788</c:v>
                </c:pt>
                <c:pt idx="366">
                  <c:v>1.9718249999999999</c:v>
                </c:pt>
                <c:pt idx="367">
                  <c:v>1.972693</c:v>
                </c:pt>
                <c:pt idx="368">
                  <c:v>1.973614</c:v>
                </c:pt>
                <c:pt idx="369">
                  <c:v>1.974566</c:v>
                </c:pt>
                <c:pt idx="370">
                  <c:v>1.975509</c:v>
                </c:pt>
                <c:pt idx="371">
                  <c:v>1.976361</c:v>
                </c:pt>
                <c:pt idx="372">
                  <c:v>1.977319</c:v>
                </c:pt>
                <c:pt idx="373">
                  <c:v>1.9782200000000001</c:v>
                </c:pt>
                <c:pt idx="374">
                  <c:v>1.979139</c:v>
                </c:pt>
                <c:pt idx="375">
                  <c:v>1.9799629999999999</c:v>
                </c:pt>
                <c:pt idx="376">
                  <c:v>1.980831</c:v>
                </c:pt>
                <c:pt idx="377">
                  <c:v>1.981695</c:v>
                </c:pt>
                <c:pt idx="378">
                  <c:v>1.9825820000000001</c:v>
                </c:pt>
                <c:pt idx="379">
                  <c:v>1.983441</c:v>
                </c:pt>
                <c:pt idx="380">
                  <c:v>1.9842820000000001</c:v>
                </c:pt>
                <c:pt idx="381">
                  <c:v>1.9851099999999999</c:v>
                </c:pt>
                <c:pt idx="382">
                  <c:v>1.986083</c:v>
                </c:pt>
                <c:pt idx="383">
                  <c:v>1.9869349999999999</c:v>
                </c:pt>
                <c:pt idx="384">
                  <c:v>1.9878560000000001</c:v>
                </c:pt>
                <c:pt idx="385">
                  <c:v>1.9886239999999999</c:v>
                </c:pt>
                <c:pt idx="386">
                  <c:v>1.989549</c:v>
                </c:pt>
                <c:pt idx="387">
                  <c:v>1.99044</c:v>
                </c:pt>
                <c:pt idx="388">
                  <c:v>1.9913860000000001</c:v>
                </c:pt>
                <c:pt idx="389">
                  <c:v>1.9922740000000001</c:v>
                </c:pt>
                <c:pt idx="390">
                  <c:v>1.9931399999999999</c:v>
                </c:pt>
                <c:pt idx="391">
                  <c:v>1.9940370000000001</c:v>
                </c:pt>
                <c:pt idx="392">
                  <c:v>1.994699</c:v>
                </c:pt>
                <c:pt idx="393">
                  <c:v>1.9956640000000001</c:v>
                </c:pt>
                <c:pt idx="394">
                  <c:v>1.996475</c:v>
                </c:pt>
                <c:pt idx="395">
                  <c:v>1.997457</c:v>
                </c:pt>
                <c:pt idx="396">
                  <c:v>1.9982329999999999</c:v>
                </c:pt>
                <c:pt idx="397">
                  <c:v>1.9991460000000001</c:v>
                </c:pt>
                <c:pt idx="398">
                  <c:v>1.999932</c:v>
                </c:pt>
                <c:pt idx="399">
                  <c:v>2.000874</c:v>
                </c:pt>
                <c:pt idx="400">
                  <c:v>2.0015510000000001</c:v>
                </c:pt>
                <c:pt idx="401">
                  <c:v>2.0025490000000001</c:v>
                </c:pt>
                <c:pt idx="402">
                  <c:v>2.0033720000000002</c:v>
                </c:pt>
                <c:pt idx="403">
                  <c:v>2.0044029999999999</c:v>
                </c:pt>
                <c:pt idx="404">
                  <c:v>2.0051589999999999</c:v>
                </c:pt>
                <c:pt idx="405">
                  <c:v>2.006014</c:v>
                </c:pt>
                <c:pt idx="406">
                  <c:v>2.006732</c:v>
                </c:pt>
                <c:pt idx="407">
                  <c:v>2.0076870000000002</c:v>
                </c:pt>
                <c:pt idx="408">
                  <c:v>2.008562</c:v>
                </c:pt>
                <c:pt idx="409">
                  <c:v>2.0095429999999999</c:v>
                </c:pt>
                <c:pt idx="410">
                  <c:v>2.0102139999999999</c:v>
                </c:pt>
                <c:pt idx="411">
                  <c:v>2.0111460000000001</c:v>
                </c:pt>
                <c:pt idx="412">
                  <c:v>2.011892</c:v>
                </c:pt>
                <c:pt idx="413">
                  <c:v>2.0129739999999998</c:v>
                </c:pt>
                <c:pt idx="414">
                  <c:v>2.0139109999999998</c:v>
                </c:pt>
                <c:pt idx="415">
                  <c:v>2.0149029999999999</c:v>
                </c:pt>
                <c:pt idx="416">
                  <c:v>2.015625</c:v>
                </c:pt>
                <c:pt idx="417">
                  <c:v>2.016534</c:v>
                </c:pt>
                <c:pt idx="418">
                  <c:v>2.0172840000000001</c:v>
                </c:pt>
                <c:pt idx="419">
                  <c:v>2.018389</c:v>
                </c:pt>
                <c:pt idx="420">
                  <c:v>2.0191300000000001</c:v>
                </c:pt>
                <c:pt idx="421">
                  <c:v>2.0200990000000001</c:v>
                </c:pt>
                <c:pt idx="422">
                  <c:v>2.0208170000000001</c:v>
                </c:pt>
                <c:pt idx="423">
                  <c:v>2.0218259999999999</c:v>
                </c:pt>
                <c:pt idx="424">
                  <c:v>2.0225810000000002</c:v>
                </c:pt>
                <c:pt idx="425">
                  <c:v>2.023517</c:v>
                </c:pt>
                <c:pt idx="426">
                  <c:v>2.0243319999999998</c:v>
                </c:pt>
                <c:pt idx="427">
                  <c:v>2.0252539999999999</c:v>
                </c:pt>
                <c:pt idx="428">
                  <c:v>2.0259469999999999</c:v>
                </c:pt>
                <c:pt idx="429">
                  <c:v>2.0269490000000001</c:v>
                </c:pt>
                <c:pt idx="430">
                  <c:v>2.0277020000000001</c:v>
                </c:pt>
                <c:pt idx="431">
                  <c:v>2.0286840000000002</c:v>
                </c:pt>
                <c:pt idx="432">
                  <c:v>2.029531</c:v>
                </c:pt>
                <c:pt idx="433">
                  <c:v>2.0304679999999999</c:v>
                </c:pt>
                <c:pt idx="434">
                  <c:v>2.0311569999999999</c:v>
                </c:pt>
                <c:pt idx="435">
                  <c:v>2.032127</c:v>
                </c:pt>
                <c:pt idx="436">
                  <c:v>2.0328010000000001</c:v>
                </c:pt>
                <c:pt idx="437">
                  <c:v>2.0337510000000001</c:v>
                </c:pt>
                <c:pt idx="438">
                  <c:v>2.034545</c:v>
                </c:pt>
                <c:pt idx="439">
                  <c:v>2.03552</c:v>
                </c:pt>
                <c:pt idx="440">
                  <c:v>2.0362089999999999</c:v>
                </c:pt>
                <c:pt idx="441">
                  <c:v>2.0372029999999999</c:v>
                </c:pt>
                <c:pt idx="442">
                  <c:v>2.0379040000000002</c:v>
                </c:pt>
                <c:pt idx="443">
                  <c:v>2.038948</c:v>
                </c:pt>
                <c:pt idx="444">
                  <c:v>2.0397419999999999</c:v>
                </c:pt>
                <c:pt idx="445">
                  <c:v>2.0406620000000002</c:v>
                </c:pt>
                <c:pt idx="446">
                  <c:v>2.0413570000000001</c:v>
                </c:pt>
                <c:pt idx="447">
                  <c:v>2.042087</c:v>
                </c:pt>
                <c:pt idx="448">
                  <c:v>2.0428860000000002</c:v>
                </c:pt>
                <c:pt idx="449">
                  <c:v>2.0437970000000001</c:v>
                </c:pt>
                <c:pt idx="450">
                  <c:v>2.0445229999999999</c:v>
                </c:pt>
                <c:pt idx="451">
                  <c:v>2.0455369999999999</c:v>
                </c:pt>
                <c:pt idx="452">
                  <c:v>2.046252</c:v>
                </c:pt>
                <c:pt idx="453">
                  <c:v>2.047075</c:v>
                </c:pt>
                <c:pt idx="454">
                  <c:v>2.0477630000000002</c:v>
                </c:pt>
                <c:pt idx="455">
                  <c:v>2.0486870000000001</c:v>
                </c:pt>
                <c:pt idx="456">
                  <c:v>2.0495049999999999</c:v>
                </c:pt>
                <c:pt idx="457">
                  <c:v>2.0503399999999998</c:v>
                </c:pt>
                <c:pt idx="458">
                  <c:v>2.0511569999999999</c:v>
                </c:pt>
                <c:pt idx="459">
                  <c:v>2.0520149999999999</c:v>
                </c:pt>
                <c:pt idx="460">
                  <c:v>2.0526080000000002</c:v>
                </c:pt>
                <c:pt idx="461">
                  <c:v>2.0536020000000001</c:v>
                </c:pt>
                <c:pt idx="462">
                  <c:v>2.0543680000000002</c:v>
                </c:pt>
                <c:pt idx="463">
                  <c:v>2.0553089999999998</c:v>
                </c:pt>
                <c:pt idx="464">
                  <c:v>2.0560330000000002</c:v>
                </c:pt>
                <c:pt idx="465">
                  <c:v>2.0569639999999998</c:v>
                </c:pt>
                <c:pt idx="466">
                  <c:v>2.0577169999999998</c:v>
                </c:pt>
                <c:pt idx="467">
                  <c:v>2.0588259999999998</c:v>
                </c:pt>
                <c:pt idx="468">
                  <c:v>2.059612</c:v>
                </c:pt>
                <c:pt idx="469">
                  <c:v>2.0605349999999998</c:v>
                </c:pt>
                <c:pt idx="470">
                  <c:v>2.0612210000000002</c:v>
                </c:pt>
                <c:pt idx="471">
                  <c:v>2.0621529999999999</c:v>
                </c:pt>
                <c:pt idx="472">
                  <c:v>2.0630289999999998</c:v>
                </c:pt>
                <c:pt idx="473">
                  <c:v>2.0639829999999999</c:v>
                </c:pt>
                <c:pt idx="474">
                  <c:v>2.0647540000000002</c:v>
                </c:pt>
                <c:pt idx="475">
                  <c:v>2.0656099999999999</c:v>
                </c:pt>
                <c:pt idx="476">
                  <c:v>2.0663459999999998</c:v>
                </c:pt>
                <c:pt idx="477">
                  <c:v>2.0672429999999999</c:v>
                </c:pt>
                <c:pt idx="478">
                  <c:v>2.0679620000000001</c:v>
                </c:pt>
                <c:pt idx="479">
                  <c:v>2.0689479999999998</c:v>
                </c:pt>
                <c:pt idx="480">
                  <c:v>2.0695790000000001</c:v>
                </c:pt>
                <c:pt idx="481">
                  <c:v>2.0704929999999999</c:v>
                </c:pt>
                <c:pt idx="482">
                  <c:v>2.0712470000000001</c:v>
                </c:pt>
                <c:pt idx="483">
                  <c:v>2.0722070000000001</c:v>
                </c:pt>
                <c:pt idx="484">
                  <c:v>2.072889</c:v>
                </c:pt>
                <c:pt idx="485">
                  <c:v>2.073852</c:v>
                </c:pt>
                <c:pt idx="486">
                  <c:v>2.0744590000000001</c:v>
                </c:pt>
                <c:pt idx="487">
                  <c:v>2.0754589999999999</c:v>
                </c:pt>
                <c:pt idx="488">
                  <c:v>2.0762779999999998</c:v>
                </c:pt>
                <c:pt idx="489">
                  <c:v>2.077083</c:v>
                </c:pt>
                <c:pt idx="490">
                  <c:v>2.0778099999999999</c:v>
                </c:pt>
                <c:pt idx="491">
                  <c:v>2.0787399999999998</c:v>
                </c:pt>
                <c:pt idx="492">
                  <c:v>2.0794489999999999</c:v>
                </c:pt>
                <c:pt idx="493">
                  <c:v>2.0803449999999999</c:v>
                </c:pt>
                <c:pt idx="494">
                  <c:v>2.0809820000000001</c:v>
                </c:pt>
                <c:pt idx="495">
                  <c:v>2.0819489999999998</c:v>
                </c:pt>
                <c:pt idx="496">
                  <c:v>2.0826319999999998</c:v>
                </c:pt>
                <c:pt idx="497">
                  <c:v>2.083602</c:v>
                </c:pt>
                <c:pt idx="498">
                  <c:v>2.084263</c:v>
                </c:pt>
                <c:pt idx="499">
                  <c:v>2.0852309999999998</c:v>
                </c:pt>
                <c:pt idx="500">
                  <c:v>2.085893</c:v>
                </c:pt>
              </c:numCache>
            </c:numRef>
          </c:yVal>
          <c:smooth val="0"/>
          <c:extLst>
            <c:ext xmlns:c16="http://schemas.microsoft.com/office/drawing/2014/chart" uri="{C3380CC4-5D6E-409C-BE32-E72D297353CC}">
              <c16:uniqueId val="{00000001-E8ED-438B-B8F6-565CE4436AF8}"/>
            </c:ext>
          </c:extLst>
        </c:ser>
        <c:dLbls>
          <c:showLegendKey val="0"/>
          <c:showVal val="0"/>
          <c:showCatName val="0"/>
          <c:showSerName val="0"/>
          <c:showPercent val="0"/>
          <c:showBubbleSize val="0"/>
        </c:dLbls>
        <c:axId val="3"/>
        <c:axId val="4"/>
      </c:scatterChart>
      <c:valAx>
        <c:axId val="639661632"/>
        <c:scaling>
          <c:orientation val="minMax"/>
          <c:max val="0.26"/>
          <c:min val="0"/>
        </c:scaling>
        <c:delete val="0"/>
        <c:axPos val="b"/>
        <c:majorGridlines>
          <c:spPr>
            <a:ln w="3175">
              <a:solidFill>
                <a:srgbClr val="000000"/>
              </a:solidFill>
              <a:prstDash val="solid"/>
            </a:ln>
          </c:spPr>
        </c:majorGridlines>
        <c:title>
          <c:tx>
            <c:rich>
              <a:bodyPr/>
              <a:lstStyle/>
              <a:p>
                <a:pPr>
                  <a:defRPr sz="1400" b="1" i="0" u="none" strike="noStrike" baseline="0">
                    <a:solidFill>
                      <a:srgbClr val="000000"/>
                    </a:solidFill>
                    <a:latin typeface="Times New Roman"/>
                    <a:ea typeface="Times New Roman"/>
                    <a:cs typeface="Times New Roman"/>
                  </a:defRPr>
                </a:pPr>
                <a:r>
                  <a:rPr lang="en-US"/>
                  <a:t>Current (A)</a:t>
                </a:r>
              </a:p>
            </c:rich>
          </c:tx>
          <c:layout>
            <c:manualLayout>
              <c:xMode val="edge"/>
              <c:yMode val="edge"/>
              <c:x val="0.30606488772236801"/>
              <c:y val="0.91409689860196042"/>
            </c:manualLayout>
          </c:layout>
          <c:overlay val="0"/>
          <c:spPr>
            <a:noFill/>
            <a:ln w="25400">
              <a:noFill/>
            </a:ln>
          </c:spPr>
        </c:title>
        <c:numFmt formatCode="General" sourceLinked="1"/>
        <c:majorTickMark val="cross"/>
        <c:minorTickMark val="in"/>
        <c:tickLblPos val="nextTo"/>
        <c:spPr>
          <a:ln w="3175">
            <a:solidFill>
              <a:srgbClr val="000000"/>
            </a:solidFill>
            <a:prstDash val="solid"/>
          </a:ln>
        </c:spPr>
        <c:txPr>
          <a:bodyPr rot="0" vert="horz"/>
          <a:lstStyle/>
          <a:p>
            <a:pPr>
              <a:defRPr sz="1200" b="1" i="0" u="none" strike="noStrike" baseline="0">
                <a:solidFill>
                  <a:srgbClr val="000000"/>
                </a:solidFill>
                <a:latin typeface="Times New Roman"/>
                <a:ea typeface="Times New Roman"/>
                <a:cs typeface="Times New Roman"/>
              </a:defRPr>
            </a:pPr>
            <a:endParaRPr lang="en-US"/>
          </a:p>
        </c:txPr>
        <c:crossAx val="1"/>
        <c:crosses val="autoZero"/>
        <c:crossBetween val="midCat"/>
      </c:valAx>
      <c:valAx>
        <c:axId val="1"/>
        <c:scaling>
          <c:orientation val="minMax"/>
          <c:max val="0.18000000000000002"/>
          <c:min val="0"/>
        </c:scaling>
        <c:delete val="0"/>
        <c:axPos val="l"/>
        <c:majorGridlines>
          <c:spPr>
            <a:ln w="3175">
              <a:solidFill>
                <a:srgbClr val="000000"/>
              </a:solidFill>
              <a:prstDash val="solid"/>
            </a:ln>
          </c:spPr>
        </c:majorGridlines>
        <c:title>
          <c:tx>
            <c:rich>
              <a:bodyPr/>
              <a:lstStyle/>
              <a:p>
                <a:pPr>
                  <a:defRPr sz="1400" b="1" i="0" u="none" strike="noStrike" baseline="0">
                    <a:solidFill>
                      <a:srgbClr val="0000FF"/>
                    </a:solidFill>
                    <a:latin typeface="Times New Roman"/>
                    <a:ea typeface="Times New Roman"/>
                    <a:cs typeface="Times New Roman"/>
                  </a:defRPr>
                </a:pPr>
                <a:r>
                  <a:rPr lang="en-US"/>
                  <a:t>Output (W)</a:t>
                </a:r>
              </a:p>
            </c:rich>
          </c:tx>
          <c:layout>
            <c:manualLayout>
              <c:xMode val="edge"/>
              <c:yMode val="edge"/>
              <c:x val="7.0522018081073199E-3"/>
              <c:y val="0.34361240559215811"/>
            </c:manualLayout>
          </c:layout>
          <c:overlay val="0"/>
          <c:spPr>
            <a:noFill/>
            <a:ln w="25400">
              <a:noFill/>
            </a:ln>
          </c:spPr>
        </c:title>
        <c:numFmt formatCode="#,##0.00" sourceLinked="0"/>
        <c:majorTickMark val="cross"/>
        <c:minorTickMark val="in"/>
        <c:tickLblPos val="nextTo"/>
        <c:spPr>
          <a:ln w="3175">
            <a:solidFill>
              <a:srgbClr val="000000"/>
            </a:solidFill>
            <a:prstDash val="solid"/>
          </a:ln>
        </c:spPr>
        <c:txPr>
          <a:bodyPr rot="0" vert="horz"/>
          <a:lstStyle/>
          <a:p>
            <a:pPr>
              <a:defRPr sz="1200" b="1" i="0" u="none" strike="noStrike" baseline="0">
                <a:solidFill>
                  <a:srgbClr val="0000FF"/>
                </a:solidFill>
                <a:latin typeface="Times New Roman"/>
                <a:ea typeface="Times New Roman"/>
                <a:cs typeface="Times New Roman"/>
              </a:defRPr>
            </a:pPr>
            <a:endParaRPr lang="en-US"/>
          </a:p>
        </c:txPr>
        <c:crossAx val="639661632"/>
        <c:crosses val="autoZero"/>
        <c:crossBetween val="midCat"/>
      </c:valAx>
      <c:valAx>
        <c:axId val="3"/>
        <c:scaling>
          <c:orientation val="minMax"/>
        </c:scaling>
        <c:delete val="1"/>
        <c:axPos val="b"/>
        <c:numFmt formatCode="General" sourceLinked="1"/>
        <c:majorTickMark val="out"/>
        <c:minorTickMark val="none"/>
        <c:tickLblPos val="nextTo"/>
        <c:crossAx val="4"/>
        <c:crosses val="autoZero"/>
        <c:crossBetween val="midCat"/>
      </c:valAx>
      <c:valAx>
        <c:axId val="4"/>
        <c:scaling>
          <c:orientation val="minMax"/>
          <c:max val="2.1"/>
          <c:min val="1.3"/>
        </c:scaling>
        <c:delete val="0"/>
        <c:axPos val="r"/>
        <c:title>
          <c:tx>
            <c:rich>
              <a:bodyPr/>
              <a:lstStyle/>
              <a:p>
                <a:pPr>
                  <a:defRPr sz="1400" b="1" i="0" u="none" strike="noStrike" baseline="0">
                    <a:solidFill>
                      <a:srgbClr val="FF0000"/>
                    </a:solidFill>
                    <a:latin typeface="Times New Roman"/>
                    <a:ea typeface="Times New Roman"/>
                    <a:cs typeface="Times New Roman"/>
                  </a:defRPr>
                </a:pPr>
                <a:r>
                  <a:rPr lang="en-US"/>
                  <a:t>Voltage (V)</a:t>
                </a:r>
              </a:p>
            </c:rich>
          </c:tx>
          <c:layout>
            <c:manualLayout>
              <c:xMode val="edge"/>
              <c:yMode val="edge"/>
              <c:x val="0.67559944590259546"/>
              <c:y val="0.34140977913475101"/>
            </c:manualLayout>
          </c:layout>
          <c:overlay val="0"/>
          <c:spPr>
            <a:noFill/>
            <a:ln w="25400">
              <a:noFill/>
            </a:ln>
          </c:spPr>
        </c:title>
        <c:numFmt formatCode="General" sourceLinked="1"/>
        <c:majorTickMark val="cross"/>
        <c:minorTickMark val="in"/>
        <c:tickLblPos val="nextTo"/>
        <c:spPr>
          <a:ln w="3175">
            <a:solidFill>
              <a:srgbClr val="000000"/>
            </a:solidFill>
            <a:prstDash val="solid"/>
          </a:ln>
        </c:spPr>
        <c:txPr>
          <a:bodyPr rot="0" vert="horz"/>
          <a:lstStyle/>
          <a:p>
            <a:pPr>
              <a:defRPr sz="1200" b="1" i="0" u="none" strike="noStrike" baseline="0">
                <a:solidFill>
                  <a:srgbClr val="FF0000"/>
                </a:solidFill>
                <a:latin typeface="Times New Roman"/>
                <a:ea typeface="Times New Roman"/>
                <a:cs typeface="Times New Roman"/>
              </a:defRPr>
            </a:pPr>
            <a:endParaRPr lang="en-US"/>
          </a:p>
        </c:txPr>
        <c:crossAx val="3"/>
        <c:crosses val="max"/>
        <c:crossBetween val="midCat"/>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Times New Roman"/>
          <a:ea typeface="Times New Roman"/>
          <a:cs typeface="Times New Roman"/>
        </a:defRPr>
      </a:pPr>
      <a:endParaRPr lang="en-US"/>
    </a:p>
  </c:tx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681250606908529"/>
          <c:y val="4.185026527466925E-2"/>
          <c:w val="0.74894268786272467"/>
          <c:h val="0.79735768575948784"/>
        </c:manualLayout>
      </c:layout>
      <c:lineChart>
        <c:grouping val="standard"/>
        <c:varyColors val="0"/>
        <c:ser>
          <c:idx val="1"/>
          <c:order val="0"/>
          <c:tx>
            <c:strRef>
              <c:f>snl!$N$1</c:f>
              <c:strCache>
                <c:ptCount val="1"/>
                <c:pt idx="0">
                  <c:v>I=150 mA, P=mW</c:v>
                </c:pt>
              </c:strCache>
            </c:strRef>
          </c:tx>
          <c:spPr>
            <a:ln w="28575">
              <a:noFill/>
            </a:ln>
          </c:spPr>
          <c:marker>
            <c:symbol val="square"/>
            <c:size val="5"/>
            <c:spPr>
              <a:solidFill>
                <a:srgbClr val="0000FF"/>
              </a:solidFill>
              <a:ln>
                <a:solidFill>
                  <a:srgbClr val="0000FF"/>
                </a:solidFill>
                <a:prstDash val="solid"/>
              </a:ln>
            </c:spPr>
          </c:marker>
          <c:cat>
            <c:numRef>
              <c:f>snl!$M$3:$M$5</c:f>
              <c:numCache>
                <c:formatCode>General</c:formatCode>
                <c:ptCount val="3"/>
                <c:pt idx="0">
                  <c:v>15</c:v>
                </c:pt>
                <c:pt idx="1">
                  <c:v>25</c:v>
                </c:pt>
                <c:pt idx="2">
                  <c:v>35</c:v>
                </c:pt>
              </c:numCache>
            </c:numRef>
          </c:cat>
          <c:val>
            <c:numRef>
              <c:f>snl!$N$3:$N$5</c:f>
              <c:numCache>
                <c:formatCode>General</c:formatCode>
                <c:ptCount val="3"/>
                <c:pt idx="0">
                  <c:v>778.85199999999998</c:v>
                </c:pt>
                <c:pt idx="1">
                  <c:v>779.46799999999996</c:v>
                </c:pt>
                <c:pt idx="2">
                  <c:v>780.072</c:v>
                </c:pt>
              </c:numCache>
            </c:numRef>
          </c:val>
          <c:smooth val="0"/>
          <c:extLst>
            <c:ext xmlns:c16="http://schemas.microsoft.com/office/drawing/2014/chart" uri="{C3380CC4-5D6E-409C-BE32-E72D297353CC}">
              <c16:uniqueId val="{00000000-3544-46D5-8A12-B86C27B4C969}"/>
            </c:ext>
          </c:extLst>
        </c:ser>
        <c:ser>
          <c:idx val="2"/>
          <c:order val="1"/>
          <c:tx>
            <c:strRef>
              <c:f>snl!$O$1</c:f>
              <c:strCache>
                <c:ptCount val="1"/>
              </c:strCache>
            </c:strRef>
          </c:tx>
          <c:spPr>
            <a:ln w="12700">
              <a:solidFill>
                <a:srgbClr val="0000FF"/>
              </a:solidFill>
              <a:prstDash val="solid"/>
            </a:ln>
          </c:spPr>
          <c:marker>
            <c:symbol val="none"/>
          </c:marker>
          <c:cat>
            <c:numRef>
              <c:f>snl!$M$3:$M$5</c:f>
              <c:numCache>
                <c:formatCode>General</c:formatCode>
                <c:ptCount val="3"/>
                <c:pt idx="0">
                  <c:v>15</c:v>
                </c:pt>
                <c:pt idx="1">
                  <c:v>25</c:v>
                </c:pt>
                <c:pt idx="2">
                  <c:v>35</c:v>
                </c:pt>
              </c:numCache>
            </c:numRef>
          </c:cat>
          <c:val>
            <c:numRef>
              <c:f>snl!$O$3:$O$5</c:f>
              <c:numCache>
                <c:formatCode>General</c:formatCode>
                <c:ptCount val="3"/>
                <c:pt idx="0">
                  <c:v>778.85399999999993</c:v>
                </c:pt>
                <c:pt idx="1">
                  <c:v>779.46399999999994</c:v>
                </c:pt>
                <c:pt idx="2">
                  <c:v>780.07399999999996</c:v>
                </c:pt>
              </c:numCache>
            </c:numRef>
          </c:val>
          <c:smooth val="0"/>
          <c:extLst>
            <c:ext xmlns:c16="http://schemas.microsoft.com/office/drawing/2014/chart" uri="{C3380CC4-5D6E-409C-BE32-E72D297353CC}">
              <c16:uniqueId val="{00000001-3544-46D5-8A12-B86C27B4C969}"/>
            </c:ext>
          </c:extLst>
        </c:ser>
        <c:dLbls>
          <c:showLegendKey val="0"/>
          <c:showVal val="0"/>
          <c:showCatName val="0"/>
          <c:showSerName val="0"/>
          <c:showPercent val="0"/>
          <c:showBubbleSize val="0"/>
        </c:dLbls>
        <c:marker val="1"/>
        <c:smooth val="0"/>
        <c:axId val="639942784"/>
        <c:axId val="1"/>
      </c:lineChart>
      <c:lineChart>
        <c:grouping val="standard"/>
        <c:varyColors val="0"/>
        <c:ser>
          <c:idx val="6"/>
          <c:order val="2"/>
          <c:tx>
            <c:strRef>
              <c:f>snl!$P$1</c:f>
              <c:strCache>
                <c:ptCount val="1"/>
              </c:strCache>
            </c:strRef>
          </c:tx>
          <c:spPr>
            <a:ln w="12700">
              <a:solidFill>
                <a:srgbClr val="FF0000"/>
              </a:solidFill>
              <a:prstDash val="solid"/>
            </a:ln>
          </c:spPr>
          <c:marker>
            <c:symbol val="circle"/>
            <c:size val="5"/>
            <c:spPr>
              <a:solidFill>
                <a:srgbClr val="FF0000"/>
              </a:solidFill>
              <a:ln>
                <a:solidFill>
                  <a:srgbClr val="FF0000"/>
                </a:solidFill>
                <a:prstDash val="solid"/>
              </a:ln>
            </c:spPr>
          </c:marker>
          <c:cat>
            <c:numRef>
              <c:f>snl!$M$3:$M$5</c:f>
              <c:numCache>
                <c:formatCode>General</c:formatCode>
                <c:ptCount val="3"/>
                <c:pt idx="0">
                  <c:v>15</c:v>
                </c:pt>
                <c:pt idx="1">
                  <c:v>25</c:v>
                </c:pt>
                <c:pt idx="2">
                  <c:v>35</c:v>
                </c:pt>
              </c:numCache>
            </c:numRef>
          </c:cat>
          <c:val>
            <c:numRef>
              <c:f>snl!$P$3:$P$5</c:f>
              <c:numCache>
                <c:formatCode>General</c:formatCode>
                <c:ptCount val="3"/>
                <c:pt idx="0">
                  <c:v>31.3</c:v>
                </c:pt>
                <c:pt idx="1">
                  <c:v>33.35</c:v>
                </c:pt>
                <c:pt idx="2">
                  <c:v>33.019999999999996</c:v>
                </c:pt>
              </c:numCache>
            </c:numRef>
          </c:val>
          <c:smooth val="0"/>
          <c:extLst>
            <c:ext xmlns:c16="http://schemas.microsoft.com/office/drawing/2014/chart" uri="{C3380CC4-5D6E-409C-BE32-E72D297353CC}">
              <c16:uniqueId val="{00000002-3544-46D5-8A12-B86C27B4C969}"/>
            </c:ext>
          </c:extLst>
        </c:ser>
        <c:dLbls>
          <c:showLegendKey val="0"/>
          <c:showVal val="0"/>
          <c:showCatName val="0"/>
          <c:showSerName val="0"/>
          <c:showPercent val="0"/>
          <c:showBubbleSize val="0"/>
        </c:dLbls>
        <c:marker val="1"/>
        <c:smooth val="0"/>
        <c:axId val="3"/>
        <c:axId val="4"/>
      </c:lineChart>
      <c:catAx>
        <c:axId val="639942784"/>
        <c:scaling>
          <c:orientation val="minMax"/>
        </c:scaling>
        <c:delete val="0"/>
        <c:axPos val="b"/>
        <c:majorGridlines>
          <c:spPr>
            <a:ln w="3175">
              <a:solidFill>
                <a:srgbClr val="000000"/>
              </a:solidFill>
              <a:prstDash val="solid"/>
            </a:ln>
          </c:spPr>
        </c:majorGridlines>
        <c:title>
          <c:tx>
            <c:rich>
              <a:bodyPr/>
              <a:lstStyle/>
              <a:p>
                <a:pPr>
                  <a:defRPr sz="1100" b="0" i="0" u="none" strike="noStrike" baseline="0">
                    <a:solidFill>
                      <a:srgbClr val="000000"/>
                    </a:solidFill>
                    <a:latin typeface="Calibri"/>
                    <a:ea typeface="Calibri"/>
                    <a:cs typeface="Calibri"/>
                  </a:defRPr>
                </a:pPr>
                <a:r>
                  <a:rPr lang="en-US" sz="1400" b="1" i="0" u="none" strike="noStrike" baseline="0">
                    <a:solidFill>
                      <a:srgbClr val="000000"/>
                    </a:solidFill>
                    <a:latin typeface="Times New Roman"/>
                    <a:cs typeface="Times New Roman"/>
                  </a:rPr>
                  <a:t>Temperature (</a:t>
                </a:r>
                <a:r>
                  <a:rPr lang="en-US" sz="1400" b="0" i="0" u="none" strike="noStrike" baseline="0">
                    <a:solidFill>
                      <a:srgbClr val="000000"/>
                    </a:solidFill>
                    <a:latin typeface="Calibri"/>
                    <a:cs typeface="Times New Roman"/>
                  </a:rPr>
                  <a:t>°</a:t>
                </a:r>
                <a:r>
                  <a:rPr lang="en-US" sz="1400" b="1" i="0" u="none" strike="noStrike" baseline="0">
                    <a:solidFill>
                      <a:srgbClr val="000000"/>
                    </a:solidFill>
                    <a:latin typeface="Times New Roman"/>
                    <a:cs typeface="Times New Roman"/>
                  </a:rPr>
                  <a:t>C)</a:t>
                </a:r>
                <a:endParaRPr lang="en-US"/>
              </a:p>
            </c:rich>
          </c:tx>
          <c:layout>
            <c:manualLayout>
              <c:xMode val="edge"/>
              <c:yMode val="edge"/>
              <c:x val="0.4033854120379422"/>
              <c:y val="0.91409788640133793"/>
            </c:manualLayout>
          </c:layout>
          <c:overlay val="0"/>
          <c:spPr>
            <a:noFill/>
            <a:ln w="25400">
              <a:noFill/>
            </a:ln>
          </c:spPr>
        </c:title>
        <c:numFmt formatCode="General" sourceLinked="1"/>
        <c:majorTickMark val="in"/>
        <c:minorTickMark val="cross"/>
        <c:tickLblPos val="nextTo"/>
        <c:spPr>
          <a:ln w="3175">
            <a:solidFill>
              <a:srgbClr val="000000"/>
            </a:solidFill>
            <a:prstDash val="solid"/>
          </a:ln>
        </c:spPr>
        <c:txPr>
          <a:bodyPr rot="0" vert="horz"/>
          <a:lstStyle/>
          <a:p>
            <a:pPr>
              <a:defRPr sz="1200" b="1" i="0" u="none" strike="noStrike" baseline="0">
                <a:solidFill>
                  <a:srgbClr val="000000"/>
                </a:solidFill>
                <a:latin typeface="Times New Roman"/>
                <a:ea typeface="Times New Roman"/>
                <a:cs typeface="Times New Roman"/>
              </a:defRPr>
            </a:pPr>
            <a:endParaRPr lang="en-US"/>
          </a:p>
        </c:txPr>
        <c:crossAx val="1"/>
        <c:crosses val="autoZero"/>
        <c:auto val="1"/>
        <c:lblAlgn val="ctr"/>
        <c:lblOffset val="100"/>
        <c:tickLblSkip val="1"/>
        <c:tickMarkSkip val="1"/>
        <c:noMultiLvlLbl val="0"/>
      </c:catAx>
      <c:valAx>
        <c:axId val="1"/>
        <c:scaling>
          <c:orientation val="minMax"/>
          <c:max val="795.4"/>
          <c:min val="794.4"/>
        </c:scaling>
        <c:delete val="0"/>
        <c:axPos val="l"/>
        <c:majorGridlines>
          <c:spPr>
            <a:ln w="3175">
              <a:solidFill>
                <a:srgbClr val="000000"/>
              </a:solidFill>
              <a:prstDash val="solid"/>
            </a:ln>
          </c:spPr>
        </c:majorGridlines>
        <c:title>
          <c:tx>
            <c:rich>
              <a:bodyPr/>
              <a:lstStyle/>
              <a:p>
                <a:pPr>
                  <a:defRPr sz="1400" b="1" i="0" u="none" strike="noStrike" baseline="0">
                    <a:solidFill>
                      <a:srgbClr val="0000FF"/>
                    </a:solidFill>
                    <a:latin typeface="Times New Roman"/>
                    <a:ea typeface="Times New Roman"/>
                    <a:cs typeface="Times New Roman"/>
                  </a:defRPr>
                </a:pPr>
                <a:r>
                  <a:rPr lang="en-US"/>
                  <a:t>Wavelength (nm)</a:t>
                </a:r>
              </a:p>
            </c:rich>
          </c:tx>
          <c:layout>
            <c:manualLayout>
              <c:xMode val="edge"/>
              <c:yMode val="edge"/>
              <c:x val="8.4626413797598086E-3"/>
              <c:y val="0.27973592312885931"/>
            </c:manualLayout>
          </c:layout>
          <c:overlay val="0"/>
          <c:spPr>
            <a:noFill/>
            <a:ln w="25400">
              <a:noFill/>
            </a:ln>
          </c:spPr>
        </c:title>
        <c:numFmt formatCode="General" sourceLinked="0"/>
        <c:majorTickMark val="cross"/>
        <c:minorTickMark val="in"/>
        <c:tickLblPos val="nextTo"/>
        <c:spPr>
          <a:ln w="3175">
            <a:solidFill>
              <a:srgbClr val="000000"/>
            </a:solidFill>
            <a:prstDash val="solid"/>
          </a:ln>
        </c:spPr>
        <c:txPr>
          <a:bodyPr rot="0" vert="horz"/>
          <a:lstStyle/>
          <a:p>
            <a:pPr>
              <a:defRPr sz="1200" b="1" i="0" u="none" strike="noStrike" baseline="0">
                <a:solidFill>
                  <a:srgbClr val="0000FF"/>
                </a:solidFill>
                <a:latin typeface="Times New Roman"/>
                <a:ea typeface="Times New Roman"/>
                <a:cs typeface="Times New Roman"/>
              </a:defRPr>
            </a:pPr>
            <a:endParaRPr lang="en-US"/>
          </a:p>
        </c:txPr>
        <c:crossAx val="639942784"/>
        <c:crosses val="autoZero"/>
        <c:crossBetween val="between"/>
      </c:valAx>
      <c:catAx>
        <c:axId val="3"/>
        <c:scaling>
          <c:orientation val="minMax"/>
        </c:scaling>
        <c:delete val="1"/>
        <c:axPos val="b"/>
        <c:numFmt formatCode="General" sourceLinked="1"/>
        <c:majorTickMark val="out"/>
        <c:minorTickMark val="none"/>
        <c:tickLblPos val="nextTo"/>
        <c:crossAx val="4"/>
        <c:crosses val="autoZero"/>
        <c:auto val="0"/>
        <c:lblAlgn val="ctr"/>
        <c:lblOffset val="100"/>
        <c:noMultiLvlLbl val="0"/>
      </c:catAx>
      <c:valAx>
        <c:axId val="4"/>
        <c:scaling>
          <c:orientation val="minMax"/>
          <c:max val="48"/>
          <c:min val="0"/>
        </c:scaling>
        <c:delete val="0"/>
        <c:axPos val="r"/>
        <c:title>
          <c:tx>
            <c:rich>
              <a:bodyPr/>
              <a:lstStyle/>
              <a:p>
                <a:pPr>
                  <a:defRPr sz="1400" b="1" i="0" u="none" strike="noStrike" baseline="0">
                    <a:solidFill>
                      <a:srgbClr val="FF0000"/>
                    </a:solidFill>
                    <a:latin typeface="Times New Roman"/>
                    <a:ea typeface="Times New Roman"/>
                    <a:cs typeface="Times New Roman"/>
                  </a:defRPr>
                </a:pPr>
                <a:r>
                  <a:rPr lang="en-US"/>
                  <a:t>SMSR (dB)</a:t>
                </a:r>
              </a:p>
            </c:rich>
          </c:tx>
          <c:layout>
            <c:manualLayout>
              <c:xMode val="edge"/>
              <c:yMode val="edge"/>
              <c:x val="0.94076225093759436"/>
              <c:y val="0.33039700957312196"/>
            </c:manualLayout>
          </c:layout>
          <c:overlay val="0"/>
          <c:spPr>
            <a:noFill/>
            <a:ln w="25400">
              <a:noFill/>
            </a:ln>
          </c:spPr>
        </c:title>
        <c:numFmt formatCode="General" sourceLinked="1"/>
        <c:majorTickMark val="cross"/>
        <c:minorTickMark val="in"/>
        <c:tickLblPos val="nextTo"/>
        <c:spPr>
          <a:ln w="3175">
            <a:solidFill>
              <a:srgbClr val="000000"/>
            </a:solidFill>
            <a:prstDash val="solid"/>
          </a:ln>
        </c:spPr>
        <c:txPr>
          <a:bodyPr rot="0" vert="horz"/>
          <a:lstStyle/>
          <a:p>
            <a:pPr>
              <a:defRPr sz="1200" b="1" i="0" u="none" strike="noStrike" baseline="0">
                <a:solidFill>
                  <a:srgbClr val="FF0000"/>
                </a:solidFill>
                <a:latin typeface="Times New Roman"/>
                <a:ea typeface="Times New Roman"/>
                <a:cs typeface="Times New Roman"/>
              </a:defRPr>
            </a:pPr>
            <a:endParaRPr lang="en-US"/>
          </a:p>
        </c:txPr>
        <c:crossAx val="3"/>
        <c:crosses val="max"/>
        <c:crossBetween val="between"/>
      </c:valAx>
      <c:spPr>
        <a:no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3.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49BCE23C-C9E2-4ED0-968E-F926DA1958C9}">
  <sheetPr/>
  <sheetViews>
    <sheetView zoomScale="97"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0</xdr:col>
      <xdr:colOff>133350</xdr:colOff>
      <xdr:row>0</xdr:row>
      <xdr:rowOff>57149</xdr:rowOff>
    </xdr:from>
    <xdr:to>
      <xdr:col>11</xdr:col>
      <xdr:colOff>571500</xdr:colOff>
      <xdr:row>28</xdr:row>
      <xdr:rowOff>104775</xdr:rowOff>
    </xdr:to>
    <xdr:graphicFrame macro="">
      <xdr:nvGraphicFramePr>
        <xdr:cNvPr id="2" name="Chart1">
          <a:extLst>
            <a:ext uri="{FF2B5EF4-FFF2-40B4-BE49-F238E27FC236}">
              <a16:creationId xmlns:a16="http://schemas.microsoft.com/office/drawing/2014/main" id="{49430076-C40C-74C3-AC1E-8B12C8C274E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133350</xdr:colOff>
      <xdr:row>31</xdr:row>
      <xdr:rowOff>9524</xdr:rowOff>
    </xdr:from>
    <xdr:to>
      <xdr:col>11</xdr:col>
      <xdr:colOff>552450</xdr:colOff>
      <xdr:row>60</xdr:row>
      <xdr:rowOff>85724</xdr:rowOff>
    </xdr:to>
    <xdr:graphicFrame macro="">
      <xdr:nvGraphicFramePr>
        <xdr:cNvPr id="3" name="Chart2">
          <a:extLst>
            <a:ext uri="{FF2B5EF4-FFF2-40B4-BE49-F238E27FC236}">
              <a16:creationId xmlns:a16="http://schemas.microsoft.com/office/drawing/2014/main" id="{A6176D8E-B42C-4CF0-8EDB-0C933081279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0.7307</cdr:x>
      <cdr:y>0.29241</cdr:y>
    </cdr:from>
    <cdr:to>
      <cdr:x>0.98285</cdr:x>
      <cdr:y>0.42078</cdr:y>
    </cdr:to>
    <cdr:sp macro="" textlink="">
      <cdr:nvSpPr>
        <cdr:cNvPr id="4108" name="Text Box 12"/>
        <cdr:cNvSpPr txBox="1">
          <a:spLocks xmlns:a="http://schemas.openxmlformats.org/drawingml/2006/main" noChangeArrowheads="1"/>
        </cdr:cNvSpPr>
      </cdr:nvSpPr>
      <cdr:spPr bwMode="auto">
        <a:xfrm xmlns:a="http://schemas.openxmlformats.org/drawingml/2006/main">
          <a:off x="4944745" y="1259868"/>
          <a:ext cx="1705213" cy="552081"/>
        </a:xfrm>
        <a:prstGeom xmlns:a="http://schemas.openxmlformats.org/drawingml/2006/main" prst="rect">
          <a:avLst/>
        </a:prstGeom>
        <a:solidFill xmlns:a="http://schemas.openxmlformats.org/drawingml/2006/main">
          <a:srgbClr val="FFFFFF"/>
        </a:solidFill>
        <a:ln xmlns:a="http://schemas.openxmlformats.org/drawingml/2006/main" w="9525">
          <a:solidFill>
            <a:srgbClr val="000000"/>
          </a:solidFill>
          <a:miter lim="800000"/>
          <a:headEnd/>
          <a:tailEnd/>
        </a:ln>
      </cdr:spPr>
      <cdr:txBody>
        <a:bodyPr xmlns:a="http://schemas.openxmlformats.org/drawingml/2006/main" vertOverflow="clip" wrap="square" lIns="91440" tIns="45720" rIns="91440" bIns="45720" anchor="t" upright="1"/>
        <a:lstStyle xmlns:a="http://schemas.openxmlformats.org/drawingml/2006/main"/>
        <a:p xmlns:a="http://schemas.openxmlformats.org/drawingml/2006/main">
          <a:pPr algn="ctr" rtl="0">
            <a:lnSpc>
              <a:spcPts val="1200"/>
            </a:lnSpc>
            <a:defRPr sz="1000"/>
          </a:pPr>
          <a:r>
            <a:rPr lang="en-US" sz="1200" b="1" i="0" u="none" strike="noStrike" baseline="0">
              <a:solidFill>
                <a:srgbClr val="000000"/>
              </a:solidFill>
              <a:latin typeface="Times New Roman"/>
              <a:cs typeface="Times New Roman"/>
            </a:rPr>
            <a:t>Slope Efficiency</a:t>
          </a:r>
        </a:p>
      </cdr:txBody>
    </cdr:sp>
  </cdr:relSizeAnchor>
  <cdr:relSizeAnchor xmlns:cdr="http://schemas.openxmlformats.org/drawingml/2006/chartDrawing">
    <cdr:from>
      <cdr:x>0.7307</cdr:x>
      <cdr:y>0.44009</cdr:y>
    </cdr:from>
    <cdr:to>
      <cdr:x>0.98187</cdr:x>
      <cdr:y>0.5687</cdr:y>
    </cdr:to>
    <cdr:sp macro="" textlink="">
      <cdr:nvSpPr>
        <cdr:cNvPr id="4112" name="Text Box 16"/>
        <cdr:cNvSpPr txBox="1">
          <a:spLocks xmlns:a="http://schemas.openxmlformats.org/drawingml/2006/main" noChangeArrowheads="1"/>
        </cdr:cNvSpPr>
      </cdr:nvSpPr>
      <cdr:spPr bwMode="auto">
        <a:xfrm xmlns:a="http://schemas.openxmlformats.org/drawingml/2006/main">
          <a:off x="4944745" y="1895662"/>
          <a:ext cx="1698546" cy="553140"/>
        </a:xfrm>
        <a:prstGeom xmlns:a="http://schemas.openxmlformats.org/drawingml/2006/main" prst="rect">
          <a:avLst/>
        </a:prstGeom>
        <a:solidFill xmlns:a="http://schemas.openxmlformats.org/drawingml/2006/main">
          <a:srgbClr val="FFFFFF"/>
        </a:solidFill>
        <a:ln xmlns:a="http://schemas.openxmlformats.org/drawingml/2006/main" w="9525">
          <a:solidFill>
            <a:srgbClr val="000000"/>
          </a:solidFill>
          <a:miter lim="800000"/>
          <a:headEnd/>
          <a:tailEnd/>
        </a:ln>
      </cdr:spPr>
      <cdr:txBody>
        <a:bodyPr xmlns:a="http://schemas.openxmlformats.org/drawingml/2006/main" vertOverflow="clip" wrap="square" lIns="91440" tIns="45720" rIns="91440" bIns="45720" anchor="t" upright="1"/>
        <a:lstStyle xmlns:a="http://schemas.openxmlformats.org/drawingml/2006/main"/>
        <a:p xmlns:a="http://schemas.openxmlformats.org/drawingml/2006/main">
          <a:pPr algn="ctr" rtl="0">
            <a:lnSpc>
              <a:spcPts val="1200"/>
            </a:lnSpc>
            <a:defRPr sz="1000"/>
          </a:pPr>
          <a:r>
            <a:rPr lang="en-US" sz="1200" b="1" i="0" u="none" strike="noStrike" baseline="0">
              <a:solidFill>
                <a:srgbClr val="000000"/>
              </a:solidFill>
              <a:latin typeface="Times New Roman"/>
              <a:cs typeface="Times New Roman"/>
            </a:rPr>
            <a:t>Threshold (mA)</a:t>
          </a:r>
        </a:p>
      </cdr:txBody>
    </cdr:sp>
  </cdr:relSizeAnchor>
  <cdr:relSizeAnchor xmlns:cdr="http://schemas.openxmlformats.org/drawingml/2006/chartDrawing">
    <cdr:from>
      <cdr:x>0.72898</cdr:x>
      <cdr:y>0.14375</cdr:y>
    </cdr:from>
    <cdr:to>
      <cdr:x>0.98063</cdr:x>
      <cdr:y>0.27383</cdr:y>
    </cdr:to>
    <cdr:sp macro="" textlink="">
      <cdr:nvSpPr>
        <cdr:cNvPr id="4107" name="Text Box 11"/>
        <cdr:cNvSpPr txBox="1">
          <a:spLocks xmlns:a="http://schemas.openxmlformats.org/drawingml/2006/main" noChangeArrowheads="1"/>
        </cdr:cNvSpPr>
      </cdr:nvSpPr>
      <cdr:spPr bwMode="auto">
        <a:xfrm xmlns:a="http://schemas.openxmlformats.org/drawingml/2006/main">
          <a:off x="4933077" y="623014"/>
          <a:ext cx="1701879" cy="556320"/>
        </a:xfrm>
        <a:prstGeom xmlns:a="http://schemas.openxmlformats.org/drawingml/2006/main" prst="rect">
          <a:avLst/>
        </a:prstGeom>
        <a:solidFill xmlns:a="http://schemas.openxmlformats.org/drawingml/2006/main">
          <a:srgbClr val="FFFFFF"/>
        </a:solidFill>
        <a:ln xmlns:a="http://schemas.openxmlformats.org/drawingml/2006/main" w="9525">
          <a:solidFill>
            <a:srgbClr val="000000"/>
          </a:solidFill>
          <a:miter lim="800000"/>
          <a:headEnd/>
          <a:tailEnd/>
        </a:ln>
      </cdr:spPr>
      <cdr:txBody>
        <a:bodyPr xmlns:a="http://schemas.openxmlformats.org/drawingml/2006/main" vertOverflow="clip" wrap="square" lIns="91440" tIns="45720" rIns="91440" bIns="45720" anchor="t" upright="1"/>
        <a:lstStyle xmlns:a="http://schemas.openxmlformats.org/drawingml/2006/main"/>
        <a:p xmlns:a="http://schemas.openxmlformats.org/drawingml/2006/main">
          <a:pPr algn="ctr" rtl="0">
            <a:lnSpc>
              <a:spcPts val="1000"/>
            </a:lnSpc>
            <a:defRPr sz="1000"/>
          </a:pPr>
          <a:r>
            <a:rPr lang="en-US" sz="1100" b="1" i="0" u="none" strike="noStrike" baseline="0">
              <a:solidFill>
                <a:srgbClr val="000000"/>
              </a:solidFill>
              <a:latin typeface="Times New Roman"/>
              <a:cs typeface="Times New Roman"/>
            </a:rPr>
            <a:t>Nom. Wavelength (nm)</a:t>
          </a:r>
          <a:endParaRPr lang="en-US" sz="1100" b="0" i="0" u="none" strike="noStrike" baseline="0">
            <a:solidFill>
              <a:srgbClr val="000000"/>
            </a:solidFill>
            <a:latin typeface="Times New Roman"/>
            <a:cs typeface="Times New Roman"/>
          </a:endParaRPr>
        </a:p>
      </cdr:txBody>
    </cdr:sp>
  </cdr:relSizeAnchor>
  <cdr:relSizeAnchor xmlns:cdr="http://schemas.openxmlformats.org/drawingml/2006/chartDrawing">
    <cdr:from>
      <cdr:x>0.7307</cdr:x>
      <cdr:y>0.58631</cdr:y>
    </cdr:from>
    <cdr:to>
      <cdr:x>0.98285</cdr:x>
      <cdr:y>0.71321</cdr:y>
    </cdr:to>
    <cdr:sp macro="" textlink="">
      <cdr:nvSpPr>
        <cdr:cNvPr id="4110" name="Text Box 14"/>
        <cdr:cNvSpPr txBox="1">
          <a:spLocks xmlns:a="http://schemas.openxmlformats.org/drawingml/2006/main" noChangeArrowheads="1"/>
        </cdr:cNvSpPr>
      </cdr:nvSpPr>
      <cdr:spPr bwMode="auto">
        <a:xfrm xmlns:a="http://schemas.openxmlformats.org/drawingml/2006/main">
          <a:off x="4944745" y="2525097"/>
          <a:ext cx="1705213" cy="545723"/>
        </a:xfrm>
        <a:prstGeom xmlns:a="http://schemas.openxmlformats.org/drawingml/2006/main" prst="rect">
          <a:avLst/>
        </a:prstGeom>
        <a:solidFill xmlns:a="http://schemas.openxmlformats.org/drawingml/2006/main">
          <a:srgbClr val="FFFFFF"/>
        </a:solidFill>
        <a:ln xmlns:a="http://schemas.openxmlformats.org/drawingml/2006/main" w="9525">
          <a:solidFill>
            <a:srgbClr val="000000"/>
          </a:solidFill>
          <a:miter lim="800000"/>
          <a:headEnd/>
          <a:tailEnd/>
        </a:ln>
      </cdr:spPr>
      <cdr:txBody>
        <a:bodyPr xmlns:a="http://schemas.openxmlformats.org/drawingml/2006/main" vertOverflow="clip" wrap="square" lIns="91440" tIns="45720" rIns="91440" bIns="45720" anchor="t" upright="1"/>
        <a:lstStyle xmlns:a="http://schemas.openxmlformats.org/drawingml/2006/main"/>
        <a:p xmlns:a="http://schemas.openxmlformats.org/drawingml/2006/main">
          <a:pPr algn="ctr" rtl="0">
            <a:lnSpc>
              <a:spcPts val="1200"/>
            </a:lnSpc>
            <a:defRPr sz="1000"/>
          </a:pPr>
          <a:r>
            <a:rPr lang="en-US" sz="1200" b="1" i="0" u="none" strike="noStrike" baseline="0">
              <a:solidFill>
                <a:srgbClr val="000000"/>
              </a:solidFill>
              <a:latin typeface="Times New Roman"/>
              <a:cs typeface="Times New Roman"/>
            </a:rPr>
            <a:t>R Series</a:t>
          </a:r>
        </a:p>
      </cdr:txBody>
    </cdr:sp>
  </cdr:relSizeAnchor>
  <cdr:relSizeAnchor xmlns:cdr="http://schemas.openxmlformats.org/drawingml/2006/chartDrawing">
    <cdr:from>
      <cdr:x>0.7307</cdr:x>
      <cdr:y>0.73032</cdr:y>
    </cdr:from>
    <cdr:to>
      <cdr:x>0.98285</cdr:x>
      <cdr:y>0.85624</cdr:y>
    </cdr:to>
    <cdr:sp macro="" textlink="">
      <cdr:nvSpPr>
        <cdr:cNvPr id="4111" name="Text Box 15"/>
        <cdr:cNvSpPr txBox="1">
          <a:spLocks xmlns:a="http://schemas.openxmlformats.org/drawingml/2006/main" noChangeArrowheads="1"/>
        </cdr:cNvSpPr>
      </cdr:nvSpPr>
      <cdr:spPr bwMode="auto">
        <a:xfrm xmlns:a="http://schemas.openxmlformats.org/drawingml/2006/main">
          <a:off x="4944745" y="3143937"/>
          <a:ext cx="1705213" cy="542544"/>
        </a:xfrm>
        <a:prstGeom xmlns:a="http://schemas.openxmlformats.org/drawingml/2006/main" prst="rect">
          <a:avLst/>
        </a:prstGeom>
        <a:solidFill xmlns:a="http://schemas.openxmlformats.org/drawingml/2006/main">
          <a:srgbClr val="FFFFFF"/>
        </a:solidFill>
        <a:ln xmlns:a="http://schemas.openxmlformats.org/drawingml/2006/main" w="9525">
          <a:solidFill>
            <a:srgbClr val="000000"/>
          </a:solidFill>
          <a:miter lim="800000"/>
          <a:headEnd/>
          <a:tailEnd/>
        </a:ln>
      </cdr:spPr>
      <cdr:txBody>
        <a:bodyPr xmlns:a="http://schemas.openxmlformats.org/drawingml/2006/main" vertOverflow="clip" wrap="square" lIns="91440" tIns="45720" rIns="91440" bIns="45720" anchor="t" upright="1"/>
        <a:lstStyle xmlns:a="http://schemas.openxmlformats.org/drawingml/2006/main"/>
        <a:p xmlns:a="http://schemas.openxmlformats.org/drawingml/2006/main">
          <a:pPr algn="ctr" rtl="0">
            <a:lnSpc>
              <a:spcPts val="1200"/>
            </a:lnSpc>
            <a:defRPr sz="1000"/>
          </a:pPr>
          <a:r>
            <a:rPr lang="en-US" sz="1200" b="1" i="0" u="none" strike="noStrike" baseline="0">
              <a:solidFill>
                <a:srgbClr val="000000"/>
              </a:solidFill>
              <a:latin typeface="Times New Roman"/>
              <a:cs typeface="Times New Roman"/>
            </a:rPr>
            <a:t>Temperature (°C)</a:t>
          </a:r>
          <a:endParaRPr lang="en-US" sz="1200" b="0" i="0" u="none" strike="noStrike" baseline="0">
            <a:solidFill>
              <a:srgbClr val="000000"/>
            </a:solidFill>
            <a:latin typeface="Times New Roman"/>
            <a:cs typeface="Times New Roman"/>
          </a:endParaRPr>
        </a:p>
        <a:p xmlns:a="http://schemas.openxmlformats.org/drawingml/2006/main">
          <a:pPr algn="ctr" rtl="0">
            <a:lnSpc>
              <a:spcPts val="1100"/>
            </a:lnSpc>
            <a:defRPr sz="1000"/>
          </a:pPr>
          <a:endParaRPr lang="en-US"/>
        </a:p>
      </cdr:txBody>
    </cdr:sp>
  </cdr:relSizeAnchor>
  <cdr:relSizeAnchor xmlns:cdr="http://schemas.openxmlformats.org/drawingml/2006/chartDrawing">
    <cdr:from>
      <cdr:x>0.78825</cdr:x>
      <cdr:y>0.47006</cdr:y>
    </cdr:from>
    <cdr:to>
      <cdr:x>0.92159</cdr:x>
      <cdr:y>0.51198</cdr:y>
    </cdr:to>
    <cdr:sp macro="" textlink="snl!$AG$10">
      <cdr:nvSpPr>
        <cdr:cNvPr id="7" name="TextBox 6"/>
        <cdr:cNvSpPr txBox="1"/>
      </cdr:nvSpPr>
      <cdr:spPr>
        <a:xfrm xmlns:a="http://schemas.openxmlformats.org/drawingml/2006/main">
          <a:off x="5405845" y="2050870"/>
          <a:ext cx="914400" cy="18288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fld id="{D5530F51-D263-45BA-BFC4-576791056167}" type="TxLink">
            <a:rPr lang="en-US" sz="1000" b="0" i="0" u="none" strike="noStrike">
              <a:solidFill>
                <a:srgbClr val="000000"/>
              </a:solidFill>
              <a:latin typeface="Arial"/>
              <a:cs typeface="Arial"/>
            </a:rPr>
            <a:pPr algn="ctr"/>
            <a:t>54.88</a:t>
          </a:fld>
          <a:endParaRPr lang="en-US" sz="1100"/>
        </a:p>
      </cdr:txBody>
    </cdr:sp>
  </cdr:relSizeAnchor>
  <cdr:relSizeAnchor xmlns:cdr="http://schemas.openxmlformats.org/drawingml/2006/chartDrawing">
    <cdr:from>
      <cdr:x>0.78995</cdr:x>
      <cdr:y>0.32102</cdr:y>
    </cdr:from>
    <cdr:to>
      <cdr:x>0.92328</cdr:x>
      <cdr:y>0.36294</cdr:y>
    </cdr:to>
    <cdr:sp macro="" textlink="snl!$AG$11">
      <cdr:nvSpPr>
        <cdr:cNvPr id="15" name="TextBox 1"/>
        <cdr:cNvSpPr txBox="1"/>
      </cdr:nvSpPr>
      <cdr:spPr>
        <a:xfrm xmlns:a="http://schemas.openxmlformats.org/drawingml/2006/main">
          <a:off x="5417457" y="1400627"/>
          <a:ext cx="914400" cy="18288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5E5BCA94-160B-4027-BB86-AA62088475E8}" type="TxLink">
            <a:rPr lang="en-US" sz="1000" b="0" i="0" u="none" strike="noStrike">
              <a:solidFill>
                <a:srgbClr val="000000"/>
              </a:solidFill>
              <a:latin typeface="Arial"/>
              <a:cs typeface="Arial"/>
            </a:rPr>
            <a:pPr algn="ctr"/>
            <a:t>0.87</a:t>
          </a:fld>
          <a:endParaRPr lang="en-US" sz="1100"/>
        </a:p>
      </cdr:txBody>
    </cdr:sp>
  </cdr:relSizeAnchor>
  <cdr:relSizeAnchor xmlns:cdr="http://schemas.openxmlformats.org/drawingml/2006/chartDrawing">
    <cdr:from>
      <cdr:x>0.78836</cdr:x>
      <cdr:y>0.61544</cdr:y>
    </cdr:from>
    <cdr:to>
      <cdr:x>0.92169</cdr:x>
      <cdr:y>0.65735</cdr:y>
    </cdr:to>
    <cdr:sp macro="" textlink="snl!$AG$12">
      <cdr:nvSpPr>
        <cdr:cNvPr id="16" name="TextBox 1"/>
        <cdr:cNvSpPr txBox="1"/>
      </cdr:nvSpPr>
      <cdr:spPr>
        <a:xfrm xmlns:a="http://schemas.openxmlformats.org/drawingml/2006/main">
          <a:off x="5406571" y="2685141"/>
          <a:ext cx="914400" cy="18288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68C3F072-623E-4E61-9826-4760F1DAC599}" type="TxLink">
            <a:rPr lang="en-US" sz="1000" b="0" i="0" u="none" strike="noStrike">
              <a:solidFill>
                <a:srgbClr val="000000"/>
              </a:solidFill>
              <a:latin typeface="Arial"/>
              <a:cs typeface="Arial"/>
            </a:rPr>
            <a:pPr algn="ctr"/>
            <a:t>1.53</a:t>
          </a:fld>
          <a:endParaRPr lang="en-US" sz="1100"/>
        </a:p>
      </cdr:txBody>
    </cdr:sp>
  </cdr:relSizeAnchor>
  <cdr:relSizeAnchor xmlns:cdr="http://schemas.openxmlformats.org/drawingml/2006/chartDrawing">
    <cdr:from>
      <cdr:x>0.78519</cdr:x>
      <cdr:y>0.17132</cdr:y>
    </cdr:from>
    <cdr:to>
      <cdr:x>0.91852</cdr:x>
      <cdr:y>0.21324</cdr:y>
    </cdr:to>
    <cdr:sp macro="" textlink="snl!$AG$13">
      <cdr:nvSpPr>
        <cdr:cNvPr id="17" name="TextBox 1"/>
        <cdr:cNvSpPr txBox="1"/>
      </cdr:nvSpPr>
      <cdr:spPr>
        <a:xfrm xmlns:a="http://schemas.openxmlformats.org/drawingml/2006/main">
          <a:off x="5384800" y="747486"/>
          <a:ext cx="914400" cy="18288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52AB2353-DE7E-4182-AAEC-058E7F00E020}" type="TxLink">
            <a:rPr lang="en-US" sz="1000" b="0" i="0" u="none" strike="noStrike">
              <a:solidFill>
                <a:srgbClr val="000000"/>
              </a:solidFill>
              <a:latin typeface="Arial"/>
              <a:cs typeface="Arial"/>
            </a:rPr>
            <a:pPr algn="ctr"/>
            <a:t>780.241</a:t>
          </a:fld>
          <a:endParaRPr lang="en-US" sz="1100"/>
        </a:p>
      </cdr:txBody>
    </cdr:sp>
  </cdr:relSizeAnchor>
  <cdr:relSizeAnchor xmlns:cdr="http://schemas.openxmlformats.org/drawingml/2006/chartDrawing">
    <cdr:from>
      <cdr:x>0.78995</cdr:x>
      <cdr:y>0.76015</cdr:y>
    </cdr:from>
    <cdr:to>
      <cdr:x>0.92328</cdr:x>
      <cdr:y>0.80206</cdr:y>
    </cdr:to>
    <cdr:sp macro="" textlink="snl!$AG$14">
      <cdr:nvSpPr>
        <cdr:cNvPr id="18" name="TextBox 1"/>
        <cdr:cNvSpPr txBox="1"/>
      </cdr:nvSpPr>
      <cdr:spPr>
        <a:xfrm xmlns:a="http://schemas.openxmlformats.org/drawingml/2006/main">
          <a:off x="5417459" y="3316530"/>
          <a:ext cx="914377" cy="182853"/>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CBEB3AA9-1BF9-45EE-AD68-ED9CC1BCD0D4}" type="TxLink">
            <a:rPr lang="en-US" sz="1000" b="0" i="0" u="none" strike="noStrike">
              <a:solidFill>
                <a:srgbClr val="000000"/>
              </a:solidFill>
              <a:latin typeface="Arial"/>
              <a:cs typeface="Arial"/>
            </a:rPr>
            <a:pPr algn="ctr"/>
            <a:t>25</a:t>
          </a:fld>
          <a:endParaRPr lang="en-US" sz="1100"/>
        </a:p>
      </cdr:txBody>
    </cdr:sp>
  </cdr:relSizeAnchor>
</c:userShapes>
</file>

<file path=xl/drawings/drawing3.xml><?xml version="1.0" encoding="utf-8"?>
<xdr:wsDr xmlns:xdr="http://schemas.openxmlformats.org/drawingml/2006/spreadsheetDrawing" xmlns:a="http://schemas.openxmlformats.org/drawingml/2006/main">
  <xdr:absoluteAnchor>
    <xdr:pos x="0" y="0"/>
    <xdr:ext cx="8641237" cy="6274716"/>
    <xdr:graphicFrame macro="">
      <xdr:nvGraphicFramePr>
        <xdr:cNvPr id="2" name="Chart 1">
          <a:extLst>
            <a:ext uri="{FF2B5EF4-FFF2-40B4-BE49-F238E27FC236}">
              <a16:creationId xmlns:a16="http://schemas.microsoft.com/office/drawing/2014/main" id="{FEA8DF9F-4FE6-5A84-0D55-351946B0B9E8}"/>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c:userShapes xmlns:c="http://schemas.openxmlformats.org/drawingml/2006/chart">
  <cdr:relSizeAnchor xmlns:cdr="http://schemas.openxmlformats.org/drawingml/2006/chartDrawing">
    <cdr:from>
      <cdr:x>0.32361</cdr:x>
      <cdr:y>0.47495</cdr:y>
    </cdr:from>
    <cdr:to>
      <cdr:x>0.32361</cdr:x>
      <cdr:y>0.5796</cdr:y>
    </cdr:to>
    <cdr:cxnSp macro="">
      <cdr:nvCxnSpPr>
        <cdr:cNvPr id="61441" name="AutoShape 1">
          <a:extLst xmlns:a="http://schemas.openxmlformats.org/drawingml/2006/main">
            <a:ext uri="{FF2B5EF4-FFF2-40B4-BE49-F238E27FC236}">
              <a16:creationId xmlns:a16="http://schemas.microsoft.com/office/drawing/2014/main" id="{917260B0-217F-45C7-8633-BD963A8EC3A9}"/>
            </a:ext>
          </a:extLst>
        </cdr:cNvPr>
        <cdr:cNvCxnSpPr>
          <a:cxnSpLocks xmlns:a="http://schemas.openxmlformats.org/drawingml/2006/main" noChangeShapeType="1"/>
        </cdr:cNvCxnSpPr>
      </cdr:nvCxnSpPr>
      <cdr:spPr bwMode="auto">
        <a:xfrm xmlns:a="http://schemas.openxmlformats.org/drawingml/2006/main" flipV="1">
          <a:off x="2184817" y="2173281"/>
          <a:ext cx="0" cy="478858"/>
        </a:xfrm>
        <a:prstGeom xmlns:a="http://schemas.openxmlformats.org/drawingml/2006/main" prst="straightConnector1">
          <a:avLst/>
        </a:prstGeom>
        <a:noFill xmlns:a="http://schemas.openxmlformats.org/drawingml/2006/main"/>
        <a:ln xmlns:a="http://schemas.openxmlformats.org/drawingml/2006/main" w="9525">
          <a:solidFill>
            <a:srgbClr xmlns:mc="http://schemas.openxmlformats.org/markup-compatibility/2006" xmlns:a14="http://schemas.microsoft.com/office/drawing/2010/main" val="000000" mc:Ignorable="a14" a14:legacySpreadsheetColorIndex="64"/>
          </a:solidFill>
          <a:round/>
          <a:headEnd/>
          <a:tailEnd/>
        </a:ln>
        <a:extLst xmlns:a="http://schemas.openxmlformats.org/drawingml/2006/main">
          <a:ext uri="{909E8E84-426E-40DD-AFC4-6F175D3DCCD1}">
            <a14:hiddenFill xmlns:a14="http://schemas.microsoft.com/office/drawing/2010/main">
              <a:noFill/>
            </a14:hiddenFill>
          </a:ext>
        </a:extLst>
      </cdr:spPr>
    </cdr:cxnSp>
  </cdr:relSizeAnchor>
  <cdr:relSizeAnchor xmlns:cdr="http://schemas.openxmlformats.org/drawingml/2006/chartDrawing">
    <cdr:from>
      <cdr:x>0.32486</cdr:x>
      <cdr:y>0.46121</cdr:y>
    </cdr:from>
    <cdr:to>
      <cdr:x>0.43455</cdr:x>
      <cdr:y>0.46121</cdr:y>
    </cdr:to>
    <cdr:cxnSp macro="">
      <cdr:nvCxnSpPr>
        <cdr:cNvPr id="31746" name="AutoShape 2">
          <a:extLst xmlns:a="http://schemas.openxmlformats.org/drawingml/2006/main">
            <a:ext uri="{FF2B5EF4-FFF2-40B4-BE49-F238E27FC236}">
              <a16:creationId xmlns:a16="http://schemas.microsoft.com/office/drawing/2014/main" id="{6BE2AA91-F208-424C-A3CC-F7B4AC540A16}"/>
            </a:ext>
          </a:extLst>
        </cdr:cNvPr>
        <cdr:cNvCxnSpPr>
          <a:cxnSpLocks xmlns:a="http://schemas.openxmlformats.org/drawingml/2006/main" noChangeShapeType="1"/>
        </cdr:cNvCxnSpPr>
      </cdr:nvCxnSpPr>
      <cdr:spPr bwMode="auto">
        <a:xfrm xmlns:a="http://schemas.openxmlformats.org/drawingml/2006/main" flipV="1">
          <a:off x="2193222" y="2110395"/>
          <a:ext cx="740553" cy="0"/>
        </a:xfrm>
        <a:prstGeom xmlns:a="http://schemas.openxmlformats.org/drawingml/2006/main" prst="straightConnector1">
          <a:avLst/>
        </a:prstGeom>
        <a:noFill xmlns:a="http://schemas.openxmlformats.org/drawingml/2006/main"/>
        <a:ln xmlns:a="http://schemas.openxmlformats.org/drawingml/2006/main" w="9525">
          <a:solidFill>
            <a:srgbClr xmlns:mc="http://schemas.openxmlformats.org/markup-compatibility/2006" xmlns:a14="http://schemas.microsoft.com/office/drawing/2010/main" val="000000" mc:Ignorable="a14" a14:legacySpreadsheetColorIndex="64"/>
          </a:solidFill>
          <a:round/>
          <a:headEnd/>
          <a:tailEnd/>
        </a:ln>
        <a:extLst xmlns:a="http://schemas.openxmlformats.org/drawingml/2006/main">
          <a:ext uri="{909E8E84-426E-40DD-AFC4-6F175D3DCCD1}">
            <a14:hiddenFill xmlns:a14="http://schemas.microsoft.com/office/drawing/2010/main">
              <a:noFill/>
            </a14:hiddenFill>
          </a:ext>
        </a:extLst>
      </cdr:spPr>
    </cdr:cxnSp>
  </cdr:relSizeAnchor>
  <cdr:relSizeAnchor xmlns:cdr="http://schemas.openxmlformats.org/drawingml/2006/chartDrawing">
    <cdr:from>
      <cdr:x>0.19295</cdr:x>
      <cdr:y>0.2591</cdr:y>
    </cdr:from>
    <cdr:to>
      <cdr:x>0.49239</cdr:x>
      <cdr:y>0.38767</cdr:y>
    </cdr:to>
    <mc:AlternateContent xmlns:mc="http://schemas.openxmlformats.org/markup-compatibility/2006" xmlns:a14="http://schemas.microsoft.com/office/drawing/2010/main">
      <mc:Choice Requires="a14">
        <cdr:sp macro="" textlink="">
          <cdr:nvSpPr>
            <cdr:cNvPr id="4" name="TextBox 1"/>
            <cdr:cNvSpPr txBox="1"/>
          </cdr:nvSpPr>
          <cdr:spPr>
            <a:xfrm xmlns:a="http://schemas.openxmlformats.org/drawingml/2006/main">
              <a:off x="1302658" y="1128486"/>
              <a:ext cx="2021600" cy="559961"/>
            </a:xfrm>
            <a:prstGeom xmlns:a="http://schemas.openxmlformats.org/drawingml/2006/main" prst="rect">
              <a:avLst/>
            </a:prstGeom>
            <a:solidFill xmlns:a="http://schemas.openxmlformats.org/drawingml/2006/main">
              <a:schemeClr val="bg1"/>
            </a:solidFill>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14:m>
                <m:oMathPara xmlns:m="http://schemas.openxmlformats.org/officeDocument/2006/math">
                  <m:oMathParaPr>
                    <m:jc m:val="centerGroup"/>
                  </m:oMathParaPr>
                  <m:oMath xmlns:m="http://schemas.openxmlformats.org/officeDocument/2006/math">
                    <m:f>
                      <m:fPr>
                        <m:ctrlPr>
                          <a:rPr lang="en-US" sz="1600" i="1">
                            <a:latin typeface="Cambria Math" panose="02040503050406030204" pitchFamily="18" charset="0"/>
                          </a:rPr>
                        </m:ctrlPr>
                      </m:fPr>
                      <m:num>
                        <m:r>
                          <a:rPr lang="en-US" sz="1600" i="1">
                            <a:latin typeface="Cambria Math"/>
                          </a:rPr>
                          <m:t>𝑑</m:t>
                        </m:r>
                        <m:r>
                          <a:rPr lang="en-US" sz="1600" i="1">
                            <a:latin typeface="Cambria Math"/>
                            <a:ea typeface="Cambria Math"/>
                          </a:rPr>
                          <m:t>𝜆</m:t>
                        </m:r>
                      </m:num>
                      <m:den>
                        <m:r>
                          <a:rPr lang="en-US" sz="1600" i="1">
                            <a:latin typeface="Cambria Math"/>
                          </a:rPr>
                          <m:t>𝑑</m:t>
                        </m:r>
                        <m:r>
                          <a:rPr lang="en-US" sz="1600" b="0" i="1">
                            <a:latin typeface="Cambria Math"/>
                          </a:rPr>
                          <m:t>𝑇</m:t>
                        </m:r>
                      </m:den>
                    </m:f>
                    <m:r>
                      <a:rPr lang="en-US" sz="1600" i="1">
                        <a:latin typeface="Cambria Math"/>
                        <a:ea typeface="Cambria Math"/>
                      </a:rPr>
                      <m:t>≅</m:t>
                    </m:r>
                    <m:f>
                      <m:fPr>
                        <m:type m:val="lin"/>
                        <m:ctrlPr>
                          <a:rPr lang="en-US" sz="1600" i="1">
                            <a:latin typeface="Cambria Math" panose="02040503050406030204" pitchFamily="18" charset="0"/>
                            <a:ea typeface="Cambria Math"/>
                          </a:rPr>
                        </m:ctrlPr>
                      </m:fPr>
                      <m:num>
                        <m:r>
                          <a:rPr lang="en-US" sz="1600" b="0" i="1">
                            <a:latin typeface="Cambria Math"/>
                            <a:ea typeface="Cambria Math"/>
                          </a:rPr>
                          <m:t>0.060 </m:t>
                        </m:r>
                        <m:r>
                          <a:rPr lang="en-US" sz="1600" b="0" i="1">
                            <a:latin typeface="Cambria Math"/>
                            <a:ea typeface="Cambria Math"/>
                          </a:rPr>
                          <m:t>𝑛𝑚</m:t>
                        </m:r>
                      </m:num>
                      <m:den>
                        <m:r>
                          <a:rPr lang="en-US" sz="1600" i="1">
                            <a:latin typeface="Cambria Math"/>
                            <a:ea typeface="Cambria Math"/>
                          </a:rPr>
                          <m:t>℃</m:t>
                        </m:r>
                      </m:den>
                    </m:f>
                  </m:oMath>
                </m:oMathPara>
              </a14:m>
              <a:endParaRPr lang="en-US" sz="1100"/>
            </a:p>
          </cdr:txBody>
        </cdr:sp>
      </mc:Choice>
      <mc:Fallback xmlns="">
        <cdr:sp macro="" textlink="">
          <cdr:nvSpPr>
            <cdr:cNvPr id="4" name="TextBox 1"/>
            <cdr:cNvSpPr txBox="1"/>
          </cdr:nvSpPr>
          <cdr:spPr>
            <a:xfrm xmlns:a="http://schemas.openxmlformats.org/drawingml/2006/main">
              <a:off x="1302658" y="1128486"/>
              <a:ext cx="2021600" cy="559961"/>
            </a:xfrm>
            <a:prstGeom xmlns:a="http://schemas.openxmlformats.org/drawingml/2006/main" prst="rect">
              <a:avLst/>
            </a:prstGeom>
            <a:solidFill xmlns:a="http://schemas.openxmlformats.org/drawingml/2006/main">
              <a:schemeClr val="bg1"/>
            </a:solidFill>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r>
                <a:rPr lang="en-US" sz="1600" i="0">
                  <a:latin typeface="Cambria Math"/>
                </a:rPr>
                <a:t>𝑑</a:t>
              </a:r>
              <a:r>
                <a:rPr lang="en-US" sz="1600" i="0">
                  <a:latin typeface="Cambria Math"/>
                  <a:ea typeface="Cambria Math"/>
                </a:rPr>
                <a:t>𝜆/</a:t>
              </a:r>
              <a:r>
                <a:rPr lang="en-US" sz="1600" i="0">
                  <a:latin typeface="Cambria Math"/>
                </a:rPr>
                <a:t>𝑑</a:t>
              </a:r>
              <a:r>
                <a:rPr lang="en-US" sz="1600" b="0" i="0">
                  <a:latin typeface="Cambria Math"/>
                </a:rPr>
                <a:t>𝑇</a:t>
              </a:r>
              <a:r>
                <a:rPr lang="en-US" sz="1600" i="0">
                  <a:latin typeface="Cambria Math"/>
                  <a:ea typeface="Cambria Math"/>
                </a:rPr>
                <a:t>≅〖</a:t>
              </a:r>
              <a:r>
                <a:rPr lang="en-US" sz="1600" b="0" i="0">
                  <a:latin typeface="Cambria Math"/>
                  <a:ea typeface="Cambria Math"/>
                </a:rPr>
                <a:t>0.060 𝑛𝑚〗∕</a:t>
              </a:r>
              <a:r>
                <a:rPr lang="en-US" sz="1600" i="0">
                  <a:latin typeface="Cambria Math"/>
                  <a:ea typeface="Cambria Math"/>
                </a:rPr>
                <a:t>℃</a:t>
              </a:r>
              <a:endParaRPr lang="en-US" sz="1100"/>
            </a:p>
          </cdr:txBody>
        </cdr:sp>
      </mc:Fallback>
    </mc:AlternateContent>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91440" tIns="45720" rIns="91440" bIns="4572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C3CE09-5A45-4E9A-ADCC-8D4BB7E8C30E}">
  <dimension ref="A1"/>
  <sheetViews>
    <sheetView workbookViewId="0">
      <selection activeCell="Q54" sqref="Q54"/>
    </sheetView>
  </sheetViews>
  <sheetFormatPr defaultRowHeight="12.75" x14ac:dyDescent="0.2"/>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SG109"/>
  <sheetViews>
    <sheetView zoomScale="77" zoomScaleNormal="77" workbookViewId="0">
      <selection activeCell="E13" sqref="E13"/>
    </sheetView>
  </sheetViews>
  <sheetFormatPr defaultRowHeight="12.75" x14ac:dyDescent="0.2"/>
  <cols>
    <col min="1" max="1" width="16.42578125" bestFit="1" customWidth="1"/>
    <col min="4" max="4" width="10.42578125" customWidth="1"/>
    <col min="5" max="5" width="10" customWidth="1"/>
    <col min="11" max="12" width="9.140625" customWidth="1"/>
    <col min="13" max="13" width="11" customWidth="1"/>
  </cols>
  <sheetData>
    <row r="1" spans="1:35" x14ac:dyDescent="0.2">
      <c r="A1" s="14" t="s">
        <v>35</v>
      </c>
      <c r="B1" s="15" t="s">
        <v>597</v>
      </c>
      <c r="N1" s="5" t="s">
        <v>20</v>
      </c>
      <c r="P1" s="3"/>
      <c r="R1" s="4">
        <f t="array" ref="R1:S1">LINEST(N3:N5,M3:M5)</f>
        <v>6.100000000000138E-2</v>
      </c>
      <c r="S1">
        <v>777.93899999999985</v>
      </c>
    </row>
    <row r="2" spans="1:35" x14ac:dyDescent="0.2">
      <c r="A2" s="3" t="s">
        <v>2138</v>
      </c>
      <c r="B2" s="18">
        <f>VLOOKUP($B$1,Key!$A:$R,7,FALSE)</f>
        <v>0</v>
      </c>
      <c r="N2">
        <f>N40</f>
        <v>0.16500000138249599</v>
      </c>
      <c r="P2">
        <v>0.25000000993410698</v>
      </c>
      <c r="Q2">
        <v>0.25200000007947199</v>
      </c>
    </row>
    <row r="3" spans="1:35" x14ac:dyDescent="0.2">
      <c r="A3" s="3" t="s">
        <v>2139</v>
      </c>
      <c r="B3" s="18" t="str">
        <f>VLOOKUP($B$1,Key!$A:$R,8,FALSE)</f>
        <v>180</v>
      </c>
      <c r="L3" t="str">
        <f>_xlfn.CONCAT(M3," C")</f>
        <v>15 C</v>
      </c>
      <c r="M3" s="3">
        <f>A39</f>
        <v>15</v>
      </c>
      <c r="N3">
        <f>N41</f>
        <v>778.85199999999998</v>
      </c>
      <c r="O3">
        <f>$R$1*M3+$S$1</f>
        <v>778.85399999999993</v>
      </c>
      <c r="P3">
        <f>N9+2</f>
        <v>31.3</v>
      </c>
      <c r="Q3">
        <v>35.08</v>
      </c>
    </row>
    <row r="4" spans="1:35" x14ac:dyDescent="0.2">
      <c r="L4" t="str">
        <f t="shared" ref="L4:L5" si="0">_xlfn.CONCAT(M4," C")</f>
        <v>25 C</v>
      </c>
      <c r="M4" s="3">
        <f>B39</f>
        <v>25</v>
      </c>
      <c r="N4">
        <f>N42</f>
        <v>779.46799999999996</v>
      </c>
      <c r="O4">
        <f>$R$1*M4+$S$1</f>
        <v>779.46399999999994</v>
      </c>
      <c r="P4">
        <f>N10+2</f>
        <v>33.35</v>
      </c>
      <c r="Q4">
        <v>34.5</v>
      </c>
      <c r="X4" s="4"/>
    </row>
    <row r="5" spans="1:35" x14ac:dyDescent="0.2">
      <c r="L5" t="str">
        <f t="shared" si="0"/>
        <v>35 C</v>
      </c>
      <c r="M5" s="3">
        <f>C39</f>
        <v>35</v>
      </c>
      <c r="N5">
        <f>N43</f>
        <v>780.072</v>
      </c>
      <c r="O5">
        <f>$R$1*M5+$S$1</f>
        <v>780.07399999999996</v>
      </c>
      <c r="P5">
        <f>N11+2</f>
        <v>33.019999999999996</v>
      </c>
      <c r="Q5">
        <v>34.18</v>
      </c>
    </row>
    <row r="6" spans="1:35" x14ac:dyDescent="0.2">
      <c r="A6" t="s">
        <v>2159</v>
      </c>
      <c r="B6" t="s">
        <v>2149</v>
      </c>
      <c r="C6" t="s">
        <v>2150</v>
      </c>
      <c r="D6" t="s">
        <v>2155</v>
      </c>
      <c r="E6" t="s">
        <v>2154</v>
      </c>
      <c r="M6" s="3"/>
    </row>
    <row r="7" spans="1:35" x14ac:dyDescent="0.2">
      <c r="A7" t="s">
        <v>2164</v>
      </c>
      <c r="B7">
        <f>B8</f>
        <v>417</v>
      </c>
      <c r="C7">
        <v>102</v>
      </c>
      <c r="D7">
        <f>MAX((ROUND((E7-0.06),2)),ROUND($A$69,2))</f>
        <v>0.18</v>
      </c>
      <c r="E7" cm="1">
        <f t="array" ref="E7">ROUND((INDEX($1:$1048576,C7,B7)),3)+0.01</f>
        <v>0.24300000000000002</v>
      </c>
      <c r="F7" t="s">
        <v>2151</v>
      </c>
      <c r="M7" s="3"/>
    </row>
    <row r="8" spans="1:35" x14ac:dyDescent="0.2">
      <c r="A8" t="s">
        <v>2147</v>
      </c>
      <c r="B8" cm="1">
        <f t="array" ref="B8">MATCH(TRUE,ABS($103:$103-($B$3/1000))&lt;=0.008,0)</f>
        <v>417</v>
      </c>
      <c r="C8">
        <v>103</v>
      </c>
      <c r="D8">
        <f>B2/1000</f>
        <v>0</v>
      </c>
      <c r="E8" cm="1">
        <f t="array" ref="E8">ROUND((INDEX($1:$1048576,C8,B8)+0.02),2)</f>
        <v>0.19</v>
      </c>
      <c r="F8" t="s">
        <v>2152</v>
      </c>
      <c r="M8" s="3"/>
      <c r="N8">
        <f>N69</f>
        <v>0.16500000138249599</v>
      </c>
    </row>
    <row r="9" spans="1:35" x14ac:dyDescent="0.2">
      <c r="A9" t="s">
        <v>2148</v>
      </c>
      <c r="B9">
        <f>B8</f>
        <v>417</v>
      </c>
      <c r="C9">
        <v>104</v>
      </c>
      <c r="D9">
        <f>ROUND((A104-0.2),1)</f>
        <v>1.2</v>
      </c>
      <c r="E9" cm="1">
        <f t="array" ref="E9">ROUND((INDEX($1:$1048576,C9,B9)+0.2),1)</f>
        <v>2.2000000000000002</v>
      </c>
      <c r="F9" t="s">
        <v>2153</v>
      </c>
      <c r="N9">
        <f>N70</f>
        <v>29.3</v>
      </c>
      <c r="AG9" s="6" t="s">
        <v>25</v>
      </c>
      <c r="AH9" s="1"/>
      <c r="AI9" s="2"/>
    </row>
    <row r="10" spans="1:35" x14ac:dyDescent="0.2">
      <c r="A10" t="s">
        <v>2156</v>
      </c>
      <c r="D10">
        <v>0</v>
      </c>
      <c r="E10">
        <v>60</v>
      </c>
      <c r="F10" t="s">
        <v>2157</v>
      </c>
      <c r="N10">
        <f>N71</f>
        <v>31.35</v>
      </c>
      <c r="AF10" t="s">
        <v>30</v>
      </c>
      <c r="AG10" s="10">
        <f>A105</f>
        <v>54.879719270118699</v>
      </c>
    </row>
    <row r="11" spans="1:35" x14ac:dyDescent="0.2">
      <c r="A11" t="s">
        <v>2165</v>
      </c>
      <c r="D11">
        <f>ROUND(VLOOKUP($B$1,Key!$A:$R,11,FALSE),1)</f>
        <v>778.2</v>
      </c>
      <c r="E11">
        <f>ROUND(VLOOKUP($B$1,Key!$A:$R,12,FALSE),1)</f>
        <v>782.2</v>
      </c>
      <c r="F11" t="s">
        <v>2158</v>
      </c>
      <c r="N11">
        <f>N72</f>
        <v>31.02</v>
      </c>
      <c r="AF11" t="s">
        <v>31</v>
      </c>
      <c r="AG11" s="10">
        <f>A106</f>
        <v>0.86679046308244201</v>
      </c>
    </row>
    <row r="12" spans="1:35" x14ac:dyDescent="0.2">
      <c r="A12" t="s">
        <v>2146</v>
      </c>
      <c r="D12">
        <v>0</v>
      </c>
      <c r="E12">
        <f>E7+0.02</f>
        <v>0.26300000000000001</v>
      </c>
      <c r="F12" t="s">
        <v>2151</v>
      </c>
      <c r="AF12" t="s">
        <v>32</v>
      </c>
      <c r="AG12" s="10">
        <f>A107</f>
        <v>1.5306352100715399</v>
      </c>
    </row>
    <row r="13" spans="1:35" x14ac:dyDescent="0.2">
      <c r="A13" t="s">
        <v>2166</v>
      </c>
      <c r="D13">
        <f>D11</f>
        <v>778.2</v>
      </c>
      <c r="E13">
        <f>E11</f>
        <v>782.2</v>
      </c>
      <c r="F13" t="s">
        <v>2158</v>
      </c>
      <c r="AF13" t="s">
        <v>33</v>
      </c>
      <c r="AG13" t="str">
        <f>_xlfn.TEXTBEFORE($B$1,"DBR",1,1)</f>
        <v>780.241</v>
      </c>
    </row>
    <row r="14" spans="1:35" x14ac:dyDescent="0.2">
      <c r="AF14" t="s">
        <v>34</v>
      </c>
      <c r="AG14" t="str">
        <f>MID(B88,13,2)</f>
        <v>25</v>
      </c>
    </row>
    <row r="17" spans="1:28" x14ac:dyDescent="0.2">
      <c r="A17" t="s">
        <v>24</v>
      </c>
      <c r="B17" t="s">
        <v>23</v>
      </c>
      <c r="C17" t="s">
        <v>7</v>
      </c>
      <c r="D17" t="s">
        <v>22</v>
      </c>
      <c r="E17" t="s">
        <v>21</v>
      </c>
      <c r="AB17" s="6"/>
    </row>
    <row r="18" spans="1:28" ht="15" x14ac:dyDescent="0.2">
      <c r="A18" t="s">
        <v>2</v>
      </c>
      <c r="B18" t="s">
        <v>2162</v>
      </c>
      <c r="AB18" s="7"/>
    </row>
    <row r="19" spans="1:28" ht="15" x14ac:dyDescent="0.2">
      <c r="A19" t="s">
        <v>1</v>
      </c>
      <c r="B19" t="s">
        <v>2172</v>
      </c>
      <c r="AB19" s="7"/>
    </row>
    <row r="20" spans="1:28" ht="15" x14ac:dyDescent="0.2">
      <c r="A20" t="s">
        <v>0</v>
      </c>
      <c r="B20" t="s">
        <v>16</v>
      </c>
      <c r="AB20" s="7"/>
    </row>
    <row r="21" spans="1:28" ht="15" x14ac:dyDescent="0.2">
      <c r="A21" t="s">
        <v>2167</v>
      </c>
      <c r="AB21" s="8"/>
    </row>
    <row r="22" spans="1:28" ht="15" x14ac:dyDescent="0.2">
      <c r="A22" t="s">
        <v>2173</v>
      </c>
      <c r="AB22" s="8"/>
    </row>
    <row r="23" spans="1:28" x14ac:dyDescent="0.2">
      <c r="A23" t="s">
        <v>3</v>
      </c>
      <c r="B23" t="s">
        <v>9</v>
      </c>
    </row>
    <row r="24" spans="1:28" x14ac:dyDescent="0.2">
      <c r="A24" t="s">
        <v>4</v>
      </c>
      <c r="B24" t="s">
        <v>2174</v>
      </c>
    </row>
    <row r="25" spans="1:28" x14ac:dyDescent="0.2">
      <c r="A25" s="1">
        <v>45491</v>
      </c>
      <c r="B25" s="2">
        <v>0.48850694444444442</v>
      </c>
      <c r="C25" t="s">
        <v>2170</v>
      </c>
    </row>
    <row r="26" spans="1:28" x14ac:dyDescent="0.2">
      <c r="A26" t="s">
        <v>10</v>
      </c>
      <c r="B26" t="s">
        <v>26</v>
      </c>
    </row>
    <row r="27" spans="1:28" x14ac:dyDescent="0.2">
      <c r="A27" t="s">
        <v>11</v>
      </c>
      <c r="B27" t="s">
        <v>2163</v>
      </c>
    </row>
    <row r="28" spans="1:28" x14ac:dyDescent="0.2">
      <c r="A28" t="s">
        <v>10</v>
      </c>
      <c r="B28" t="s">
        <v>27</v>
      </c>
    </row>
    <row r="29" spans="1:28" x14ac:dyDescent="0.2">
      <c r="A29" t="s">
        <v>11</v>
      </c>
      <c r="B29" t="s">
        <v>28</v>
      </c>
    </row>
    <row r="30" spans="1:28" x14ac:dyDescent="0.2">
      <c r="A30" t="s">
        <v>12</v>
      </c>
    </row>
    <row r="31" spans="1:28" x14ac:dyDescent="0.2">
      <c r="A31" t="s">
        <v>13</v>
      </c>
      <c r="B31" t="s">
        <v>19</v>
      </c>
    </row>
    <row r="32" spans="1:28" x14ac:dyDescent="0.2">
      <c r="A32" t="s">
        <v>13</v>
      </c>
      <c r="B32" t="s">
        <v>14</v>
      </c>
    </row>
    <row r="33" spans="1:43" x14ac:dyDescent="0.2">
      <c r="A33" t="s">
        <v>15</v>
      </c>
    </row>
    <row r="34" spans="1:43" x14ac:dyDescent="0.2">
      <c r="A34" t="s">
        <v>10</v>
      </c>
      <c r="B34" t="s">
        <v>2160</v>
      </c>
    </row>
    <row r="35" spans="1:43" x14ac:dyDescent="0.2">
      <c r="A35" t="s">
        <v>11</v>
      </c>
      <c r="B35" t="s">
        <v>2161</v>
      </c>
    </row>
    <row r="37" spans="1:43" x14ac:dyDescent="0.2">
      <c r="A37" t="s">
        <v>17</v>
      </c>
    </row>
    <row r="38" spans="1:43" x14ac:dyDescent="0.2">
      <c r="A38">
        <v>3</v>
      </c>
      <c r="B38">
        <v>37</v>
      </c>
    </row>
    <row r="39" spans="1:43" x14ac:dyDescent="0.2">
      <c r="A39">
        <v>15</v>
      </c>
      <c r="B39">
        <v>25</v>
      </c>
      <c r="C39">
        <v>35</v>
      </c>
    </row>
    <row r="40" spans="1:43" x14ac:dyDescent="0.2">
      <c r="A40">
        <v>0.10000000149011599</v>
      </c>
      <c r="B40">
        <v>0.105000001481837</v>
      </c>
      <c r="C40">
        <v>0.110000001473559</v>
      </c>
      <c r="D40">
        <v>0.11500000146528</v>
      </c>
      <c r="E40">
        <v>0.120000001457002</v>
      </c>
      <c r="F40">
        <v>0.125000001448724</v>
      </c>
      <c r="G40">
        <v>0.13000000144044499</v>
      </c>
      <c r="H40">
        <v>0.135000001432167</v>
      </c>
      <c r="I40">
        <v>0.14000000142388799</v>
      </c>
      <c r="J40">
        <v>0.14500000141561001</v>
      </c>
      <c r="K40">
        <v>0.150000001407331</v>
      </c>
      <c r="L40">
        <v>0.15500000139905301</v>
      </c>
      <c r="M40">
        <v>0.160000001390775</v>
      </c>
      <c r="N40">
        <v>0.16500000138249599</v>
      </c>
      <c r="O40">
        <v>0.170000001374218</v>
      </c>
      <c r="P40">
        <v>0.17500000136593899</v>
      </c>
      <c r="Q40">
        <v>0.180000001357661</v>
      </c>
      <c r="R40">
        <v>0.18500000134938199</v>
      </c>
      <c r="S40">
        <v>0.19000000134110401</v>
      </c>
      <c r="T40">
        <v>0.195000001332826</v>
      </c>
      <c r="U40">
        <v>0.20000000132454701</v>
      </c>
      <c r="V40">
        <v>0.205000001316269</v>
      </c>
      <c r="W40">
        <v>0.21000000130798999</v>
      </c>
      <c r="X40">
        <v>0.215000001299712</v>
      </c>
      <c r="Y40">
        <v>0.22000000129143399</v>
      </c>
      <c r="Z40">
        <v>0.225000001283155</v>
      </c>
      <c r="AA40">
        <v>0.23000000127487699</v>
      </c>
      <c r="AB40">
        <v>0.23500000126659801</v>
      </c>
      <c r="AC40">
        <v>0.24000000125831999</v>
      </c>
      <c r="AD40">
        <v>0.24500000125004101</v>
      </c>
      <c r="AE40">
        <v>0.25000000124176303</v>
      </c>
      <c r="AF40">
        <v>0.25500000123348499</v>
      </c>
      <c r="AG40">
        <v>0.260000001225206</v>
      </c>
      <c r="AH40">
        <v>0.26500000121692802</v>
      </c>
      <c r="AI40">
        <v>0.27000000120864898</v>
      </c>
      <c r="AJ40">
        <v>0.27500000120037099</v>
      </c>
      <c r="AK40">
        <v>0.28000000119209201</v>
      </c>
    </row>
    <row r="41" spans="1:43" x14ac:dyDescent="0.2">
      <c r="A41">
        <v>778.67200000000003</v>
      </c>
      <c r="B41">
        <v>778.73599999999999</v>
      </c>
      <c r="C41">
        <v>778.74400000000003</v>
      </c>
      <c r="D41">
        <v>778.75599999999997</v>
      </c>
      <c r="E41">
        <v>778.76400000000001</v>
      </c>
      <c r="F41">
        <v>778.77200000000005</v>
      </c>
      <c r="G41">
        <v>778.78</v>
      </c>
      <c r="H41">
        <v>778.79200000000003</v>
      </c>
      <c r="I41">
        <v>778.80399999999997</v>
      </c>
      <c r="J41">
        <v>778.81200000000001</v>
      </c>
      <c r="K41">
        <v>778.82</v>
      </c>
      <c r="L41">
        <v>778.83199999999999</v>
      </c>
      <c r="M41">
        <v>778.84</v>
      </c>
      <c r="N41">
        <v>778.85199999999998</v>
      </c>
      <c r="O41">
        <v>778.86</v>
      </c>
      <c r="P41">
        <v>778.87199999999996</v>
      </c>
      <c r="Q41">
        <v>778.88400000000001</v>
      </c>
      <c r="R41">
        <v>778.89599999999996</v>
      </c>
      <c r="S41">
        <v>778.904</v>
      </c>
      <c r="T41">
        <v>778.91600000000005</v>
      </c>
      <c r="U41">
        <v>778.928</v>
      </c>
      <c r="V41">
        <v>778.93600000000004</v>
      </c>
      <c r="W41">
        <v>778.94799999999998</v>
      </c>
      <c r="X41">
        <v>778.96</v>
      </c>
      <c r="Y41">
        <v>778.97199999999998</v>
      </c>
      <c r="Z41">
        <v>778.98400000000004</v>
      </c>
      <c r="AA41">
        <v>778.99599999999998</v>
      </c>
      <c r="AB41">
        <v>779.00800000000004</v>
      </c>
      <c r="AC41">
        <v>779.06399999999996</v>
      </c>
      <c r="AD41">
        <v>779.07600000000002</v>
      </c>
      <c r="AE41">
        <v>779.08799999999997</v>
      </c>
      <c r="AF41">
        <v>779.1</v>
      </c>
      <c r="AG41">
        <v>779.10799999999995</v>
      </c>
      <c r="AH41">
        <v>779.12400000000002</v>
      </c>
      <c r="AI41">
        <v>779.13599999999997</v>
      </c>
      <c r="AJ41">
        <v>779.14800000000002</v>
      </c>
      <c r="AK41">
        <v>779.16</v>
      </c>
    </row>
    <row r="42" spans="1:43" x14ac:dyDescent="0.2">
      <c r="A42">
        <v>779.33199999999999</v>
      </c>
      <c r="B42">
        <v>779.34799999999996</v>
      </c>
      <c r="C42">
        <v>779.36400000000003</v>
      </c>
      <c r="D42">
        <v>779.37199999999996</v>
      </c>
      <c r="E42">
        <v>779.38400000000001</v>
      </c>
      <c r="F42">
        <v>779.39200000000005</v>
      </c>
      <c r="G42">
        <v>779.4</v>
      </c>
      <c r="H42">
        <v>779.41200000000003</v>
      </c>
      <c r="I42">
        <v>779.42</v>
      </c>
      <c r="J42">
        <v>779.43200000000002</v>
      </c>
      <c r="K42">
        <v>779.44</v>
      </c>
      <c r="L42">
        <v>779.44799999999998</v>
      </c>
      <c r="M42">
        <v>779.45600000000002</v>
      </c>
      <c r="N42">
        <v>779.46799999999996</v>
      </c>
      <c r="O42">
        <v>779.476</v>
      </c>
      <c r="P42">
        <v>779.48800000000006</v>
      </c>
      <c r="Q42">
        <v>779.5</v>
      </c>
      <c r="R42">
        <v>779.50800000000004</v>
      </c>
      <c r="S42">
        <v>779.51599999999996</v>
      </c>
      <c r="T42">
        <v>779.52800000000002</v>
      </c>
      <c r="U42">
        <v>779.54</v>
      </c>
      <c r="V42">
        <v>779.548</v>
      </c>
      <c r="W42">
        <v>779.56</v>
      </c>
      <c r="X42">
        <v>779.572</v>
      </c>
      <c r="Y42">
        <v>779.58399999999995</v>
      </c>
      <c r="Z42">
        <v>779.596</v>
      </c>
      <c r="AA42">
        <v>779.60400000000004</v>
      </c>
      <c r="AB42">
        <v>779.61599999999999</v>
      </c>
      <c r="AC42">
        <v>779.62800000000004</v>
      </c>
      <c r="AD42">
        <v>779.68799999999999</v>
      </c>
      <c r="AE42">
        <v>779.69600000000003</v>
      </c>
      <c r="AF42">
        <v>779.71199999999999</v>
      </c>
      <c r="AG42">
        <v>779.72400000000005</v>
      </c>
      <c r="AH42">
        <v>779.73599999999999</v>
      </c>
      <c r="AI42">
        <v>779.74800000000005</v>
      </c>
      <c r="AJ42">
        <v>779.76</v>
      </c>
      <c r="AK42">
        <v>779.77200000000005</v>
      </c>
    </row>
    <row r="43" spans="1:43" x14ac:dyDescent="0.2">
      <c r="A43">
        <v>779.904</v>
      </c>
      <c r="B43">
        <v>779.95600000000002</v>
      </c>
      <c r="C43">
        <v>779.97199999999998</v>
      </c>
      <c r="D43">
        <v>779.98</v>
      </c>
      <c r="E43">
        <v>779.99199999999996</v>
      </c>
      <c r="F43">
        <v>780</v>
      </c>
      <c r="G43">
        <v>780.00800000000004</v>
      </c>
      <c r="H43">
        <v>780.02</v>
      </c>
      <c r="I43">
        <v>780.02800000000002</v>
      </c>
      <c r="J43">
        <v>780.03599999999904</v>
      </c>
      <c r="K43">
        <v>780.048</v>
      </c>
      <c r="L43">
        <v>780.05600000000004</v>
      </c>
      <c r="M43">
        <v>780.06399999999996</v>
      </c>
      <c r="N43">
        <v>780.072</v>
      </c>
      <c r="O43">
        <v>780.08799999999997</v>
      </c>
      <c r="P43">
        <v>780.096</v>
      </c>
      <c r="Q43">
        <v>780.10799999999995</v>
      </c>
      <c r="R43">
        <v>780.12</v>
      </c>
      <c r="S43">
        <v>780.13199999999995</v>
      </c>
      <c r="T43">
        <v>780.14400000000001</v>
      </c>
      <c r="U43">
        <v>780.15200000000004</v>
      </c>
      <c r="V43">
        <v>780.16399999999999</v>
      </c>
      <c r="W43">
        <v>780.17200000000003</v>
      </c>
      <c r="X43">
        <v>780.18399999999997</v>
      </c>
      <c r="Y43">
        <v>780.19600000000003</v>
      </c>
      <c r="Z43">
        <v>780.20799999999997</v>
      </c>
      <c r="AA43">
        <v>780.22</v>
      </c>
      <c r="AB43">
        <v>780.23199999999997</v>
      </c>
      <c r="AC43">
        <v>780.24400000000003</v>
      </c>
      <c r="AD43">
        <v>780.25599999999997</v>
      </c>
      <c r="AE43">
        <v>780.31600000000003</v>
      </c>
      <c r="AF43">
        <v>780.32799999999997</v>
      </c>
      <c r="AG43">
        <v>780.34</v>
      </c>
      <c r="AH43">
        <v>780.35199999999998</v>
      </c>
      <c r="AI43">
        <v>780.36400000000003</v>
      </c>
      <c r="AJ43">
        <v>780.38</v>
      </c>
      <c r="AK43">
        <v>780.39200000000005</v>
      </c>
    </row>
    <row r="45" spans="1:43" x14ac:dyDescent="0.2">
      <c r="A45" s="11"/>
      <c r="B45" s="11"/>
      <c r="C45" s="11"/>
      <c r="D45" s="11"/>
      <c r="E45" s="11"/>
      <c r="F45" s="11"/>
      <c r="G45" s="11"/>
      <c r="H45" s="11"/>
      <c r="I45" s="11"/>
      <c r="J45" s="11"/>
      <c r="K45" s="11"/>
      <c r="L45" s="11"/>
      <c r="M45" s="11"/>
      <c r="N45" s="11"/>
      <c r="O45" s="11"/>
      <c r="P45" s="11"/>
      <c r="Q45" s="11"/>
      <c r="R45" s="11"/>
      <c r="S45" s="11"/>
      <c r="T45" s="11"/>
      <c r="U45" s="11"/>
      <c r="V45" s="11"/>
      <c r="W45" s="11"/>
      <c r="X45" s="11"/>
      <c r="Y45" s="11"/>
      <c r="Z45" s="11"/>
      <c r="AA45" s="11"/>
      <c r="AB45" s="11"/>
      <c r="AC45" s="11"/>
      <c r="AD45" s="11"/>
      <c r="AE45" s="11"/>
      <c r="AF45" s="11"/>
      <c r="AG45" s="11"/>
      <c r="AH45" s="11"/>
      <c r="AI45" s="11"/>
      <c r="AJ45" s="11"/>
      <c r="AK45" s="11"/>
      <c r="AL45" s="11"/>
      <c r="AM45" s="11"/>
      <c r="AN45" s="11"/>
      <c r="AO45" s="11"/>
      <c r="AP45" s="11"/>
      <c r="AQ45" s="11"/>
    </row>
    <row r="46" spans="1:43" x14ac:dyDescent="0.2">
      <c r="A46" t="s">
        <v>2156</v>
      </c>
      <c r="B46" t="s">
        <v>7</v>
      </c>
      <c r="C46" t="s">
        <v>22</v>
      </c>
      <c r="D46" t="s">
        <v>21</v>
      </c>
    </row>
    <row r="47" spans="1:43" x14ac:dyDescent="0.2">
      <c r="A47" t="s">
        <v>2</v>
      </c>
      <c r="B47" t="s">
        <v>2162</v>
      </c>
    </row>
    <row r="48" spans="1:43" x14ac:dyDescent="0.2">
      <c r="A48" t="s">
        <v>1</v>
      </c>
      <c r="B48" t="s">
        <v>2172</v>
      </c>
    </row>
    <row r="49" spans="1:3" x14ac:dyDescent="0.2">
      <c r="A49" t="s">
        <v>0</v>
      </c>
      <c r="B49" t="s">
        <v>16</v>
      </c>
    </row>
    <row r="50" spans="1:3" x14ac:dyDescent="0.2">
      <c r="A50" t="s">
        <v>2167</v>
      </c>
    </row>
    <row r="51" spans="1:3" x14ac:dyDescent="0.2">
      <c r="A51" t="s">
        <v>2173</v>
      </c>
    </row>
    <row r="52" spans="1:3" x14ac:dyDescent="0.2">
      <c r="A52" t="s">
        <v>3</v>
      </c>
      <c r="B52" t="s">
        <v>9</v>
      </c>
    </row>
    <row r="53" spans="1:3" x14ac:dyDescent="0.2">
      <c r="A53" t="s">
        <v>4</v>
      </c>
      <c r="B53" t="s">
        <v>2174</v>
      </c>
    </row>
    <row r="54" spans="1:3" x14ac:dyDescent="0.2">
      <c r="A54" s="1">
        <v>45491</v>
      </c>
      <c r="B54" s="2">
        <v>0.48851851851851852</v>
      </c>
      <c r="C54" t="s">
        <v>2170</v>
      </c>
    </row>
    <row r="55" spans="1:3" x14ac:dyDescent="0.2">
      <c r="A55" t="s">
        <v>10</v>
      </c>
      <c r="B55" t="s">
        <v>26</v>
      </c>
    </row>
    <row r="56" spans="1:3" x14ac:dyDescent="0.2">
      <c r="A56" t="s">
        <v>11</v>
      </c>
      <c r="B56" t="s">
        <v>2163</v>
      </c>
    </row>
    <row r="57" spans="1:3" x14ac:dyDescent="0.2">
      <c r="A57" t="s">
        <v>10</v>
      </c>
      <c r="B57" t="s">
        <v>27</v>
      </c>
    </row>
    <row r="58" spans="1:3" x14ac:dyDescent="0.2">
      <c r="A58" t="s">
        <v>11</v>
      </c>
      <c r="B58" t="s">
        <v>28</v>
      </c>
    </row>
    <row r="59" spans="1:3" x14ac:dyDescent="0.2">
      <c r="A59" t="s">
        <v>12</v>
      </c>
    </row>
    <row r="60" spans="1:3" x14ac:dyDescent="0.2">
      <c r="A60" t="s">
        <v>13</v>
      </c>
      <c r="B60" t="s">
        <v>19</v>
      </c>
    </row>
    <row r="61" spans="1:3" x14ac:dyDescent="0.2">
      <c r="A61" t="s">
        <v>13</v>
      </c>
      <c r="B61" t="s">
        <v>14</v>
      </c>
    </row>
    <row r="62" spans="1:3" x14ac:dyDescent="0.2">
      <c r="A62" t="s">
        <v>15</v>
      </c>
    </row>
    <row r="63" spans="1:3" x14ac:dyDescent="0.2">
      <c r="A63" t="s">
        <v>10</v>
      </c>
      <c r="B63" t="s">
        <v>2160</v>
      </c>
    </row>
    <row r="64" spans="1:3" x14ac:dyDescent="0.2">
      <c r="A64" t="s">
        <v>11</v>
      </c>
      <c r="B64" t="s">
        <v>2161</v>
      </c>
    </row>
    <row r="66" spans="1:51" x14ac:dyDescent="0.2">
      <c r="A66" t="s">
        <v>17</v>
      </c>
    </row>
    <row r="67" spans="1:51" x14ac:dyDescent="0.2">
      <c r="A67">
        <v>3</v>
      </c>
      <c r="B67">
        <v>37</v>
      </c>
    </row>
    <row r="68" spans="1:51" x14ac:dyDescent="0.2">
      <c r="A68">
        <v>15</v>
      </c>
      <c r="B68">
        <v>25</v>
      </c>
      <c r="C68">
        <v>35</v>
      </c>
    </row>
    <row r="69" spans="1:51" x14ac:dyDescent="0.2">
      <c r="A69">
        <v>0.10000000149011599</v>
      </c>
      <c r="B69">
        <v>0.105000001481837</v>
      </c>
      <c r="C69">
        <v>0.110000001473559</v>
      </c>
      <c r="D69">
        <v>0.11500000146528</v>
      </c>
      <c r="E69">
        <v>0.120000001457002</v>
      </c>
      <c r="F69">
        <v>0.125000001448724</v>
      </c>
      <c r="G69">
        <v>0.13000000144044499</v>
      </c>
      <c r="H69">
        <v>0.135000001432167</v>
      </c>
      <c r="I69">
        <v>0.14000000142388799</v>
      </c>
      <c r="J69">
        <v>0.14500000141561001</v>
      </c>
      <c r="K69">
        <v>0.150000001407331</v>
      </c>
      <c r="L69">
        <v>0.15500000139905301</v>
      </c>
      <c r="M69">
        <v>0.160000001390775</v>
      </c>
      <c r="N69">
        <v>0.16500000138249599</v>
      </c>
      <c r="O69">
        <v>0.170000001374218</v>
      </c>
      <c r="P69">
        <v>0.17500000136593899</v>
      </c>
      <c r="Q69">
        <v>0.180000001357661</v>
      </c>
      <c r="R69">
        <v>0.18500000134938199</v>
      </c>
      <c r="S69">
        <v>0.19000000134110401</v>
      </c>
      <c r="T69">
        <v>0.195000001332826</v>
      </c>
      <c r="U69">
        <v>0.20000000132454701</v>
      </c>
      <c r="V69">
        <v>0.205000001316269</v>
      </c>
      <c r="W69">
        <v>0.21000000130798999</v>
      </c>
      <c r="X69">
        <v>0.215000001299712</v>
      </c>
      <c r="Y69">
        <v>0.22000000129143399</v>
      </c>
      <c r="Z69">
        <v>0.225000001283155</v>
      </c>
      <c r="AA69">
        <v>0.23000000127487699</v>
      </c>
      <c r="AB69">
        <v>0.23500000126659801</v>
      </c>
      <c r="AC69">
        <v>0.24000000125831999</v>
      </c>
      <c r="AD69">
        <v>0.24500000125004101</v>
      </c>
      <c r="AE69">
        <v>0.25000000124176303</v>
      </c>
      <c r="AF69">
        <v>0.25500000123348499</v>
      </c>
      <c r="AG69">
        <v>0.260000001225206</v>
      </c>
      <c r="AH69">
        <v>0.26500000121692802</v>
      </c>
      <c r="AI69">
        <v>0.27000000120864898</v>
      </c>
      <c r="AJ69">
        <v>0.27500000120037099</v>
      </c>
      <c r="AK69">
        <v>0.28000000119209201</v>
      </c>
    </row>
    <row r="70" spans="1:51" x14ac:dyDescent="0.2">
      <c r="A70">
        <v>13.09</v>
      </c>
      <c r="B70">
        <v>25.88</v>
      </c>
      <c r="C70">
        <v>26.65</v>
      </c>
      <c r="D70">
        <v>26.7</v>
      </c>
      <c r="E70">
        <v>25.9</v>
      </c>
      <c r="F70">
        <v>27.18</v>
      </c>
      <c r="G70">
        <v>27.53</v>
      </c>
      <c r="H70">
        <v>27.84</v>
      </c>
      <c r="I70">
        <v>27.49</v>
      </c>
      <c r="J70">
        <v>29</v>
      </c>
      <c r="K70">
        <v>28.12</v>
      </c>
      <c r="L70">
        <v>28.52</v>
      </c>
      <c r="M70">
        <v>28.55</v>
      </c>
      <c r="N70">
        <v>29.3</v>
      </c>
      <c r="O70">
        <v>29.61</v>
      </c>
      <c r="P70">
        <v>30.29</v>
      </c>
      <c r="Q70">
        <v>29.21</v>
      </c>
      <c r="R70">
        <v>29.17</v>
      </c>
      <c r="S70">
        <v>29.93</v>
      </c>
      <c r="T70">
        <v>29.19</v>
      </c>
      <c r="U70">
        <v>29.25</v>
      </c>
      <c r="V70">
        <v>27.43</v>
      </c>
      <c r="W70">
        <v>29.48</v>
      </c>
      <c r="X70">
        <v>30.21</v>
      </c>
      <c r="Y70">
        <v>29.69</v>
      </c>
      <c r="Z70">
        <v>31.22</v>
      </c>
      <c r="AA70">
        <v>30.17</v>
      </c>
      <c r="AB70">
        <v>30.78</v>
      </c>
      <c r="AC70">
        <v>32.35</v>
      </c>
      <c r="AD70">
        <v>31.09</v>
      </c>
      <c r="AE70">
        <v>31.17</v>
      </c>
      <c r="AF70">
        <v>31.6</v>
      </c>
      <c r="AG70">
        <v>30.81</v>
      </c>
      <c r="AH70">
        <v>32.14</v>
      </c>
      <c r="AI70">
        <v>32.81</v>
      </c>
      <c r="AJ70">
        <v>31.56</v>
      </c>
      <c r="AK70">
        <v>32.200000000000003</v>
      </c>
    </row>
    <row r="71" spans="1:51" x14ac:dyDescent="0.2">
      <c r="A71">
        <v>26.87</v>
      </c>
      <c r="B71">
        <v>28.37</v>
      </c>
      <c r="C71">
        <v>28.53</v>
      </c>
      <c r="D71">
        <v>28.6</v>
      </c>
      <c r="E71">
        <v>28.91</v>
      </c>
      <c r="F71">
        <v>29.37</v>
      </c>
      <c r="G71">
        <v>29.91</v>
      </c>
      <c r="H71">
        <v>29.96</v>
      </c>
      <c r="I71">
        <v>29.72</v>
      </c>
      <c r="J71">
        <v>30.34</v>
      </c>
      <c r="K71">
        <v>30.15</v>
      </c>
      <c r="L71">
        <v>31.44</v>
      </c>
      <c r="M71">
        <v>30.93</v>
      </c>
      <c r="N71">
        <v>31.35</v>
      </c>
      <c r="O71">
        <v>30.59</v>
      </c>
      <c r="P71">
        <v>30.77</v>
      </c>
      <c r="Q71">
        <v>31.86</v>
      </c>
      <c r="R71">
        <v>31.35</v>
      </c>
      <c r="S71">
        <v>31.67</v>
      </c>
      <c r="T71">
        <v>31.83</v>
      </c>
      <c r="U71">
        <v>31.79</v>
      </c>
      <c r="V71">
        <v>32.03</v>
      </c>
      <c r="W71">
        <v>32.18</v>
      </c>
      <c r="X71">
        <v>31.74</v>
      </c>
      <c r="Y71">
        <v>32.24</v>
      </c>
      <c r="Z71">
        <v>31.69</v>
      </c>
      <c r="AA71">
        <v>31.95</v>
      </c>
      <c r="AB71">
        <v>33.159999999999997</v>
      </c>
      <c r="AC71">
        <v>32.25</v>
      </c>
      <c r="AD71">
        <v>32.33</v>
      </c>
      <c r="AE71">
        <v>32.54</v>
      </c>
      <c r="AF71">
        <v>32.49</v>
      </c>
      <c r="AG71">
        <v>31.84</v>
      </c>
      <c r="AH71">
        <v>32.35</v>
      </c>
      <c r="AI71">
        <v>33.200000000000003</v>
      </c>
      <c r="AJ71">
        <v>33.18</v>
      </c>
      <c r="AK71">
        <v>33.35</v>
      </c>
    </row>
    <row r="72" spans="1:51" x14ac:dyDescent="0.2">
      <c r="A72">
        <v>27.27</v>
      </c>
      <c r="B72">
        <v>27.92</v>
      </c>
      <c r="C72">
        <v>26.62</v>
      </c>
      <c r="D72">
        <v>28.52</v>
      </c>
      <c r="E72">
        <v>28.67</v>
      </c>
      <c r="F72">
        <v>29.36</v>
      </c>
      <c r="G72">
        <v>29.52</v>
      </c>
      <c r="H72">
        <v>29.69</v>
      </c>
      <c r="I72">
        <v>30.39</v>
      </c>
      <c r="J72">
        <v>31.07</v>
      </c>
      <c r="K72">
        <v>30.12</v>
      </c>
      <c r="L72">
        <v>30.11</v>
      </c>
      <c r="M72">
        <v>31.21</v>
      </c>
      <c r="N72">
        <v>31.02</v>
      </c>
      <c r="O72">
        <v>31.46</v>
      </c>
      <c r="P72">
        <v>31.88</v>
      </c>
      <c r="Q72">
        <v>32.26</v>
      </c>
      <c r="R72">
        <v>31.6</v>
      </c>
      <c r="S72">
        <v>32.25</v>
      </c>
      <c r="T72">
        <v>32.76</v>
      </c>
      <c r="U72">
        <v>32.56</v>
      </c>
      <c r="V72">
        <v>31.75</v>
      </c>
      <c r="W72">
        <v>32.909999999999997</v>
      </c>
      <c r="X72">
        <v>30.74</v>
      </c>
      <c r="Y72">
        <v>33.25</v>
      </c>
      <c r="Z72">
        <v>32.770000000000003</v>
      </c>
      <c r="AA72">
        <v>33.36</v>
      </c>
      <c r="AB72">
        <v>32.409999999999997</v>
      </c>
      <c r="AC72">
        <v>33.090000000000003</v>
      </c>
      <c r="AD72">
        <v>32.92</v>
      </c>
      <c r="AE72">
        <v>33.79</v>
      </c>
      <c r="AF72">
        <v>32.94</v>
      </c>
      <c r="AG72">
        <v>31.96</v>
      </c>
      <c r="AH72">
        <v>32.93</v>
      </c>
      <c r="AI72">
        <v>33.56</v>
      </c>
      <c r="AJ72">
        <v>33.549999999999997</v>
      </c>
      <c r="AK72">
        <v>32.97</v>
      </c>
    </row>
    <row r="74" spans="1:51" x14ac:dyDescent="0.2">
      <c r="A74">
        <f>A70+5</f>
        <v>18.09</v>
      </c>
      <c r="B74">
        <f t="shared" ref="B74:AE76" si="1">B70+5</f>
        <v>30.88</v>
      </c>
      <c r="C74">
        <f t="shared" si="1"/>
        <v>31.65</v>
      </c>
      <c r="D74">
        <f t="shared" si="1"/>
        <v>31.7</v>
      </c>
      <c r="E74">
        <f t="shared" si="1"/>
        <v>30.9</v>
      </c>
      <c r="F74">
        <f t="shared" si="1"/>
        <v>32.18</v>
      </c>
      <c r="G74">
        <f t="shared" si="1"/>
        <v>32.53</v>
      </c>
      <c r="H74">
        <f t="shared" si="1"/>
        <v>32.840000000000003</v>
      </c>
      <c r="I74">
        <f t="shared" si="1"/>
        <v>32.489999999999995</v>
      </c>
      <c r="J74">
        <f t="shared" si="1"/>
        <v>34</v>
      </c>
      <c r="K74">
        <f t="shared" si="1"/>
        <v>33.120000000000005</v>
      </c>
      <c r="L74">
        <f t="shared" si="1"/>
        <v>33.519999999999996</v>
      </c>
      <c r="M74">
        <f t="shared" si="1"/>
        <v>33.549999999999997</v>
      </c>
      <c r="N74">
        <f t="shared" si="1"/>
        <v>34.299999999999997</v>
      </c>
      <c r="O74">
        <f t="shared" si="1"/>
        <v>34.61</v>
      </c>
      <c r="P74">
        <f t="shared" si="1"/>
        <v>35.29</v>
      </c>
      <c r="Q74">
        <f t="shared" si="1"/>
        <v>34.21</v>
      </c>
      <c r="R74">
        <f t="shared" si="1"/>
        <v>34.17</v>
      </c>
      <c r="S74">
        <f t="shared" si="1"/>
        <v>34.93</v>
      </c>
      <c r="T74">
        <f t="shared" si="1"/>
        <v>34.19</v>
      </c>
      <c r="U74">
        <f t="shared" si="1"/>
        <v>34.25</v>
      </c>
      <c r="V74">
        <f t="shared" si="1"/>
        <v>32.43</v>
      </c>
      <c r="W74">
        <f t="shared" si="1"/>
        <v>34.480000000000004</v>
      </c>
      <c r="X74">
        <f t="shared" si="1"/>
        <v>35.21</v>
      </c>
      <c r="Y74">
        <f t="shared" si="1"/>
        <v>34.69</v>
      </c>
      <c r="Z74">
        <f t="shared" si="1"/>
        <v>36.22</v>
      </c>
      <c r="AA74">
        <f t="shared" si="1"/>
        <v>35.17</v>
      </c>
      <c r="AB74">
        <f t="shared" si="1"/>
        <v>35.78</v>
      </c>
      <c r="AC74">
        <f t="shared" si="1"/>
        <v>37.35</v>
      </c>
      <c r="AD74">
        <f t="shared" si="1"/>
        <v>36.090000000000003</v>
      </c>
      <c r="AE74">
        <f t="shared" si="1"/>
        <v>36.17</v>
      </c>
      <c r="AF74">
        <f t="shared" ref="AF74:AK74" si="2">AF70+5</f>
        <v>36.6</v>
      </c>
      <c r="AG74">
        <f t="shared" si="2"/>
        <v>35.81</v>
      </c>
      <c r="AH74">
        <f t="shared" si="2"/>
        <v>37.14</v>
      </c>
      <c r="AI74">
        <f t="shared" si="2"/>
        <v>37.81</v>
      </c>
      <c r="AJ74">
        <f t="shared" si="2"/>
        <v>36.56</v>
      </c>
      <c r="AK74">
        <f t="shared" si="2"/>
        <v>37.200000000000003</v>
      </c>
      <c r="AL74">
        <f t="shared" ref="AL74:AY74" si="3">AL70+5</f>
        <v>5</v>
      </c>
      <c r="AM74">
        <f t="shared" si="3"/>
        <v>5</v>
      </c>
      <c r="AN74">
        <f t="shared" si="3"/>
        <v>5</v>
      </c>
      <c r="AO74">
        <f t="shared" si="3"/>
        <v>5</v>
      </c>
      <c r="AP74">
        <f t="shared" si="3"/>
        <v>5</v>
      </c>
      <c r="AQ74">
        <f t="shared" si="3"/>
        <v>5</v>
      </c>
      <c r="AR74">
        <f t="shared" si="3"/>
        <v>5</v>
      </c>
      <c r="AS74">
        <f t="shared" si="3"/>
        <v>5</v>
      </c>
      <c r="AT74">
        <f t="shared" si="3"/>
        <v>5</v>
      </c>
      <c r="AU74">
        <f t="shared" si="3"/>
        <v>5</v>
      </c>
      <c r="AV74">
        <f t="shared" si="3"/>
        <v>5</v>
      </c>
      <c r="AW74">
        <f t="shared" si="3"/>
        <v>5</v>
      </c>
      <c r="AX74">
        <f t="shared" si="3"/>
        <v>5</v>
      </c>
      <c r="AY74">
        <f t="shared" si="3"/>
        <v>5</v>
      </c>
    </row>
    <row r="75" spans="1:51" x14ac:dyDescent="0.2">
      <c r="A75">
        <f t="shared" ref="A75:P76" si="4">A71+5</f>
        <v>31.87</v>
      </c>
      <c r="B75">
        <f t="shared" si="4"/>
        <v>33.370000000000005</v>
      </c>
      <c r="C75">
        <f t="shared" si="4"/>
        <v>33.53</v>
      </c>
      <c r="D75">
        <f t="shared" si="4"/>
        <v>33.6</v>
      </c>
      <c r="E75">
        <f t="shared" si="4"/>
        <v>33.909999999999997</v>
      </c>
      <c r="F75">
        <f t="shared" si="4"/>
        <v>34.370000000000005</v>
      </c>
      <c r="G75">
        <f t="shared" si="4"/>
        <v>34.909999999999997</v>
      </c>
      <c r="H75">
        <f t="shared" si="4"/>
        <v>34.96</v>
      </c>
      <c r="I75">
        <f t="shared" si="4"/>
        <v>34.72</v>
      </c>
      <c r="J75">
        <f t="shared" si="4"/>
        <v>35.340000000000003</v>
      </c>
      <c r="K75">
        <f t="shared" si="4"/>
        <v>35.15</v>
      </c>
      <c r="L75">
        <f t="shared" si="4"/>
        <v>36.44</v>
      </c>
      <c r="M75">
        <f t="shared" si="4"/>
        <v>35.93</v>
      </c>
      <c r="N75">
        <f t="shared" si="4"/>
        <v>36.35</v>
      </c>
      <c r="O75">
        <f t="shared" si="4"/>
        <v>35.590000000000003</v>
      </c>
      <c r="P75">
        <f t="shared" si="4"/>
        <v>35.769999999999996</v>
      </c>
      <c r="Q75">
        <f t="shared" si="1"/>
        <v>36.86</v>
      </c>
      <c r="R75">
        <f t="shared" si="1"/>
        <v>36.35</v>
      </c>
      <c r="S75">
        <f t="shared" si="1"/>
        <v>36.67</v>
      </c>
      <c r="T75">
        <f t="shared" si="1"/>
        <v>36.83</v>
      </c>
      <c r="U75">
        <f t="shared" si="1"/>
        <v>36.79</v>
      </c>
      <c r="V75">
        <f t="shared" si="1"/>
        <v>37.03</v>
      </c>
      <c r="W75">
        <f t="shared" si="1"/>
        <v>37.18</v>
      </c>
      <c r="X75">
        <f t="shared" si="1"/>
        <v>36.739999999999995</v>
      </c>
      <c r="Y75">
        <f t="shared" si="1"/>
        <v>37.24</v>
      </c>
      <c r="Z75">
        <f t="shared" si="1"/>
        <v>36.69</v>
      </c>
      <c r="AA75">
        <f t="shared" si="1"/>
        <v>36.950000000000003</v>
      </c>
      <c r="AB75">
        <f t="shared" si="1"/>
        <v>38.159999999999997</v>
      </c>
      <c r="AC75">
        <f t="shared" si="1"/>
        <v>37.25</v>
      </c>
      <c r="AD75">
        <f t="shared" si="1"/>
        <v>37.33</v>
      </c>
      <c r="AE75">
        <f t="shared" si="1"/>
        <v>37.54</v>
      </c>
      <c r="AF75">
        <f t="shared" ref="AF75:AK75" si="5">AF71+5</f>
        <v>37.49</v>
      </c>
      <c r="AG75">
        <f t="shared" si="5"/>
        <v>36.840000000000003</v>
      </c>
      <c r="AH75">
        <f t="shared" si="5"/>
        <v>37.35</v>
      </c>
      <c r="AI75">
        <f t="shared" si="5"/>
        <v>38.200000000000003</v>
      </c>
      <c r="AJ75">
        <f t="shared" si="5"/>
        <v>38.18</v>
      </c>
      <c r="AK75">
        <f t="shared" si="5"/>
        <v>38.35</v>
      </c>
      <c r="AL75">
        <f t="shared" ref="AL75:AY75" si="6">AL71+5</f>
        <v>5</v>
      </c>
      <c r="AM75">
        <f t="shared" si="6"/>
        <v>5</v>
      </c>
      <c r="AN75">
        <f t="shared" si="6"/>
        <v>5</v>
      </c>
      <c r="AO75">
        <f t="shared" si="6"/>
        <v>5</v>
      </c>
      <c r="AP75">
        <f t="shared" si="6"/>
        <v>5</v>
      </c>
      <c r="AQ75">
        <f t="shared" si="6"/>
        <v>5</v>
      </c>
      <c r="AR75">
        <f t="shared" si="6"/>
        <v>5</v>
      </c>
      <c r="AS75">
        <f t="shared" si="6"/>
        <v>5</v>
      </c>
      <c r="AT75">
        <f t="shared" si="6"/>
        <v>5</v>
      </c>
      <c r="AU75">
        <f t="shared" si="6"/>
        <v>5</v>
      </c>
      <c r="AV75">
        <f t="shared" si="6"/>
        <v>5</v>
      </c>
      <c r="AW75">
        <f t="shared" si="6"/>
        <v>5</v>
      </c>
      <c r="AX75">
        <f t="shared" si="6"/>
        <v>5</v>
      </c>
      <c r="AY75">
        <f t="shared" si="6"/>
        <v>5</v>
      </c>
    </row>
    <row r="76" spans="1:51" x14ac:dyDescent="0.2">
      <c r="A76">
        <f t="shared" si="4"/>
        <v>32.269999999999996</v>
      </c>
      <c r="B76">
        <f t="shared" si="1"/>
        <v>32.92</v>
      </c>
      <c r="C76">
        <f t="shared" si="1"/>
        <v>31.62</v>
      </c>
      <c r="D76">
        <f t="shared" si="1"/>
        <v>33.519999999999996</v>
      </c>
      <c r="E76">
        <f t="shared" si="1"/>
        <v>33.67</v>
      </c>
      <c r="F76">
        <f t="shared" si="1"/>
        <v>34.36</v>
      </c>
      <c r="G76">
        <f t="shared" si="1"/>
        <v>34.519999999999996</v>
      </c>
      <c r="H76">
        <f t="shared" si="1"/>
        <v>34.69</v>
      </c>
      <c r="I76">
        <f t="shared" si="1"/>
        <v>35.39</v>
      </c>
      <c r="J76">
        <f t="shared" si="1"/>
        <v>36.07</v>
      </c>
      <c r="K76">
        <f t="shared" si="1"/>
        <v>35.120000000000005</v>
      </c>
      <c r="L76">
        <f t="shared" si="1"/>
        <v>35.11</v>
      </c>
      <c r="M76">
        <f t="shared" si="1"/>
        <v>36.21</v>
      </c>
      <c r="N76">
        <f t="shared" si="1"/>
        <v>36.019999999999996</v>
      </c>
      <c r="O76">
        <f t="shared" si="1"/>
        <v>36.46</v>
      </c>
      <c r="P76">
        <f t="shared" si="1"/>
        <v>36.879999999999995</v>
      </c>
      <c r="Q76">
        <f t="shared" si="1"/>
        <v>37.26</v>
      </c>
      <c r="R76">
        <f t="shared" si="1"/>
        <v>36.6</v>
      </c>
      <c r="S76">
        <f t="shared" si="1"/>
        <v>37.25</v>
      </c>
      <c r="T76">
        <f t="shared" si="1"/>
        <v>37.76</v>
      </c>
      <c r="U76">
        <f t="shared" si="1"/>
        <v>37.56</v>
      </c>
      <c r="V76">
        <f t="shared" si="1"/>
        <v>36.75</v>
      </c>
      <c r="W76">
        <f t="shared" si="1"/>
        <v>37.909999999999997</v>
      </c>
      <c r="X76">
        <f t="shared" si="1"/>
        <v>35.739999999999995</v>
      </c>
      <c r="Y76">
        <f t="shared" si="1"/>
        <v>38.25</v>
      </c>
      <c r="Z76">
        <f t="shared" si="1"/>
        <v>37.770000000000003</v>
      </c>
      <c r="AA76">
        <f t="shared" si="1"/>
        <v>38.36</v>
      </c>
      <c r="AB76">
        <f t="shared" si="1"/>
        <v>37.409999999999997</v>
      </c>
      <c r="AC76">
        <f t="shared" si="1"/>
        <v>38.090000000000003</v>
      </c>
      <c r="AD76">
        <f t="shared" si="1"/>
        <v>37.92</v>
      </c>
      <c r="AE76">
        <f t="shared" si="1"/>
        <v>38.79</v>
      </c>
      <c r="AF76">
        <f t="shared" ref="AF76:AK76" si="7">AF72+5</f>
        <v>37.94</v>
      </c>
      <c r="AG76">
        <f t="shared" si="7"/>
        <v>36.96</v>
      </c>
      <c r="AH76">
        <f t="shared" si="7"/>
        <v>37.93</v>
      </c>
      <c r="AI76">
        <f t="shared" si="7"/>
        <v>38.56</v>
      </c>
      <c r="AJ76">
        <f t="shared" si="7"/>
        <v>38.549999999999997</v>
      </c>
      <c r="AK76">
        <f t="shared" si="7"/>
        <v>37.97</v>
      </c>
      <c r="AL76">
        <f t="shared" ref="AL76:AY76" si="8">AL72+5</f>
        <v>5</v>
      </c>
      <c r="AM76">
        <f t="shared" si="8"/>
        <v>5</v>
      </c>
      <c r="AN76">
        <f t="shared" si="8"/>
        <v>5</v>
      </c>
      <c r="AO76">
        <f t="shared" si="8"/>
        <v>5</v>
      </c>
      <c r="AP76">
        <f t="shared" si="8"/>
        <v>5</v>
      </c>
      <c r="AQ76">
        <f t="shared" si="8"/>
        <v>5</v>
      </c>
      <c r="AR76">
        <f t="shared" si="8"/>
        <v>5</v>
      </c>
      <c r="AS76">
        <f t="shared" si="8"/>
        <v>5</v>
      </c>
      <c r="AT76">
        <f t="shared" si="8"/>
        <v>5</v>
      </c>
      <c r="AU76">
        <f t="shared" si="8"/>
        <v>5</v>
      </c>
      <c r="AV76">
        <f t="shared" si="8"/>
        <v>5</v>
      </c>
      <c r="AW76">
        <f t="shared" si="8"/>
        <v>5</v>
      </c>
      <c r="AX76">
        <f t="shared" si="8"/>
        <v>5</v>
      </c>
      <c r="AY76">
        <f t="shared" si="8"/>
        <v>5</v>
      </c>
    </row>
    <row r="78" spans="1:51" x14ac:dyDescent="0.2">
      <c r="A78" s="11"/>
      <c r="B78" s="11"/>
      <c r="C78" s="11"/>
      <c r="D78" s="11"/>
      <c r="E78" s="11"/>
      <c r="F78" s="11"/>
      <c r="G78" s="11"/>
      <c r="H78" s="11"/>
      <c r="I78" s="11"/>
      <c r="J78" s="11"/>
      <c r="K78" s="11"/>
      <c r="L78" s="11"/>
      <c r="M78" s="11"/>
      <c r="N78" s="11"/>
      <c r="O78" s="11"/>
      <c r="P78" s="11"/>
      <c r="Q78" s="11"/>
      <c r="R78" s="11"/>
      <c r="S78" s="11"/>
      <c r="T78" s="11"/>
      <c r="U78" s="11"/>
      <c r="V78" s="11"/>
      <c r="W78" s="11"/>
      <c r="X78" s="11"/>
      <c r="Y78" s="11"/>
      <c r="Z78" s="11"/>
      <c r="AA78" s="11"/>
      <c r="AB78" s="11"/>
      <c r="AC78" s="11"/>
      <c r="AD78" s="11"/>
      <c r="AE78" s="11"/>
      <c r="AF78" s="11"/>
      <c r="AG78" s="11"/>
      <c r="AH78" s="11"/>
      <c r="AI78" s="11"/>
      <c r="AJ78" s="11"/>
      <c r="AK78" s="11"/>
      <c r="AL78" s="11"/>
      <c r="AM78" s="11"/>
      <c r="AN78" s="11"/>
      <c r="AO78" s="11"/>
      <c r="AP78" s="11"/>
      <c r="AQ78" s="11"/>
    </row>
    <row r="79" spans="1:51" x14ac:dyDescent="0.2">
      <c r="A79" t="s">
        <v>5</v>
      </c>
      <c r="B79" t="s">
        <v>6</v>
      </c>
      <c r="C79" t="s">
        <v>7</v>
      </c>
      <c r="D79" t="s">
        <v>8</v>
      </c>
    </row>
    <row r="80" spans="1:51" x14ac:dyDescent="0.2">
      <c r="A80" t="s">
        <v>2</v>
      </c>
      <c r="B80" t="s">
        <v>2162</v>
      </c>
    </row>
    <row r="81" spans="1:3" x14ac:dyDescent="0.2">
      <c r="A81" t="s">
        <v>1</v>
      </c>
      <c r="B81" t="s">
        <v>2169</v>
      </c>
    </row>
    <row r="82" spans="1:3" x14ac:dyDescent="0.2">
      <c r="A82" t="s">
        <v>0</v>
      </c>
      <c r="B82" t="s">
        <v>16</v>
      </c>
    </row>
    <row r="83" spans="1:3" x14ac:dyDescent="0.2">
      <c r="A83" t="s">
        <v>2167</v>
      </c>
    </row>
    <row r="84" spans="1:3" x14ac:dyDescent="0.2">
      <c r="A84" t="s">
        <v>2168</v>
      </c>
    </row>
    <row r="85" spans="1:3" x14ac:dyDescent="0.2">
      <c r="A85" t="s">
        <v>3</v>
      </c>
      <c r="B85" t="s">
        <v>9</v>
      </c>
    </row>
    <row r="86" spans="1:3" x14ac:dyDescent="0.2">
      <c r="A86" t="s">
        <v>4</v>
      </c>
      <c r="B86" t="s">
        <v>29</v>
      </c>
    </row>
    <row r="87" spans="1:3" x14ac:dyDescent="0.2">
      <c r="A87" s="1">
        <v>45491</v>
      </c>
      <c r="B87" s="2">
        <v>0.4858912037037037</v>
      </c>
      <c r="C87" t="s">
        <v>2170</v>
      </c>
    </row>
    <row r="88" spans="1:3" x14ac:dyDescent="0.2">
      <c r="A88" t="s">
        <v>10</v>
      </c>
      <c r="B88" t="s">
        <v>18</v>
      </c>
    </row>
    <row r="89" spans="1:3" x14ac:dyDescent="0.2">
      <c r="A89" t="s">
        <v>11</v>
      </c>
      <c r="B89" t="s">
        <v>18</v>
      </c>
    </row>
    <row r="90" spans="1:3" x14ac:dyDescent="0.2">
      <c r="A90" t="s">
        <v>10</v>
      </c>
      <c r="B90" t="s">
        <v>2171</v>
      </c>
    </row>
    <row r="91" spans="1:3" x14ac:dyDescent="0.2">
      <c r="A91" t="s">
        <v>11</v>
      </c>
      <c r="B91" t="s">
        <v>28</v>
      </c>
    </row>
    <row r="92" spans="1:3" x14ac:dyDescent="0.2">
      <c r="A92" t="s">
        <v>12</v>
      </c>
    </row>
    <row r="93" spans="1:3" x14ac:dyDescent="0.2">
      <c r="A93" t="s">
        <v>13</v>
      </c>
      <c r="B93" t="s">
        <v>19</v>
      </c>
    </row>
    <row r="94" spans="1:3" x14ac:dyDescent="0.2">
      <c r="A94" t="s">
        <v>13</v>
      </c>
      <c r="B94" t="s">
        <v>14</v>
      </c>
    </row>
    <row r="95" spans="1:3" x14ac:dyDescent="0.2">
      <c r="A95" t="s">
        <v>15</v>
      </c>
    </row>
    <row r="96" spans="1:3" x14ac:dyDescent="0.2">
      <c r="A96" t="s">
        <v>10</v>
      </c>
      <c r="B96" t="s">
        <v>2160</v>
      </c>
    </row>
    <row r="97" spans="1:501" x14ac:dyDescent="0.2">
      <c r="A97" t="s">
        <v>11</v>
      </c>
      <c r="B97" t="s">
        <v>2161</v>
      </c>
    </row>
    <row r="99" spans="1:501" x14ac:dyDescent="0.2">
      <c r="A99" t="s">
        <v>17</v>
      </c>
    </row>
    <row r="100" spans="1:501" x14ac:dyDescent="0.2">
      <c r="A100">
        <v>1</v>
      </c>
      <c r="B100">
        <v>501</v>
      </c>
    </row>
    <row r="101" spans="1:501" x14ac:dyDescent="0.2">
      <c r="A101">
        <v>25</v>
      </c>
    </row>
    <row r="102" spans="1:501" x14ac:dyDescent="0.2">
      <c r="A102">
        <v>1E-3</v>
      </c>
      <c r="B102">
        <v>1.6000000000000001E-3</v>
      </c>
      <c r="C102">
        <v>2.0999999999999999E-3</v>
      </c>
      <c r="D102">
        <v>2.7000000000000001E-3</v>
      </c>
      <c r="E102">
        <v>3.2000000000000002E-3</v>
      </c>
      <c r="F102">
        <v>3.8E-3</v>
      </c>
      <c r="G102">
        <v>4.3E-3</v>
      </c>
      <c r="H102">
        <v>4.8999999999999998E-3</v>
      </c>
      <c r="I102">
        <v>5.4999999999999997E-3</v>
      </c>
      <c r="J102">
        <v>6.0000000000000001E-3</v>
      </c>
      <c r="K102">
        <v>6.6E-3</v>
      </c>
      <c r="L102">
        <v>7.1000000000000004E-3</v>
      </c>
      <c r="M102">
        <v>7.7000000000000002E-3</v>
      </c>
      <c r="N102">
        <v>8.3000000000000001E-3</v>
      </c>
      <c r="O102">
        <v>8.8000000000000005E-3</v>
      </c>
      <c r="P102">
        <v>9.4000000000000004E-3</v>
      </c>
      <c r="Q102">
        <v>9.9000000000000008E-3</v>
      </c>
      <c r="R102">
        <v>1.0500000000000001E-2</v>
      </c>
      <c r="S102">
        <v>1.0999999999999999E-2</v>
      </c>
      <c r="T102">
        <v>1.1599999999999999E-2</v>
      </c>
      <c r="U102">
        <v>1.2200000000000001E-2</v>
      </c>
      <c r="V102">
        <v>1.2699999999999999E-2</v>
      </c>
      <c r="W102">
        <v>1.3299999999999999E-2</v>
      </c>
      <c r="X102">
        <v>1.38E-2</v>
      </c>
      <c r="Y102">
        <v>1.44E-2</v>
      </c>
      <c r="Z102">
        <v>1.4999999999999999E-2</v>
      </c>
      <c r="AA102">
        <v>1.55E-2</v>
      </c>
      <c r="AB102">
        <v>1.61E-2</v>
      </c>
      <c r="AC102">
        <v>1.66E-2</v>
      </c>
      <c r="AD102">
        <v>1.72E-2</v>
      </c>
      <c r="AE102">
        <v>1.77E-2</v>
      </c>
      <c r="AF102">
        <v>1.83E-2</v>
      </c>
      <c r="AG102">
        <v>1.89E-2</v>
      </c>
      <c r="AH102">
        <v>1.9400000000000001E-2</v>
      </c>
      <c r="AI102">
        <v>0.02</v>
      </c>
      <c r="AJ102">
        <v>2.0500000000000001E-2</v>
      </c>
      <c r="AK102">
        <v>2.1100000000000001E-2</v>
      </c>
      <c r="AL102">
        <v>2.1600000000000001E-2</v>
      </c>
      <c r="AM102">
        <v>2.2200000000000001E-2</v>
      </c>
      <c r="AN102">
        <v>2.2800000000000001E-2</v>
      </c>
      <c r="AO102">
        <v>2.3300000000000001E-2</v>
      </c>
      <c r="AP102">
        <v>2.3900000000000001E-2</v>
      </c>
      <c r="AQ102">
        <v>2.4400000000000002E-2</v>
      </c>
      <c r="AR102">
        <v>2.5000000000000001E-2</v>
      </c>
      <c r="AS102">
        <v>2.5600000000000001E-2</v>
      </c>
      <c r="AT102">
        <v>2.6100000000000002E-2</v>
      </c>
      <c r="AU102">
        <v>2.6700000000000002E-2</v>
      </c>
      <c r="AV102">
        <v>2.7199999999999998E-2</v>
      </c>
      <c r="AW102">
        <v>2.7799999999999998E-2</v>
      </c>
      <c r="AX102">
        <v>2.8299999999999999E-2</v>
      </c>
      <c r="AY102">
        <v>2.8899999999999999E-2</v>
      </c>
      <c r="AZ102">
        <v>2.9499999999999998E-2</v>
      </c>
      <c r="BA102">
        <v>0.03</v>
      </c>
      <c r="BB102">
        <v>3.0599999999999999E-2</v>
      </c>
      <c r="BC102">
        <v>3.1099999999999999E-2</v>
      </c>
      <c r="BD102">
        <v>3.1699999999999999E-2</v>
      </c>
      <c r="BE102">
        <v>3.2199999999999999E-2</v>
      </c>
      <c r="BF102">
        <v>3.2800000000000003E-2</v>
      </c>
      <c r="BG102">
        <v>3.3399999999999999E-2</v>
      </c>
      <c r="BH102">
        <v>3.39E-2</v>
      </c>
      <c r="BI102">
        <v>3.4500000000000003E-2</v>
      </c>
      <c r="BJ102">
        <v>3.5000000000000003E-2</v>
      </c>
      <c r="BK102">
        <v>3.56E-2</v>
      </c>
      <c r="BL102">
        <v>3.6200000000000003E-2</v>
      </c>
      <c r="BM102">
        <v>3.6700000000000003E-2</v>
      </c>
      <c r="BN102">
        <v>3.73E-2</v>
      </c>
      <c r="BO102">
        <v>3.78E-2</v>
      </c>
      <c r="BP102">
        <v>3.8399999999999997E-2</v>
      </c>
      <c r="BQ102">
        <v>3.8899999999999997E-2</v>
      </c>
      <c r="BR102">
        <v>3.95E-2</v>
      </c>
      <c r="BS102">
        <v>4.0099999999999997E-2</v>
      </c>
      <c r="BT102">
        <v>4.0599999999999997E-2</v>
      </c>
      <c r="BU102">
        <v>4.1200000000000001E-2</v>
      </c>
      <c r="BV102">
        <v>4.1700000000000001E-2</v>
      </c>
      <c r="BW102">
        <v>4.2299999999999997E-2</v>
      </c>
      <c r="BX102">
        <v>4.2900000000000001E-2</v>
      </c>
      <c r="BY102">
        <v>4.3400000000000001E-2</v>
      </c>
      <c r="BZ102">
        <v>4.3999999999999997E-2</v>
      </c>
      <c r="CA102">
        <v>4.4499999999999998E-2</v>
      </c>
      <c r="CB102">
        <v>4.5100000000000001E-2</v>
      </c>
      <c r="CC102">
        <v>4.5600000000000002E-2</v>
      </c>
      <c r="CD102">
        <v>4.6199999999999998E-2</v>
      </c>
      <c r="CE102">
        <v>4.6800000000000001E-2</v>
      </c>
      <c r="CF102">
        <v>4.7300000000000002E-2</v>
      </c>
      <c r="CG102">
        <v>4.7899999999999998E-2</v>
      </c>
      <c r="CH102">
        <v>4.8399999999999999E-2</v>
      </c>
      <c r="CI102">
        <v>4.9000000000000002E-2</v>
      </c>
      <c r="CJ102">
        <v>4.9500000000000002E-2</v>
      </c>
      <c r="CK102">
        <v>5.0099999999999999E-2</v>
      </c>
      <c r="CL102">
        <v>5.0700000000000002E-2</v>
      </c>
      <c r="CM102">
        <v>5.1200000000000002E-2</v>
      </c>
      <c r="CN102">
        <v>5.1799999999999999E-2</v>
      </c>
      <c r="CO102">
        <v>5.2299999999999999E-2</v>
      </c>
      <c r="CP102">
        <v>5.2900000000000003E-2</v>
      </c>
      <c r="CQ102">
        <v>5.3499999999999999E-2</v>
      </c>
      <c r="CR102">
        <v>5.3999999999999999E-2</v>
      </c>
      <c r="CS102">
        <v>5.4600000000000003E-2</v>
      </c>
      <c r="CT102">
        <v>5.5100000000000003E-2</v>
      </c>
      <c r="CU102">
        <v>5.57E-2</v>
      </c>
      <c r="CV102">
        <v>5.62E-2</v>
      </c>
      <c r="CW102">
        <v>5.6800000000000003E-2</v>
      </c>
      <c r="CX102">
        <v>5.74E-2</v>
      </c>
      <c r="CY102">
        <v>5.79E-2</v>
      </c>
      <c r="CZ102">
        <v>5.8500000000000003E-2</v>
      </c>
      <c r="DA102">
        <v>5.8999999999999997E-2</v>
      </c>
      <c r="DB102">
        <v>5.96E-2</v>
      </c>
      <c r="DC102">
        <v>6.0100000000000001E-2</v>
      </c>
      <c r="DD102">
        <v>6.0699999999999997E-2</v>
      </c>
      <c r="DE102">
        <v>6.13E-2</v>
      </c>
      <c r="DF102">
        <v>6.1800000000000001E-2</v>
      </c>
      <c r="DG102">
        <v>6.2399999999999997E-2</v>
      </c>
      <c r="DH102">
        <v>6.2899999999999998E-2</v>
      </c>
      <c r="DI102">
        <v>6.3500000000000001E-2</v>
      </c>
      <c r="DJ102">
        <v>6.4100000000000004E-2</v>
      </c>
      <c r="DK102">
        <v>6.4600000000000005E-2</v>
      </c>
      <c r="DL102">
        <v>6.5199999999999897E-2</v>
      </c>
      <c r="DM102">
        <v>6.5699999999999995E-2</v>
      </c>
      <c r="DN102">
        <v>6.6299999999999998E-2</v>
      </c>
      <c r="DO102">
        <v>6.6799999999999998E-2</v>
      </c>
      <c r="DP102">
        <v>6.7400000000000002E-2</v>
      </c>
      <c r="DQ102">
        <v>6.8000000000000005E-2</v>
      </c>
      <c r="DR102">
        <v>6.8500000000000005E-2</v>
      </c>
      <c r="DS102">
        <v>6.9099999999999995E-2</v>
      </c>
      <c r="DT102">
        <v>6.9599999999999995E-2</v>
      </c>
      <c r="DU102">
        <v>7.0199999999999999E-2</v>
      </c>
      <c r="DV102">
        <v>7.0699999999999999E-2</v>
      </c>
      <c r="DW102">
        <v>7.1300000000000002E-2</v>
      </c>
      <c r="DX102">
        <v>7.1900000000000006E-2</v>
      </c>
      <c r="DY102">
        <v>7.2400000000000006E-2</v>
      </c>
      <c r="DZ102">
        <v>7.2999999999999995E-2</v>
      </c>
      <c r="EA102">
        <v>7.3499999999999996E-2</v>
      </c>
      <c r="EB102">
        <v>7.4099999999999999E-2</v>
      </c>
      <c r="EC102">
        <v>7.4700000000000003E-2</v>
      </c>
      <c r="ED102">
        <v>7.5200000000000003E-2</v>
      </c>
      <c r="EE102">
        <v>7.5800000000000006E-2</v>
      </c>
      <c r="EF102">
        <v>7.6300000000000007E-2</v>
      </c>
      <c r="EG102">
        <v>7.6899999999999996E-2</v>
      </c>
      <c r="EH102">
        <v>7.7399999999999997E-2</v>
      </c>
      <c r="EI102">
        <v>7.8E-2</v>
      </c>
      <c r="EJ102">
        <v>7.8600000000000003E-2</v>
      </c>
      <c r="EK102">
        <v>7.9100000000000004E-2</v>
      </c>
      <c r="EL102">
        <v>7.9699999999999896E-2</v>
      </c>
      <c r="EM102">
        <v>8.0199999999999896E-2</v>
      </c>
      <c r="EN102">
        <v>8.0799999999999997E-2</v>
      </c>
      <c r="EO102">
        <v>8.14E-2</v>
      </c>
      <c r="EP102">
        <v>8.1900000000000001E-2</v>
      </c>
      <c r="EQ102">
        <v>8.2500000000000004E-2</v>
      </c>
      <c r="ER102">
        <v>8.3000000000000004E-2</v>
      </c>
      <c r="ES102">
        <v>8.3599999999999897E-2</v>
      </c>
      <c r="ET102">
        <v>8.4099999999999897E-2</v>
      </c>
      <c r="EU102">
        <v>8.4699999999999998E-2</v>
      </c>
      <c r="EV102">
        <v>8.5300000000000001E-2</v>
      </c>
      <c r="EW102">
        <v>8.5800000000000001E-2</v>
      </c>
      <c r="EX102">
        <v>8.6400000000000005E-2</v>
      </c>
      <c r="EY102">
        <v>8.6900000000000005E-2</v>
      </c>
      <c r="EZ102">
        <v>8.7499999999999897E-2</v>
      </c>
      <c r="FA102">
        <v>8.7999999999999995E-2</v>
      </c>
      <c r="FB102">
        <v>8.8599999999999998E-2</v>
      </c>
      <c r="FC102">
        <v>8.9200000000000002E-2</v>
      </c>
      <c r="FD102">
        <v>8.9700000000000002E-2</v>
      </c>
      <c r="FE102">
        <v>9.0300000000000005E-2</v>
      </c>
      <c r="FF102">
        <v>9.0800000000000006E-2</v>
      </c>
      <c r="FG102">
        <v>9.1399999999999995E-2</v>
      </c>
      <c r="FH102">
        <v>9.1999999999999998E-2</v>
      </c>
      <c r="FI102">
        <v>9.2499999999999999E-2</v>
      </c>
      <c r="FJ102">
        <v>9.3100000000000002E-2</v>
      </c>
      <c r="FK102">
        <v>9.3600000000000003E-2</v>
      </c>
      <c r="FL102">
        <v>9.4200000000000006E-2</v>
      </c>
      <c r="FM102">
        <v>9.4700000000000006E-2</v>
      </c>
      <c r="FN102">
        <v>9.5299999999999996E-2</v>
      </c>
      <c r="FO102">
        <v>9.5899999999999999E-2</v>
      </c>
      <c r="FP102">
        <v>9.64E-2</v>
      </c>
      <c r="FQ102">
        <v>9.7000000000000003E-2</v>
      </c>
      <c r="FR102">
        <v>9.7500000000000003E-2</v>
      </c>
      <c r="FS102">
        <v>9.8100000000000007E-2</v>
      </c>
      <c r="FT102">
        <v>9.8599999999999896E-2</v>
      </c>
      <c r="FU102">
        <v>9.9199999999999997E-2</v>
      </c>
      <c r="FV102">
        <v>9.98E-2</v>
      </c>
      <c r="FW102">
        <v>0.1003</v>
      </c>
      <c r="FX102">
        <v>0.1009</v>
      </c>
      <c r="FY102">
        <v>0.1014</v>
      </c>
      <c r="FZ102">
        <v>0.10199999999999999</v>
      </c>
      <c r="GA102">
        <v>0.1026</v>
      </c>
      <c r="GB102">
        <v>0.1031</v>
      </c>
      <c r="GC102">
        <v>0.1037</v>
      </c>
      <c r="GD102">
        <v>0.1042</v>
      </c>
      <c r="GE102">
        <v>0.1048</v>
      </c>
      <c r="GF102">
        <v>0.1053</v>
      </c>
      <c r="GG102">
        <v>0.10589999999999999</v>
      </c>
      <c r="GH102">
        <v>0.1065</v>
      </c>
      <c r="GI102">
        <v>0.107</v>
      </c>
      <c r="GJ102">
        <v>0.1076</v>
      </c>
      <c r="GK102">
        <v>0.1081</v>
      </c>
      <c r="GL102">
        <v>0.1087</v>
      </c>
      <c r="GM102">
        <v>0.10929999999999999</v>
      </c>
      <c r="GN102">
        <v>0.10979999999999999</v>
      </c>
      <c r="GO102">
        <v>0.1104</v>
      </c>
      <c r="GP102">
        <v>0.1109</v>
      </c>
      <c r="GQ102">
        <v>0.1115</v>
      </c>
      <c r="GR102">
        <v>0.112</v>
      </c>
      <c r="GS102">
        <v>0.11260000000000001</v>
      </c>
      <c r="GT102">
        <v>0.1132</v>
      </c>
      <c r="GU102">
        <v>0.1137</v>
      </c>
      <c r="GV102">
        <v>0.1143</v>
      </c>
      <c r="GW102">
        <v>0.1148</v>
      </c>
      <c r="GX102">
        <v>0.1154</v>
      </c>
      <c r="GY102">
        <v>0.1159</v>
      </c>
      <c r="GZ102">
        <v>0.11650000000000001</v>
      </c>
      <c r="HA102">
        <v>0.1171</v>
      </c>
      <c r="HB102">
        <v>0.1176</v>
      </c>
      <c r="HC102">
        <v>0.1182</v>
      </c>
      <c r="HD102">
        <v>0.1187</v>
      </c>
      <c r="HE102">
        <v>0.1193</v>
      </c>
      <c r="HF102">
        <v>0.11990000000000001</v>
      </c>
      <c r="HG102">
        <v>0.12039999999999999</v>
      </c>
      <c r="HH102">
        <v>0.121</v>
      </c>
      <c r="HI102">
        <v>0.1215</v>
      </c>
      <c r="HJ102">
        <v>0.1221</v>
      </c>
      <c r="HK102">
        <v>0.1226</v>
      </c>
      <c r="HL102">
        <v>0.1232</v>
      </c>
      <c r="HM102">
        <v>0.12379999999999999</v>
      </c>
      <c r="HN102">
        <v>0.12429999999999999</v>
      </c>
      <c r="HO102">
        <v>0.1249</v>
      </c>
      <c r="HP102">
        <v>0.12540000000000001</v>
      </c>
      <c r="HQ102">
        <v>0.126</v>
      </c>
      <c r="HR102">
        <v>0.1265</v>
      </c>
      <c r="HS102">
        <v>0.12709999999999999</v>
      </c>
      <c r="HT102">
        <v>0.12770000000000001</v>
      </c>
      <c r="HU102">
        <v>0.12820000000000001</v>
      </c>
      <c r="HV102">
        <v>0.1288</v>
      </c>
      <c r="HW102">
        <v>0.1293</v>
      </c>
      <c r="HX102">
        <v>0.12989999999999999</v>
      </c>
      <c r="HY102">
        <v>0.1305</v>
      </c>
      <c r="HZ102">
        <v>0.13100000000000001</v>
      </c>
      <c r="IA102">
        <v>0.13159999999999999</v>
      </c>
      <c r="IB102">
        <v>0.1321</v>
      </c>
      <c r="IC102">
        <v>0.13270000000000001</v>
      </c>
      <c r="ID102">
        <v>0.13320000000000001</v>
      </c>
      <c r="IE102">
        <v>0.1338</v>
      </c>
      <c r="IF102">
        <v>0.13439999999999999</v>
      </c>
      <c r="IG102">
        <v>0.13489999999999999</v>
      </c>
      <c r="IH102">
        <v>0.13550000000000001</v>
      </c>
      <c r="II102">
        <v>0.13600000000000001</v>
      </c>
      <c r="IJ102">
        <v>0.1366</v>
      </c>
      <c r="IK102">
        <v>0.13719999999999999</v>
      </c>
      <c r="IL102">
        <v>0.13769999999999999</v>
      </c>
      <c r="IM102">
        <v>0.13830000000000001</v>
      </c>
      <c r="IN102">
        <v>0.13880000000000001</v>
      </c>
      <c r="IO102">
        <v>0.1394</v>
      </c>
      <c r="IP102">
        <v>0.1399</v>
      </c>
      <c r="IQ102">
        <v>0.14050000000000001</v>
      </c>
      <c r="IR102">
        <v>0.1411</v>
      </c>
      <c r="IS102">
        <v>0.1416</v>
      </c>
      <c r="IT102">
        <v>0.14219999999999999</v>
      </c>
      <c r="IU102">
        <v>0.14269999999999999</v>
      </c>
      <c r="IV102">
        <v>0.14330000000000001</v>
      </c>
      <c r="IW102">
        <v>0.14380000000000001</v>
      </c>
      <c r="IX102">
        <v>0.1444</v>
      </c>
      <c r="IY102">
        <v>0.14499999999999999</v>
      </c>
      <c r="IZ102">
        <v>0.14549999999999999</v>
      </c>
      <c r="JA102">
        <v>0.14610000000000001</v>
      </c>
      <c r="JB102">
        <v>0.14660000000000001</v>
      </c>
      <c r="JC102">
        <v>0.1472</v>
      </c>
      <c r="JD102">
        <v>0.14779999999999999</v>
      </c>
      <c r="JE102">
        <v>0.14829999999999999</v>
      </c>
      <c r="JF102">
        <v>0.1489</v>
      </c>
      <c r="JG102">
        <v>0.14940000000000001</v>
      </c>
      <c r="JH102">
        <v>0.15</v>
      </c>
      <c r="JI102">
        <v>0.15049999999999999</v>
      </c>
      <c r="JJ102">
        <v>0.15110000000000001</v>
      </c>
      <c r="JK102">
        <v>0.1517</v>
      </c>
      <c r="JL102">
        <v>0.1522</v>
      </c>
      <c r="JM102">
        <v>0.15279999999999999</v>
      </c>
      <c r="JN102">
        <v>0.15329999999999999</v>
      </c>
      <c r="JO102">
        <v>0.15390000000000001</v>
      </c>
      <c r="JP102">
        <v>0.15440000000000001</v>
      </c>
      <c r="JQ102">
        <v>0.155</v>
      </c>
      <c r="JR102">
        <v>0.15559999999999999</v>
      </c>
      <c r="JS102">
        <v>0.15609999999999999</v>
      </c>
      <c r="JT102">
        <v>0.15670000000000001</v>
      </c>
      <c r="JU102">
        <v>0.15720000000000001</v>
      </c>
      <c r="JV102">
        <v>0.1578</v>
      </c>
      <c r="JW102">
        <v>0.15840000000000001</v>
      </c>
      <c r="JX102">
        <v>0.15890000000000001</v>
      </c>
      <c r="JY102">
        <v>0.1595</v>
      </c>
      <c r="JZ102">
        <v>0.16</v>
      </c>
      <c r="KA102">
        <v>0.16059999999999999</v>
      </c>
      <c r="KB102">
        <v>0.16109999999999999</v>
      </c>
      <c r="KC102">
        <v>0.16170000000000001</v>
      </c>
      <c r="KD102">
        <v>0.1623</v>
      </c>
      <c r="KE102">
        <v>0.1628</v>
      </c>
      <c r="KF102">
        <v>0.16339999999999999</v>
      </c>
      <c r="KG102">
        <v>0.16389999999999999</v>
      </c>
      <c r="KH102">
        <v>0.16450000000000001</v>
      </c>
      <c r="KI102">
        <v>0.1651</v>
      </c>
      <c r="KJ102">
        <v>0.1656</v>
      </c>
      <c r="KK102">
        <v>0.16619999999999999</v>
      </c>
      <c r="KL102">
        <v>0.16669999999999999</v>
      </c>
      <c r="KM102">
        <v>0.1673</v>
      </c>
      <c r="KN102">
        <v>0.1678</v>
      </c>
      <c r="KO102">
        <v>0.16839999999999999</v>
      </c>
      <c r="KP102">
        <v>0.16900000000000001</v>
      </c>
      <c r="KQ102">
        <v>0.16950000000000001</v>
      </c>
      <c r="KR102">
        <v>0.1701</v>
      </c>
      <c r="KS102">
        <v>0.1706</v>
      </c>
      <c r="KT102">
        <v>0.17119999999999999</v>
      </c>
      <c r="KU102">
        <v>0.17169999999999999</v>
      </c>
      <c r="KV102">
        <v>0.17230000000000001</v>
      </c>
      <c r="KW102">
        <v>0.1729</v>
      </c>
      <c r="KX102">
        <v>0.1734</v>
      </c>
      <c r="KY102">
        <v>0.17399999999999999</v>
      </c>
      <c r="KZ102">
        <v>0.17449999999999999</v>
      </c>
      <c r="LA102">
        <v>0.17510000000000001</v>
      </c>
      <c r="LB102">
        <v>0.1757</v>
      </c>
      <c r="LC102">
        <v>0.1762</v>
      </c>
      <c r="LD102">
        <v>0.17680000000000001</v>
      </c>
      <c r="LE102">
        <v>0.17730000000000001</v>
      </c>
      <c r="LF102">
        <v>0.1779</v>
      </c>
      <c r="LG102">
        <v>0.1784</v>
      </c>
      <c r="LH102">
        <v>0.17899999999999999</v>
      </c>
      <c r="LI102">
        <v>0.17960000000000001</v>
      </c>
      <c r="LJ102">
        <v>0.18010000000000001</v>
      </c>
      <c r="LK102">
        <v>0.1807</v>
      </c>
      <c r="LL102">
        <v>0.1812</v>
      </c>
      <c r="LM102">
        <v>0.18179999999999999</v>
      </c>
      <c r="LN102">
        <v>0.18229999999999999</v>
      </c>
      <c r="LO102">
        <v>0.18290000000000001</v>
      </c>
      <c r="LP102">
        <v>0.1835</v>
      </c>
      <c r="LQ102">
        <v>0.184</v>
      </c>
      <c r="LR102">
        <v>0.18459999999999999</v>
      </c>
      <c r="LS102">
        <v>0.18509999999999999</v>
      </c>
      <c r="LT102">
        <v>0.1857</v>
      </c>
      <c r="LU102">
        <v>0.18629999999999999</v>
      </c>
      <c r="LV102">
        <v>0.18679999999999999</v>
      </c>
      <c r="LW102">
        <v>0.18740000000000001</v>
      </c>
      <c r="LX102">
        <v>0.18790000000000001</v>
      </c>
      <c r="LY102">
        <v>0.1885</v>
      </c>
      <c r="LZ102">
        <v>0.189</v>
      </c>
      <c r="MA102">
        <v>0.18959999999999999</v>
      </c>
      <c r="MB102">
        <v>0.19020000000000001</v>
      </c>
      <c r="MC102">
        <v>0.19070000000000001</v>
      </c>
      <c r="MD102">
        <v>0.1913</v>
      </c>
      <c r="ME102">
        <v>0.1918</v>
      </c>
      <c r="MF102">
        <v>0.19239999999999999</v>
      </c>
      <c r="MG102">
        <v>0.193</v>
      </c>
      <c r="MH102">
        <v>0.19350000000000001</v>
      </c>
      <c r="MI102">
        <v>0.19409999999999999</v>
      </c>
      <c r="MJ102">
        <v>0.1946</v>
      </c>
      <c r="MK102">
        <v>0.19520000000000001</v>
      </c>
      <c r="ML102">
        <v>0.19570000000000001</v>
      </c>
      <c r="MM102">
        <v>0.1963</v>
      </c>
      <c r="MN102">
        <v>0.19689999999999999</v>
      </c>
      <c r="MO102">
        <v>0.19739999999999999</v>
      </c>
      <c r="MP102">
        <v>0.19800000000000001</v>
      </c>
      <c r="MQ102">
        <v>0.19850000000000001</v>
      </c>
      <c r="MR102">
        <v>0.1991</v>
      </c>
      <c r="MS102">
        <v>0.1996</v>
      </c>
      <c r="MT102">
        <v>0.20019999999999999</v>
      </c>
      <c r="MU102">
        <v>0.20080000000000001</v>
      </c>
      <c r="MV102">
        <v>0.20130000000000001</v>
      </c>
      <c r="MW102">
        <v>0.2019</v>
      </c>
      <c r="MX102">
        <v>0.2024</v>
      </c>
      <c r="MY102">
        <v>0.20300000000000001</v>
      </c>
      <c r="MZ102">
        <v>0.2036</v>
      </c>
      <c r="NA102">
        <v>0.2041</v>
      </c>
      <c r="NB102">
        <v>0.20469999999999999</v>
      </c>
      <c r="NC102">
        <v>0.20519999999999999</v>
      </c>
      <c r="ND102">
        <v>0.20580000000000001</v>
      </c>
      <c r="NE102">
        <v>0.20630000000000001</v>
      </c>
      <c r="NF102">
        <v>0.2069</v>
      </c>
      <c r="NG102">
        <v>0.20749999999999999</v>
      </c>
      <c r="NH102">
        <v>0.20799999999999999</v>
      </c>
      <c r="NI102">
        <v>0.20860000000000001</v>
      </c>
      <c r="NJ102">
        <v>0.20910000000000001</v>
      </c>
      <c r="NK102">
        <v>0.2097</v>
      </c>
      <c r="NL102">
        <v>0.21029999999999999</v>
      </c>
      <c r="NM102">
        <v>0.21079999999999999</v>
      </c>
      <c r="NN102">
        <v>0.2114</v>
      </c>
      <c r="NO102">
        <v>0.21190000000000001</v>
      </c>
      <c r="NP102">
        <v>0.21249999999999999</v>
      </c>
      <c r="NQ102">
        <v>0.21299999999999999</v>
      </c>
      <c r="NR102">
        <v>0.21360000000000001</v>
      </c>
      <c r="NS102">
        <v>0.2142</v>
      </c>
      <c r="NT102">
        <v>0.2147</v>
      </c>
      <c r="NU102">
        <v>0.21529999999999999</v>
      </c>
      <c r="NV102">
        <v>0.21579999999999999</v>
      </c>
      <c r="NW102">
        <v>0.21640000000000001</v>
      </c>
      <c r="NX102">
        <v>0.21690000000000001</v>
      </c>
      <c r="NY102">
        <v>0.2175</v>
      </c>
      <c r="NZ102">
        <v>0.21809999999999999</v>
      </c>
      <c r="OA102">
        <v>0.21859999999999999</v>
      </c>
      <c r="OB102">
        <v>0.21920000000000001</v>
      </c>
      <c r="OC102">
        <v>0.21970000000000001</v>
      </c>
      <c r="OD102">
        <v>0.2203</v>
      </c>
      <c r="OE102">
        <v>0.22090000000000001</v>
      </c>
      <c r="OF102">
        <v>0.22140000000000001</v>
      </c>
      <c r="OG102">
        <v>0.222</v>
      </c>
      <c r="OH102">
        <v>0.2225</v>
      </c>
      <c r="OI102">
        <v>0.22309999999999999</v>
      </c>
      <c r="OJ102">
        <v>0.22359999999999999</v>
      </c>
      <c r="OK102">
        <v>0.22420000000000001</v>
      </c>
      <c r="OL102">
        <v>0.2248</v>
      </c>
      <c r="OM102">
        <v>0.2253</v>
      </c>
      <c r="ON102">
        <v>0.22589999999999999</v>
      </c>
      <c r="OO102">
        <v>0.22639999999999999</v>
      </c>
      <c r="OP102">
        <v>0.22700000000000001</v>
      </c>
      <c r="OQ102">
        <v>0.22750000000000001</v>
      </c>
      <c r="OR102">
        <v>0.2281</v>
      </c>
      <c r="OS102">
        <v>0.22869999999999999</v>
      </c>
      <c r="OT102">
        <v>0.22919999999999999</v>
      </c>
      <c r="OU102">
        <v>0.2298</v>
      </c>
      <c r="OV102">
        <v>0.2303</v>
      </c>
      <c r="OW102">
        <v>0.23089999999999999</v>
      </c>
      <c r="OX102">
        <v>0.23150000000000001</v>
      </c>
      <c r="OY102">
        <v>0.23200000000000001</v>
      </c>
      <c r="OZ102">
        <v>0.2326</v>
      </c>
      <c r="PA102">
        <v>0.2331</v>
      </c>
      <c r="PB102">
        <v>0.23369999999999999</v>
      </c>
      <c r="PC102">
        <v>0.23419999999999999</v>
      </c>
      <c r="PD102">
        <v>0.23480000000000001</v>
      </c>
      <c r="PE102">
        <v>0.2354</v>
      </c>
      <c r="PF102">
        <v>0.2359</v>
      </c>
      <c r="PG102">
        <v>0.23649999999999999</v>
      </c>
      <c r="PH102">
        <v>0.23699999999999999</v>
      </c>
      <c r="PI102">
        <v>0.23760000000000001</v>
      </c>
      <c r="PJ102">
        <v>0.2382</v>
      </c>
      <c r="PK102">
        <v>0.2387</v>
      </c>
      <c r="PL102">
        <v>0.23930000000000001</v>
      </c>
      <c r="PM102">
        <v>0.23980000000000001</v>
      </c>
      <c r="PN102">
        <v>0.2404</v>
      </c>
      <c r="PO102">
        <v>0.2409</v>
      </c>
      <c r="PP102">
        <v>0.24149999999999999</v>
      </c>
      <c r="PQ102">
        <v>0.24210000000000001</v>
      </c>
      <c r="PR102">
        <v>0.24260000000000001</v>
      </c>
      <c r="PS102">
        <v>0.2432</v>
      </c>
      <c r="PT102">
        <v>0.2437</v>
      </c>
      <c r="PU102">
        <v>0.24429999999999999</v>
      </c>
      <c r="PV102">
        <v>0.24479999999999999</v>
      </c>
      <c r="PW102">
        <v>0.24540000000000001</v>
      </c>
      <c r="PX102">
        <v>0.246</v>
      </c>
      <c r="PY102">
        <v>0.2465</v>
      </c>
      <c r="PZ102">
        <v>0.24709999999999999</v>
      </c>
      <c r="QA102">
        <v>0.24759999999999999</v>
      </c>
      <c r="QB102">
        <v>0.2482</v>
      </c>
      <c r="QC102">
        <v>0.24879999999999999</v>
      </c>
      <c r="QD102">
        <v>0.24929999999999999</v>
      </c>
      <c r="QE102">
        <v>0.24990000000000001</v>
      </c>
      <c r="QF102">
        <v>0.25040000000000001</v>
      </c>
      <c r="QG102">
        <v>0.251</v>
      </c>
      <c r="QH102">
        <v>0.2515</v>
      </c>
      <c r="QI102">
        <v>0.25209999999999999</v>
      </c>
      <c r="QJ102">
        <v>0.25269999999999998</v>
      </c>
      <c r="QK102">
        <v>0.25319999999999998</v>
      </c>
      <c r="QL102">
        <v>0.25380000000000003</v>
      </c>
      <c r="QM102">
        <v>0.25430000000000003</v>
      </c>
      <c r="QN102">
        <v>0.25490000000000002</v>
      </c>
      <c r="QO102">
        <v>0.25540000000000002</v>
      </c>
      <c r="QP102">
        <v>0.25600000000000001</v>
      </c>
      <c r="QQ102">
        <v>0.25659999999999999</v>
      </c>
      <c r="QR102">
        <v>0.2571</v>
      </c>
      <c r="QS102">
        <v>0.25769999999999998</v>
      </c>
      <c r="QT102">
        <v>0.25819999999999999</v>
      </c>
      <c r="QU102">
        <v>0.25879999999999997</v>
      </c>
      <c r="QV102">
        <v>0.25940000000000002</v>
      </c>
      <c r="QW102">
        <v>0.25990000000000002</v>
      </c>
      <c r="QX102">
        <v>0.26050000000000001</v>
      </c>
      <c r="QY102">
        <v>0.26100000000000001</v>
      </c>
      <c r="QZ102">
        <v>0.2616</v>
      </c>
      <c r="RA102">
        <v>0.2621</v>
      </c>
      <c r="RB102">
        <v>0.26269999999999999</v>
      </c>
      <c r="RC102">
        <v>0.26329999999999998</v>
      </c>
      <c r="RD102">
        <v>0.26379999999999998</v>
      </c>
      <c r="RE102">
        <v>0.26440000000000002</v>
      </c>
      <c r="RF102">
        <v>0.26490000000000002</v>
      </c>
      <c r="RG102">
        <v>0.26550000000000001</v>
      </c>
      <c r="RH102">
        <v>0.2661</v>
      </c>
      <c r="RI102">
        <v>0.2666</v>
      </c>
      <c r="RJ102">
        <v>0.26719999999999999</v>
      </c>
      <c r="RK102">
        <v>0.26769999999999999</v>
      </c>
      <c r="RL102">
        <v>0.26829999999999998</v>
      </c>
      <c r="RM102">
        <v>0.26879999999999998</v>
      </c>
      <c r="RN102">
        <v>0.26939999999999997</v>
      </c>
      <c r="RO102">
        <v>0.27</v>
      </c>
      <c r="RP102">
        <v>0.27050000000000002</v>
      </c>
      <c r="RQ102">
        <v>0.27110000000000001</v>
      </c>
      <c r="RR102">
        <v>0.27160000000000001</v>
      </c>
      <c r="RS102">
        <v>0.2722</v>
      </c>
      <c r="RT102">
        <v>0.2727</v>
      </c>
      <c r="RU102">
        <v>0.27329999999999999</v>
      </c>
      <c r="RV102">
        <v>0.27389999999999998</v>
      </c>
      <c r="RW102">
        <v>0.27439999999999998</v>
      </c>
      <c r="RX102">
        <v>0.27500000000000002</v>
      </c>
      <c r="RY102">
        <v>0.27550000000000002</v>
      </c>
      <c r="RZ102">
        <v>0.27610000000000001</v>
      </c>
      <c r="SA102">
        <v>0.2767</v>
      </c>
      <c r="SB102">
        <v>0.2772</v>
      </c>
      <c r="SC102">
        <v>0.27779999999999999</v>
      </c>
      <c r="SD102">
        <v>0.27829999999999999</v>
      </c>
      <c r="SE102">
        <v>0.27889999999999998</v>
      </c>
      <c r="SF102">
        <v>0.27939999999999998</v>
      </c>
      <c r="SG102">
        <v>0.28000000000000003</v>
      </c>
    </row>
    <row r="103" spans="1:501" x14ac:dyDescent="0.2">
      <c r="A103" s="9">
        <v>5.0341755668997096E-4</v>
      </c>
      <c r="B103" s="9">
        <v>5.0729806741753498E-4</v>
      </c>
      <c r="C103" s="9">
        <v>5.0404682869984601E-4</v>
      </c>
      <c r="D103" s="9">
        <v>5.0708841250148495E-4</v>
      </c>
      <c r="E103" s="9">
        <v>5.0855666264757295E-4</v>
      </c>
      <c r="F103" s="9">
        <v>5.0782251196938497E-4</v>
      </c>
      <c r="G103" s="9">
        <v>5.1317127284303797E-4</v>
      </c>
      <c r="H103" s="9">
        <v>5.1128355923398699E-4</v>
      </c>
      <c r="I103" s="9">
        <v>5.1128355923398699E-4</v>
      </c>
      <c r="J103" s="9">
        <v>5.1107375068707502E-4</v>
      </c>
      <c r="K103" s="9">
        <v>5.1442981686278895E-4</v>
      </c>
      <c r="L103" s="9">
        <v>5.1841520625866601E-4</v>
      </c>
      <c r="M103" s="9">
        <v>5.1757622812245295E-4</v>
      </c>
      <c r="N103" s="9">
        <v>5.1946409536236598E-4</v>
      </c>
      <c r="O103" s="9">
        <v>5.2145673885001698E-4</v>
      </c>
      <c r="P103" s="9">
        <v>5.2586159170885701E-4</v>
      </c>
      <c r="Q103" s="9">
        <v>5.2544212824589404E-4</v>
      </c>
      <c r="R103" s="9">
        <v>5.2586159170885701E-4</v>
      </c>
      <c r="S103" s="9">
        <v>5.2533724957758198E-4</v>
      </c>
      <c r="T103" s="9">
        <v>5.3068601045123498E-4</v>
      </c>
      <c r="U103" s="9">
        <v>5.3183972701296002E-4</v>
      </c>
      <c r="V103" s="9">
        <v>5.3435686626274897E-4</v>
      </c>
      <c r="W103" s="9">
        <v>5.3708366042858795E-4</v>
      </c>
      <c r="X103" s="9">
        <v>5.3676902442365004E-4</v>
      </c>
      <c r="Y103" s="9">
        <v>5.4127880716108999E-4</v>
      </c>
      <c r="Z103" s="9">
        <v>5.4075441381952699E-4</v>
      </c>
      <c r="AA103" s="9">
        <v>5.4526419655696705E-4</v>
      </c>
      <c r="AB103" s="9">
        <v>5.4725689125490601E-4</v>
      </c>
      <c r="AC103" s="9">
        <v>5.4694225524996799E-4</v>
      </c>
      <c r="AD103" s="9">
        <v>5.5008861529934501E-4</v>
      </c>
      <c r="AE103" s="9">
        <v>5.4987880675243196E-4</v>
      </c>
      <c r="AF103" s="9">
        <v>5.55227721256947E-4</v>
      </c>
      <c r="AG103" s="9">
        <v>5.5218613745530796E-4</v>
      </c>
      <c r="AH103" s="9">
        <v>5.5984233145241202E-4</v>
      </c>
      <c r="AI103" s="9">
        <v>5.5638128418781098E-4</v>
      </c>
      <c r="AJ103" s="9">
        <v>5.6120575414047495E-4</v>
      </c>
      <c r="AK103" s="9">
        <v>5.6603017288285303E-4</v>
      </c>
      <c r="AL103" s="9">
        <v>5.6655461743470301E-4</v>
      </c>
      <c r="AM103">
        <v>5.7001556227872997E-4</v>
      </c>
      <c r="AN103" s="9">
        <v>5.7253265031823096E-4</v>
      </c>
      <c r="AO103" s="9">
        <v>5.7305709487008095E-4</v>
      </c>
      <c r="AP103" s="9">
        <v>5.7588871649394597E-4</v>
      </c>
      <c r="AQ103" s="9">
        <v>5.7830102828570899E-4</v>
      </c>
      <c r="AR103" s="9">
        <v>5.8302051714948704E-4</v>
      </c>
      <c r="AS103" s="9">
        <v>5.8228636647129895E-4</v>
      </c>
      <c r="AT103" s="9">
        <v>5.8648151320380099E-4</v>
      </c>
      <c r="AU103" s="9">
        <v>5.8784493589186403E-4</v>
      </c>
      <c r="AV103" s="9">
        <v>5.9266935463424199E-4</v>
      </c>
      <c r="AW103" s="9">
        <v>5.9057173005770301E-4</v>
      </c>
      <c r="AX103" s="9">
        <v>5.9717918858196903E-4</v>
      </c>
      <c r="AY103" s="9">
        <v>5.9654986536180601E-4</v>
      </c>
      <c r="AZ103" s="9">
        <v>5.9990598274780801E-4</v>
      </c>
      <c r="BA103" s="9">
        <v>6.0378649347537204E-4</v>
      </c>
      <c r="BB103" s="9">
        <v>6.0640846018318595E-4</v>
      </c>
      <c r="BC103" s="9">
        <v>6.1060360691568799E-4</v>
      </c>
      <c r="BD103" s="9">
        <v>6.1312074616547705E-4</v>
      </c>
      <c r="BE103" s="9">
        <v>6.1416948163831497E-4</v>
      </c>
      <c r="BF103" s="9">
        <v>6.1804999236587997E-4</v>
      </c>
      <c r="BG103" s="9">
        <v>6.2077678653171895E-4</v>
      </c>
      <c r="BH103" s="9">
        <v>6.2465729725928298E-4</v>
      </c>
      <c r="BI103" s="9">
        <v>6.2455246980125802E-4</v>
      </c>
      <c r="BJ103" s="9">
        <v>6.3241836992469899E-4</v>
      </c>
      <c r="BK103" s="9">
        <v>6.3147446190988602E-4</v>
      </c>
      <c r="BL103" s="9">
        <v>6.3776723321892705E-4</v>
      </c>
      <c r="BM103" s="9">
        <v>6.3787206067695201E-4</v>
      </c>
      <c r="BN103" s="9">
        <v>6.4343063009751796E-4</v>
      </c>
      <c r="BO103" s="9">
        <v>6.4835992750820798E-4</v>
      </c>
      <c r="BP103" s="9">
        <v>6.4804529150326996E-4</v>
      </c>
      <c r="BQ103" s="9">
        <v>6.5087701554770896E-4</v>
      </c>
      <c r="BR103" s="9">
        <v>6.4972329898598403E-4</v>
      </c>
      <c r="BS103" s="9">
        <v>6.5800876499296304E-4</v>
      </c>
      <c r="BT103" s="9">
        <v>6.6304288986167802E-4</v>
      </c>
      <c r="BU103" s="9">
        <v>6.6304288986167802E-4</v>
      </c>
      <c r="BV103" s="9">
        <v>6.6975517584396901E-4</v>
      </c>
      <c r="BW103" s="9">
        <v>6.6975517584396901E-4</v>
      </c>
      <c r="BX103" s="9">
        <v>6.7898444744518604E-4</v>
      </c>
      <c r="BY103" s="9">
        <v>6.7898444744518604E-4</v>
      </c>
      <c r="BZ103" s="9">
        <v>6.9010168870689103E-4</v>
      </c>
      <c r="CA103" s="9">
        <v>6.9282848287273002E-4</v>
      </c>
      <c r="CB103" s="9">
        <v>7.0625295241673704E-4</v>
      </c>
      <c r="CC103" s="9">
        <v>7.1380416532495399E-4</v>
      </c>
      <c r="CD103" s="9">
        <v>7.2376769002493405E-4</v>
      </c>
      <c r="CE103" s="9">
        <v>7.3561903075454005E-4</v>
      </c>
      <c r="CF103" s="9">
        <v>7.4684099705369603E-4</v>
      </c>
      <c r="CG103" s="9">
        <v>7.5701417666972602E-4</v>
      </c>
      <c r="CH103" s="9">
        <v>7.7148748410714603E-4</v>
      </c>
      <c r="CI103" s="9">
        <v>7.7914357568367504E-4</v>
      </c>
      <c r="CJ103" s="9">
        <v>7.9980472455153497E-4</v>
      </c>
      <c r="CK103" s="9">
        <v>8.0630720198691399E-4</v>
      </c>
      <c r="CL103" s="9">
        <v>8.22248759570422E-4</v>
      </c>
      <c r="CM103" s="9">
        <v>8.2885606446382598E-4</v>
      </c>
      <c r="CN103" s="9">
        <v>8.5266362459135003E-4</v>
      </c>
      <c r="CO103" s="9">
        <v>8.5706847745018995E-4</v>
      </c>
      <c r="CP103" s="9">
        <v>8.7898801670693904E-4</v>
      </c>
      <c r="CQ103" s="9">
        <v>8.98285794097024E-4</v>
      </c>
      <c r="CR103" s="9">
        <v>9.2523961185335E-4</v>
      </c>
      <c r="CS103" s="9">
        <v>9.8669851148450605E-4</v>
      </c>
      <c r="CT103" s="9">
        <v>1.1613209821220299E-3</v>
      </c>
      <c r="CU103" s="9">
        <v>1.4996598733600501E-3</v>
      </c>
      <c r="CV103" s="9">
        <v>2.1168704266971402E-3</v>
      </c>
      <c r="CW103" s="9">
        <v>2.8387511200570399E-3</v>
      </c>
      <c r="CX103" s="9">
        <v>3.7842321100535598E-3</v>
      </c>
      <c r="CY103" s="9">
        <v>4.5806803075368E-3</v>
      </c>
      <c r="CZ103" s="9">
        <v>5.4050270501557699E-3</v>
      </c>
      <c r="DA103" s="9">
        <v>6.0903038592277003E-3</v>
      </c>
      <c r="DB103" s="9">
        <v>6.8185821513546702E-3</v>
      </c>
      <c r="DC103" s="9">
        <v>7.40076322947536E-3</v>
      </c>
      <c r="DD103" s="9">
        <v>8.0863550842345203E-3</v>
      </c>
      <c r="DE103" s="9">
        <v>8.6552169811618205E-3</v>
      </c>
      <c r="DF103" s="9">
        <v>9.3091354780905893E-3</v>
      </c>
      <c r="DG103" s="9">
        <v>9.8700274155907198E-3</v>
      </c>
      <c r="DH103" s="9">
        <v>1.0504018146175499E-2</v>
      </c>
      <c r="DI103" s="9">
        <v>1.10355424178189E-2</v>
      </c>
      <c r="DJ103" s="9">
        <v>1.1684955228833199E-2</v>
      </c>
      <c r="DK103" s="9">
        <v>1.2217420950397699E-2</v>
      </c>
      <c r="DL103">
        <v>1.28174326311784E-2</v>
      </c>
      <c r="DM103">
        <v>1.33406755848481E-2</v>
      </c>
      <c r="DN103">
        <v>1.39445612214396E-2</v>
      </c>
      <c r="DO103">
        <v>1.4467589501585099E-2</v>
      </c>
      <c r="DP103">
        <v>1.50498758680564E-2</v>
      </c>
      <c r="DQ103">
        <v>1.55665098268933E-2</v>
      </c>
      <c r="DR103">
        <v>1.6206058307534001E-2</v>
      </c>
      <c r="DS103">
        <v>1.6706227954175E-2</v>
      </c>
      <c r="DT103">
        <v>1.73079168742841E-2</v>
      </c>
      <c r="DU103">
        <v>1.7843322476019701E-2</v>
      </c>
      <c r="DV103">
        <v>1.8486441747570699E-2</v>
      </c>
      <c r="DW103">
        <v>1.90693573860518E-2</v>
      </c>
      <c r="DX103">
        <v>1.9715821303884402E-2</v>
      </c>
      <c r="DY103">
        <v>2.0257319700757299E-2</v>
      </c>
      <c r="DZ103">
        <v>2.0781598331276602E-2</v>
      </c>
      <c r="EA103">
        <v>2.1394099586597101E-2</v>
      </c>
      <c r="EB103">
        <v>2.19452369885796E-2</v>
      </c>
      <c r="EC103">
        <v>2.2524267200145599E-2</v>
      </c>
      <c r="ED103">
        <v>2.3045833733851499E-2</v>
      </c>
      <c r="EE103">
        <v>2.36625104711542E-2</v>
      </c>
      <c r="EF103">
        <v>2.4166036235181099E-2</v>
      </c>
      <c r="EG103">
        <v>2.4767521952870401E-2</v>
      </c>
      <c r="EH103">
        <v>2.5273456648810099E-2</v>
      </c>
      <c r="EI103">
        <v>2.5909537578479799E-2</v>
      </c>
      <c r="EJ103">
        <v>2.6429639088287701E-2</v>
      </c>
      <c r="EK103">
        <v>2.6999436699583899E-2</v>
      </c>
      <c r="EL103">
        <v>2.7521316230565501E-2</v>
      </c>
      <c r="EM103">
        <v>2.81365312214286E-2</v>
      </c>
      <c r="EN103">
        <v>2.8638277325552599E-2</v>
      </c>
      <c r="EO103">
        <v>2.9222444953136799E-2</v>
      </c>
      <c r="EP103">
        <v>2.9744111449323402E-2</v>
      </c>
      <c r="EQ103">
        <v>3.0354718333697499E-2</v>
      </c>
      <c r="ER103">
        <v>3.0884358886134299E-2</v>
      </c>
      <c r="ES103">
        <v>3.1486251008663202E-2</v>
      </c>
      <c r="ET103">
        <v>3.1980550727337097E-2</v>
      </c>
      <c r="EU103">
        <v>3.2578457460470202E-2</v>
      </c>
      <c r="EV103">
        <v>3.3107881700653603E-2</v>
      </c>
      <c r="EW103">
        <v>3.3697624284950198E-2</v>
      </c>
      <c r="EX103">
        <v>3.42229615345278E-2</v>
      </c>
      <c r="EY103">
        <v>3.4822028487929098E-2</v>
      </c>
      <c r="EZ103">
        <v>3.53606853283824E-2</v>
      </c>
      <c r="FA103">
        <v>3.59525123762117E-2</v>
      </c>
      <c r="FB103">
        <v>3.6475339092666599E-2</v>
      </c>
      <c r="FC103">
        <v>3.7107960665011097E-2</v>
      </c>
      <c r="FD103">
        <v>3.7595325281742802E-2</v>
      </c>
      <c r="FE103">
        <v>3.8184336992819701E-2</v>
      </c>
      <c r="FF103">
        <v>3.8696452975273098E-2</v>
      </c>
      <c r="FG103">
        <v>3.9290584076346897E-2</v>
      </c>
      <c r="FH103">
        <v>3.9848548424144897E-2</v>
      </c>
      <c r="FI103">
        <v>4.0408174443343901E-2</v>
      </c>
      <c r="FJ103">
        <v>4.09357206998728E-2</v>
      </c>
      <c r="FK103">
        <v>4.1528390054507001E-2</v>
      </c>
      <c r="FL103">
        <v>4.2024144964703698E-2</v>
      </c>
      <c r="FM103">
        <v>4.2615136260644997E-2</v>
      </c>
      <c r="FN103">
        <v>4.3122129575643001E-2</v>
      </c>
      <c r="FO103">
        <v>4.3716362277926801E-2</v>
      </c>
      <c r="FP103">
        <v>4.4233728748712599E-2</v>
      </c>
      <c r="FQ103">
        <v>4.4838570583787901E-2</v>
      </c>
      <c r="FR103">
        <v>4.5374179387943303E-2</v>
      </c>
      <c r="FS103">
        <v>4.5969785345290302E-2</v>
      </c>
      <c r="FT103">
        <v>4.6468591569243198E-2</v>
      </c>
      <c r="FU103">
        <v>4.7039649363288298E-2</v>
      </c>
      <c r="FV103">
        <v>4.7552296294000103E-2</v>
      </c>
      <c r="FW103">
        <v>4.8143818538199601E-2</v>
      </c>
      <c r="FX103">
        <v>4.8655944353028197E-2</v>
      </c>
      <c r="FY103">
        <v>4.9244942954271502E-2</v>
      </c>
      <c r="FZ103">
        <v>4.9747206896820301E-2</v>
      </c>
      <c r="GA103">
        <v>5.0373965096114498E-2</v>
      </c>
      <c r="GB103">
        <v>5.0877690785103E-2</v>
      </c>
      <c r="GC103">
        <v>5.1450325036631099E-2</v>
      </c>
      <c r="GD103">
        <v>5.1975980199671999E-2</v>
      </c>
      <c r="GE103">
        <v>5.2559312075368098E-2</v>
      </c>
      <c r="GF103">
        <v>5.3058436212784298E-2</v>
      </c>
      <c r="GG103">
        <v>5.36316997363223E-2</v>
      </c>
      <c r="GH103">
        <v>5.4146126326937001E-2</v>
      </c>
      <c r="GI103">
        <v>5.4776555279622198E-2</v>
      </c>
      <c r="GJ103">
        <v>5.5264031329938901E-2</v>
      </c>
      <c r="GK103">
        <v>5.58635112430967E-2</v>
      </c>
      <c r="GL103">
        <v>5.6374912739622203E-2</v>
      </c>
      <c r="GM103">
        <v>5.69506900737414E-2</v>
      </c>
      <c r="GN103">
        <v>5.7484732252788898E-2</v>
      </c>
      <c r="GO103">
        <v>5.8040484316177102E-2</v>
      </c>
      <c r="GP103">
        <v>5.8537615758895399E-2</v>
      </c>
      <c r="GQ103">
        <v>5.91375086318097E-2</v>
      </c>
      <c r="GR103">
        <v>5.9642296217314802E-2</v>
      </c>
      <c r="GS103">
        <v>6.0250802250864197E-2</v>
      </c>
      <c r="GT103">
        <v>6.0747192987987503E-2</v>
      </c>
      <c r="GU103">
        <v>6.1367858392144502E-2</v>
      </c>
      <c r="GV103">
        <v>6.1858906872100598E-2</v>
      </c>
      <c r="GW103">
        <v>6.2417176023528302E-2</v>
      </c>
      <c r="GX103">
        <v>6.2937374218358599E-2</v>
      </c>
      <c r="GY103">
        <v>6.3534343598393703E-2</v>
      </c>
      <c r="GZ103">
        <v>6.4047095407773702E-2</v>
      </c>
      <c r="HA103">
        <v>6.46106084926171E-2</v>
      </c>
      <c r="HB103">
        <v>6.5127024500471295E-2</v>
      </c>
      <c r="HC103">
        <v>6.5737739540972104E-2</v>
      </c>
      <c r="HD103">
        <v>6.6248701858074105E-2</v>
      </c>
      <c r="HE103">
        <v>6.6847250973050595E-2</v>
      </c>
      <c r="HF103">
        <v>6.7329266777698293E-2</v>
      </c>
      <c r="HG103">
        <v>6.7915649967150604E-2</v>
      </c>
      <c r="HH103">
        <v>6.8414557792313396E-2</v>
      </c>
      <c r="HI103">
        <v>6.8997892945467806E-2</v>
      </c>
      <c r="HJ103">
        <v>6.9521657015020694E-2</v>
      </c>
      <c r="HK103">
        <v>7.0113375906723396E-2</v>
      </c>
      <c r="HL103">
        <v>7.0629909903079505E-2</v>
      </c>
      <c r="HM103">
        <v>7.1203707652334206E-2</v>
      </c>
      <c r="HN103">
        <v>7.1727570045638706E-2</v>
      </c>
      <c r="HO103">
        <v>7.2314569397267298E-2</v>
      </c>
      <c r="HP103">
        <v>7.2810966689307394E-2</v>
      </c>
      <c r="HQ103">
        <v>7.3398601867862595E-2</v>
      </c>
      <c r="HR103">
        <v>7.3907682923851706E-2</v>
      </c>
      <c r="HS103">
        <v>7.4505183252145099E-2</v>
      </c>
      <c r="HT103">
        <v>7.5046252301969596E-2</v>
      </c>
      <c r="HU103">
        <v>7.5627902841514202E-2</v>
      </c>
      <c r="HV103">
        <v>7.6177250751218603E-2</v>
      </c>
      <c r="HW103">
        <v>7.6788077225304494E-2</v>
      </c>
      <c r="HX103">
        <v>7.7307016876115006E-2</v>
      </c>
      <c r="HY103">
        <v>7.7908391160219206E-2</v>
      </c>
      <c r="HZ103">
        <v>7.8397643592980501E-2</v>
      </c>
      <c r="IA103">
        <v>7.8983803915262593E-2</v>
      </c>
      <c r="IB103">
        <v>7.9496352522222799E-2</v>
      </c>
      <c r="IC103">
        <v>8.0089552825115401E-2</v>
      </c>
      <c r="ID103">
        <v>8.0600403708632307E-2</v>
      </c>
      <c r="IE103">
        <v>8.1188150320772604E-2</v>
      </c>
      <c r="IF103">
        <v>8.1685799601915701E-2</v>
      </c>
      <c r="IG103">
        <v>8.2247319992061099E-2</v>
      </c>
      <c r="IH103">
        <v>8.2752107577566195E-2</v>
      </c>
      <c r="II103">
        <v>8.3364697324263007E-2</v>
      </c>
      <c r="IJ103">
        <v>8.3879749909429202E-2</v>
      </c>
      <c r="IK103">
        <v>8.4452400548249304E-2</v>
      </c>
      <c r="IL103">
        <v>8.4963369420268095E-2</v>
      </c>
      <c r="IM103">
        <v>8.5569974527954298E-2</v>
      </c>
      <c r="IN103">
        <v>8.6070881602731894E-2</v>
      </c>
      <c r="IO103">
        <v>8.6642896414625303E-2</v>
      </c>
      <c r="IP103">
        <v>8.7145363559594E-2</v>
      </c>
      <c r="IQ103">
        <v>8.7713491305843105E-2</v>
      </c>
      <c r="IR103">
        <v>8.8227816295247799E-2</v>
      </c>
      <c r="IS103">
        <v>8.8814822201793195E-2</v>
      </c>
      <c r="IT103">
        <v>8.9322847916182405E-2</v>
      </c>
      <c r="IU103">
        <v>8.9929787324624005E-2</v>
      </c>
      <c r="IV103">
        <v>9.04084601217192E-2</v>
      </c>
      <c r="IW103">
        <v>9.0992417991966806E-2</v>
      </c>
      <c r="IX103">
        <v>9.1486494843470406E-2</v>
      </c>
      <c r="IY103">
        <v>9.2055160092894606E-2</v>
      </c>
      <c r="IZ103">
        <v>9.25839517836098E-2</v>
      </c>
      <c r="JA103">
        <v>9.3153764143468598E-2</v>
      </c>
      <c r="JB103">
        <v>9.3636094584121296E-2</v>
      </c>
      <c r="JC103">
        <v>9.4244810375007398E-2</v>
      </c>
      <c r="JD103">
        <v>9.4726937613240206E-2</v>
      </c>
      <c r="JE103">
        <v>9.5334073669184796E-2</v>
      </c>
      <c r="JF103">
        <v>9.5823031130691502E-2</v>
      </c>
      <c r="JG103">
        <v>9.6416631283506998E-2</v>
      </c>
      <c r="JH103">
        <v>9.6896247988617096E-2</v>
      </c>
      <c r="JI103">
        <v>9.7456922794499204E-2</v>
      </c>
      <c r="JJ103">
        <v>9.7975351161801699E-2</v>
      </c>
      <c r="JK103">
        <v>9.8555841481078099E-2</v>
      </c>
      <c r="JL103">
        <v>9.9074368172132193E-2</v>
      </c>
      <c r="JM103">
        <v>9.96607448066677E-2</v>
      </c>
      <c r="JN103">
        <v>0.10015410061732601</v>
      </c>
      <c r="JO103">
        <v>0.100739625112682</v>
      </c>
      <c r="JP103">
        <v>0.101233400438014</v>
      </c>
      <c r="JQ103">
        <v>0.10181758117543201</v>
      </c>
      <c r="JR103">
        <v>0.102281033455788</v>
      </c>
      <c r="JS103">
        <v>0.102867626402577</v>
      </c>
      <c r="JT103">
        <v>0.103378378962342</v>
      </c>
      <c r="JU103">
        <v>0.103961714115497</v>
      </c>
      <c r="JV103">
        <v>0.104462509756689</v>
      </c>
      <c r="JW103">
        <v>0.10502266672414701</v>
      </c>
      <c r="JX103">
        <v>0.10554149494137199</v>
      </c>
      <c r="JY103">
        <v>0.106094743026554</v>
      </c>
      <c r="JZ103">
        <v>0.106588819878058</v>
      </c>
      <c r="KA103">
        <v>0.10719901052521701</v>
      </c>
      <c r="KB103">
        <v>0.107650290325133</v>
      </c>
      <c r="KC103">
        <v>0.10822146610767901</v>
      </c>
      <c r="KD103">
        <v>0.108737895225367</v>
      </c>
      <c r="KE103">
        <v>0.109319231128907</v>
      </c>
      <c r="KF103">
        <v>0.109835653691678</v>
      </c>
      <c r="KG103">
        <v>0.110372632473438</v>
      </c>
      <c r="KH103">
        <v>0.110864408549156</v>
      </c>
      <c r="KI103">
        <v>0.111457392539795</v>
      </c>
      <c r="KJ103">
        <v>0.111933856329939</v>
      </c>
      <c r="KK103">
        <v>0.112520023207138</v>
      </c>
      <c r="KL103">
        <v>0.11302026823532201</v>
      </c>
      <c r="KM103">
        <v>0.113595724378519</v>
      </c>
      <c r="KN103">
        <v>0.114093019694157</v>
      </c>
      <c r="KO103">
        <v>0.114676800581651</v>
      </c>
      <c r="KP103">
        <v>0.11518422979861501</v>
      </c>
      <c r="KQ103">
        <v>0.11580213558281099</v>
      </c>
      <c r="KR103">
        <v>0.11629324305701901</v>
      </c>
      <c r="KS103">
        <v>0.116855851563348</v>
      </c>
      <c r="KT103">
        <v>0.117346395314713</v>
      </c>
      <c r="KU103">
        <v>0.11793716374348399</v>
      </c>
      <c r="KV103">
        <v>0.118438968841859</v>
      </c>
      <c r="KW103">
        <v>0.11900191820386</v>
      </c>
      <c r="KX103">
        <v>0.119495949170946</v>
      </c>
      <c r="KY103">
        <v>0.120085026431191</v>
      </c>
      <c r="KZ103">
        <v>0.120569369231292</v>
      </c>
      <c r="LA103">
        <v>0.12110900930926</v>
      </c>
      <c r="LB103">
        <v>0.121612505576162</v>
      </c>
      <c r="LC103">
        <v>0.122162607301295</v>
      </c>
      <c r="LD103">
        <v>0.12265371477550201</v>
      </c>
      <c r="LE103">
        <v>0.12321925988454401</v>
      </c>
      <c r="LF103">
        <v>0.123710131381747</v>
      </c>
      <c r="LG103">
        <v>0.12429854004048101</v>
      </c>
      <c r="LH103">
        <v>0.12478108679338699</v>
      </c>
      <c r="LI103">
        <v>0.12533873978263799</v>
      </c>
      <c r="LJ103">
        <v>0.12579920957586499</v>
      </c>
      <c r="LK103">
        <v>0.126350228989345</v>
      </c>
      <c r="LL103">
        <v>0.126877821130292</v>
      </c>
      <c r="LM103">
        <v>0.12739246075570099</v>
      </c>
      <c r="LN103">
        <v>0.127858449788848</v>
      </c>
      <c r="LO103">
        <v>0.12843266049785901</v>
      </c>
      <c r="LP103">
        <v>0.128944035774717</v>
      </c>
      <c r="LQ103">
        <v>0.129512504376638</v>
      </c>
      <c r="LR103">
        <v>0.129970273544156</v>
      </c>
      <c r="LS103">
        <v>0.13055450016599099</v>
      </c>
      <c r="LT103">
        <v>0.13102296695767601</v>
      </c>
      <c r="LU103">
        <v>0.13155911981992299</v>
      </c>
      <c r="LV103">
        <v>0.13206126577397001</v>
      </c>
      <c r="LW103">
        <v>0.132623192568955</v>
      </c>
      <c r="LX103">
        <v>0.13309459596335299</v>
      </c>
      <c r="LY103">
        <v>0.133644369942647</v>
      </c>
      <c r="LZ103">
        <v>0.13408997318464</v>
      </c>
      <c r="MA103">
        <v>0.13465787806371901</v>
      </c>
      <c r="MB103">
        <v>0.135147858092242</v>
      </c>
      <c r="MC103">
        <v>0.13570766109419399</v>
      </c>
      <c r="MD103">
        <v>0.13616305738184101</v>
      </c>
      <c r="ME103">
        <v>0.13672330611813299</v>
      </c>
      <c r="MF103">
        <v>0.13721272242381299</v>
      </c>
      <c r="MG103">
        <v>0.137732540433471</v>
      </c>
      <c r="MH103">
        <v>0.13822894428042801</v>
      </c>
      <c r="MI103">
        <v>0.13877567677834099</v>
      </c>
      <c r="MJ103">
        <v>0.13925776468707299</v>
      </c>
      <c r="MK103">
        <v>0.13979031234509701</v>
      </c>
      <c r="ML103">
        <v>0.14027894206076499</v>
      </c>
      <c r="MM103">
        <v>0.140857990298353</v>
      </c>
      <c r="MN103">
        <v>0.14132173754996399</v>
      </c>
      <c r="MO103">
        <v>0.14183176251396801</v>
      </c>
      <c r="MP103">
        <v>0.142295719522915</v>
      </c>
      <c r="MQ103">
        <v>0.14284043310646399</v>
      </c>
      <c r="MR103">
        <v>0.14333795128927099</v>
      </c>
      <c r="MS103">
        <v>0.14385360037186301</v>
      </c>
      <c r="MT103">
        <v>0.14431970739351199</v>
      </c>
      <c r="MU103">
        <v>0.14487195913134501</v>
      </c>
      <c r="MV103">
        <v>0.145298199149201</v>
      </c>
      <c r="MW103">
        <v>0.14586430798108499</v>
      </c>
      <c r="MX103">
        <v>0.146303487404643</v>
      </c>
      <c r="MY103">
        <v>0.14684087259124301</v>
      </c>
      <c r="MZ103">
        <v>0.14730867078141799</v>
      </c>
      <c r="NA103">
        <v>0.14784234588512701</v>
      </c>
      <c r="NB103">
        <v>0.14833029388945099</v>
      </c>
      <c r="NC103">
        <v>0.148890319758573</v>
      </c>
      <c r="ND103">
        <v>0.14932488452072601</v>
      </c>
      <c r="NE103">
        <v>0.14985100836031601</v>
      </c>
      <c r="NF103">
        <v>0.15031733824913401</v>
      </c>
      <c r="NG103">
        <v>0.15086610277124601</v>
      </c>
      <c r="NH103">
        <v>0.15131295144742499</v>
      </c>
      <c r="NI103">
        <v>0.15181520228014</v>
      </c>
      <c r="NJ103">
        <v>0.15226295553483399</v>
      </c>
      <c r="NK103">
        <v>0.15280777399705001</v>
      </c>
      <c r="NL103">
        <v>0.1532548455404</v>
      </c>
      <c r="NM103">
        <v>0.153794590497037</v>
      </c>
      <c r="NN103">
        <v>0.15426722621578701</v>
      </c>
      <c r="NO103">
        <v>0.154794936345235</v>
      </c>
      <c r="NP103">
        <v>0.15526249855840599</v>
      </c>
      <c r="NQ103">
        <v>0.15581317711621501</v>
      </c>
      <c r="NR103">
        <v>0.15624910530105601</v>
      </c>
      <c r="NS103">
        <v>0.15678141698207601</v>
      </c>
      <c r="NT103">
        <v>0.15720709327709001</v>
      </c>
      <c r="NU103">
        <v>0.15773998179078599</v>
      </c>
      <c r="NV103">
        <v>0.158171282204388</v>
      </c>
      <c r="NW103">
        <v>0.15870833964514899</v>
      </c>
      <c r="NX103">
        <v>0.159201806889393</v>
      </c>
      <c r="NY103">
        <v>0.159706535480648</v>
      </c>
      <c r="NZ103">
        <v>0.16015788082973101</v>
      </c>
      <c r="OA103">
        <v>0.160646064811058</v>
      </c>
      <c r="OB103">
        <v>0.16107094140622599</v>
      </c>
      <c r="OC103">
        <v>0.161491780172664</v>
      </c>
      <c r="OD103">
        <v>0.16198603400691999</v>
      </c>
      <c r="OE103">
        <v>0.16244730349999201</v>
      </c>
      <c r="OF103">
        <v>0.16297320447241201</v>
      </c>
      <c r="OG103">
        <v>0.16341036498160599</v>
      </c>
      <c r="OH103">
        <v>0.16393197903845799</v>
      </c>
      <c r="OI103">
        <v>0.16432759448516701</v>
      </c>
      <c r="OJ103">
        <v>0.164814637910977</v>
      </c>
      <c r="OK103">
        <v>0.165267674428587</v>
      </c>
      <c r="OL103">
        <v>0.165746288231431</v>
      </c>
      <c r="OM103">
        <v>0.166158448288066</v>
      </c>
      <c r="ON103">
        <v>0.16665912594075599</v>
      </c>
      <c r="OO103">
        <v>0.167082770211571</v>
      </c>
      <c r="OP103">
        <v>0.167543357993299</v>
      </c>
      <c r="OQ103">
        <v>0.16795495432709201</v>
      </c>
      <c r="OR103">
        <v>0.168452813365572</v>
      </c>
      <c r="OS103">
        <v>0.16890945508740501</v>
      </c>
      <c r="OT103">
        <v>0.169405636067191</v>
      </c>
      <c r="OU103">
        <v>0.16980641678831401</v>
      </c>
      <c r="OV103">
        <v>0.17028501748132499</v>
      </c>
      <c r="OW103">
        <v>0.170661151715394</v>
      </c>
      <c r="OX103">
        <v>0.17111869801574101</v>
      </c>
      <c r="OY103">
        <v>0.171506867077</v>
      </c>
      <c r="OZ103">
        <v>0.17199245531128701</v>
      </c>
      <c r="PA103">
        <v>0.172389971683859</v>
      </c>
      <c r="PB103">
        <v>0.17288750297649999</v>
      </c>
      <c r="PC103">
        <v>0.173266783570619</v>
      </c>
      <c r="PD103">
        <v>0.17376959812617601</v>
      </c>
      <c r="PE103">
        <v>0.17410056898370299</v>
      </c>
      <c r="PF103">
        <v>0.17455698783836601</v>
      </c>
      <c r="PG103">
        <v>0.17493975564820599</v>
      </c>
      <c r="PH103">
        <v>0.175410359342758</v>
      </c>
      <c r="PI103">
        <v>0.17582972980784001</v>
      </c>
      <c r="PJ103">
        <v>0.176245154213026</v>
      </c>
      <c r="PK103">
        <v>0.17661565121867301</v>
      </c>
      <c r="PL103">
        <v>0.177071965194668</v>
      </c>
      <c r="PM103">
        <v>0.17740247720802099</v>
      </c>
      <c r="PN103">
        <v>0.17788907489949099</v>
      </c>
      <c r="PO103">
        <v>0.178230297646846</v>
      </c>
      <c r="PP103">
        <v>0.178649890979097</v>
      </c>
      <c r="PQ103">
        <v>0.17901857882771599</v>
      </c>
      <c r="PR103">
        <v>0.17946115369816201</v>
      </c>
      <c r="PS103">
        <v>0.17973445439795099</v>
      </c>
      <c r="PT103">
        <v>0.18012241370187199</v>
      </c>
      <c r="PU103">
        <v>0.18043096674404799</v>
      </c>
      <c r="PV103">
        <v>0.18083851213927701</v>
      </c>
      <c r="PW103">
        <v>0.18121126403629301</v>
      </c>
      <c r="PX103">
        <v>0.181594595568976</v>
      </c>
      <c r="PY103">
        <v>0.18190417117816701</v>
      </c>
      <c r="PZ103">
        <v>0.18224177561146501</v>
      </c>
      <c r="QA103">
        <v>0.18248694260848</v>
      </c>
      <c r="QB103">
        <v>0.18285428014424401</v>
      </c>
      <c r="QC103">
        <v>0.183130071712406</v>
      </c>
      <c r="QD103">
        <v>0.18345067269160401</v>
      </c>
      <c r="QE103">
        <v>0.18478840010593001</v>
      </c>
      <c r="QF103">
        <v>0.187571054043432</v>
      </c>
      <c r="QG103">
        <v>0.18812477408262199</v>
      </c>
      <c r="QH103">
        <v>0.18862803437251999</v>
      </c>
      <c r="QI103">
        <v>0.18908851727557999</v>
      </c>
      <c r="QJ103">
        <v>0.189599997431106</v>
      </c>
      <c r="QK103">
        <v>0.190016444403309</v>
      </c>
      <c r="QL103">
        <v>0.19048908012205901</v>
      </c>
      <c r="QM103">
        <v>0.19089167000021001</v>
      </c>
      <c r="QN103">
        <v>0.19140518217993599</v>
      </c>
      <c r="QO103">
        <v>0.191863515070295</v>
      </c>
      <c r="QP103">
        <v>0.19235732317021101</v>
      </c>
      <c r="QQ103">
        <v>0.19279222878803601</v>
      </c>
      <c r="QR103">
        <v>0.19329166100654099</v>
      </c>
      <c r="QS103">
        <v>0.19370349331733699</v>
      </c>
      <c r="QT103">
        <v>0.19419954319878799</v>
      </c>
      <c r="QU103">
        <v>0.194636375962144</v>
      </c>
      <c r="QV103">
        <v>0.19515383420176399</v>
      </c>
      <c r="QW103">
        <v>0.19559470479384999</v>
      </c>
      <c r="QX103">
        <v>0.19606655392258801</v>
      </c>
      <c r="QY103">
        <v>0.19649662201183701</v>
      </c>
      <c r="QZ103">
        <v>0.19703198828407201</v>
      </c>
      <c r="RA103">
        <v>0.19744493493071899</v>
      </c>
      <c r="RB103">
        <v>0.19796340262752199</v>
      </c>
      <c r="RC103">
        <v>0.198389865512548</v>
      </c>
      <c r="RD103">
        <v>0.198927932410492</v>
      </c>
      <c r="RE103">
        <v>0.19934076106863699</v>
      </c>
      <c r="RF103">
        <v>0.199843575624195</v>
      </c>
      <c r="RG103">
        <v>0.20023524501100801</v>
      </c>
      <c r="RH103">
        <v>0.200712836246836</v>
      </c>
      <c r="RI103">
        <v>0.201130856399063</v>
      </c>
      <c r="RJ103">
        <v>0.20164414571161801</v>
      </c>
      <c r="RK103">
        <v>0.20208603887071999</v>
      </c>
      <c r="RL103">
        <v>0.20259830561625899</v>
      </c>
      <c r="RM103">
        <v>0.203040539631032</v>
      </c>
      <c r="RN103">
        <v>0.20352556414247699</v>
      </c>
      <c r="RO103">
        <v>0.20395607796606699</v>
      </c>
      <c r="RP103">
        <v>0.20447150418148899</v>
      </c>
      <c r="RQ103">
        <v>0.20487781725236501</v>
      </c>
      <c r="RR103">
        <v>0.20535945942675701</v>
      </c>
      <c r="RS103">
        <v>0.20579301473172801</v>
      </c>
      <c r="RT103">
        <v>0.206302816828561</v>
      </c>
      <c r="RU103">
        <v>0.20675292985329199</v>
      </c>
      <c r="RV103">
        <v>0.20727657593434301</v>
      </c>
      <c r="RW103">
        <v>0.20769324577371501</v>
      </c>
      <c r="RX103">
        <v>0.20818266207939601</v>
      </c>
      <c r="RY103">
        <v>0.20862207747995801</v>
      </c>
      <c r="RZ103">
        <v>0.209143809525312</v>
      </c>
      <c r="SA103">
        <v>0.20954154876505399</v>
      </c>
      <c r="SB103">
        <v>0.21005652924613599</v>
      </c>
      <c r="SC103">
        <v>0.21049898612807999</v>
      </c>
      <c r="SD103">
        <v>0.210995612842207</v>
      </c>
      <c r="SE103">
        <v>0.211433219085741</v>
      </c>
      <c r="SF103">
        <v>0.21192173081290699</v>
      </c>
      <c r="SG103">
        <v>0.21234954401078701</v>
      </c>
    </row>
    <row r="104" spans="1:501" x14ac:dyDescent="0.2">
      <c r="A104">
        <v>1.379829</v>
      </c>
      <c r="B104">
        <v>1.4267510000000001</v>
      </c>
      <c r="C104">
        <v>1.4476770000000001</v>
      </c>
      <c r="D104">
        <v>1.4657469999999999</v>
      </c>
      <c r="E104">
        <v>1.47722</v>
      </c>
      <c r="F104">
        <v>1.4889520000000001</v>
      </c>
      <c r="G104">
        <v>1.4989239999999999</v>
      </c>
      <c r="H104">
        <v>1.5076309999999999</v>
      </c>
      <c r="I104">
        <v>1.5141830000000001</v>
      </c>
      <c r="J104">
        <v>1.5218259999999999</v>
      </c>
      <c r="K104">
        <v>1.527525</v>
      </c>
      <c r="L104">
        <v>1.5332589999999999</v>
      </c>
      <c r="M104">
        <v>1.5381400000000001</v>
      </c>
      <c r="N104">
        <v>1.5433859999999999</v>
      </c>
      <c r="O104">
        <v>1.5474589999999999</v>
      </c>
      <c r="P104">
        <v>1.551801</v>
      </c>
      <c r="Q104">
        <v>1.5553140000000001</v>
      </c>
      <c r="R104">
        <v>1.559355</v>
      </c>
      <c r="S104">
        <v>1.5625070000000001</v>
      </c>
      <c r="T104">
        <v>1.5661670000000001</v>
      </c>
      <c r="U104">
        <v>1.5691949999999999</v>
      </c>
      <c r="V104">
        <v>1.572568</v>
      </c>
      <c r="W104">
        <v>1.575501</v>
      </c>
      <c r="X104">
        <v>1.578759</v>
      </c>
      <c r="Y104">
        <v>1.581553</v>
      </c>
      <c r="Z104">
        <v>1.5848070000000001</v>
      </c>
      <c r="AA104">
        <v>1.5873299999999999</v>
      </c>
      <c r="AB104">
        <v>1.5902149999999999</v>
      </c>
      <c r="AC104">
        <v>1.592557</v>
      </c>
      <c r="AD104">
        <v>1.595415</v>
      </c>
      <c r="AE104">
        <v>1.5978349999999999</v>
      </c>
      <c r="AF104">
        <v>1.6004160000000001</v>
      </c>
      <c r="AG104">
        <v>1.6026309999999999</v>
      </c>
      <c r="AH104">
        <v>1.6053329999999999</v>
      </c>
      <c r="AI104">
        <v>1.6074630000000001</v>
      </c>
      <c r="AJ104">
        <v>1.6100030000000001</v>
      </c>
      <c r="AK104">
        <v>1.6121479999999999</v>
      </c>
      <c r="AL104">
        <v>1.6145890000000001</v>
      </c>
      <c r="AM104">
        <v>1.6165780000000001</v>
      </c>
      <c r="AN104">
        <v>1.6189560000000001</v>
      </c>
      <c r="AO104">
        <v>1.6210039999999999</v>
      </c>
      <c r="AP104">
        <v>1.623448</v>
      </c>
      <c r="AQ104">
        <v>1.62534</v>
      </c>
      <c r="AR104">
        <v>1.6276539999999999</v>
      </c>
      <c r="AS104">
        <v>1.6295299999999999</v>
      </c>
      <c r="AT104">
        <v>1.6317820000000001</v>
      </c>
      <c r="AU104">
        <v>1.6336010000000001</v>
      </c>
      <c r="AV104">
        <v>1.635696</v>
      </c>
      <c r="AW104">
        <v>1.6374550000000001</v>
      </c>
      <c r="AX104">
        <v>1.639605</v>
      </c>
      <c r="AY104">
        <v>1.64134</v>
      </c>
      <c r="AZ104">
        <v>1.643357</v>
      </c>
      <c r="BA104">
        <v>1.6450499999999999</v>
      </c>
      <c r="BB104">
        <v>1.6471439999999999</v>
      </c>
      <c r="BC104">
        <v>1.648852</v>
      </c>
      <c r="BD104">
        <v>1.650806</v>
      </c>
      <c r="BE104">
        <v>1.652431</v>
      </c>
      <c r="BF104">
        <v>1.654433</v>
      </c>
      <c r="BG104">
        <v>1.655993</v>
      </c>
      <c r="BH104">
        <v>1.657918</v>
      </c>
      <c r="BI104">
        <v>1.65951</v>
      </c>
      <c r="BJ104">
        <v>1.6613960000000001</v>
      </c>
      <c r="BK104">
        <v>1.663071</v>
      </c>
      <c r="BL104">
        <v>1.664941</v>
      </c>
      <c r="BM104">
        <v>1.666539</v>
      </c>
      <c r="BN104">
        <v>1.6684730000000001</v>
      </c>
      <c r="BO104">
        <v>1.6700280000000001</v>
      </c>
      <c r="BP104">
        <v>1.6718550000000001</v>
      </c>
      <c r="BQ104">
        <v>1.673384</v>
      </c>
      <c r="BR104">
        <v>1.6751769999999999</v>
      </c>
      <c r="BS104">
        <v>1.676641</v>
      </c>
      <c r="BT104">
        <v>1.678388</v>
      </c>
      <c r="BU104">
        <v>1.6798299999999999</v>
      </c>
      <c r="BV104">
        <v>1.6815979999999999</v>
      </c>
      <c r="BW104">
        <v>1.6830099999999999</v>
      </c>
      <c r="BX104">
        <v>1.684715</v>
      </c>
      <c r="BY104">
        <v>1.6860710000000001</v>
      </c>
      <c r="BZ104">
        <v>1.687819</v>
      </c>
      <c r="CA104">
        <v>1.6892670000000001</v>
      </c>
      <c r="CB104">
        <v>1.690849</v>
      </c>
      <c r="CC104">
        <v>1.6922159999999999</v>
      </c>
      <c r="CD104">
        <v>1.69394</v>
      </c>
      <c r="CE104">
        <v>1.695208</v>
      </c>
      <c r="CF104">
        <v>1.696869</v>
      </c>
      <c r="CG104">
        <v>1.698259</v>
      </c>
      <c r="CH104">
        <v>1.69983</v>
      </c>
      <c r="CI104">
        <v>1.7012020000000001</v>
      </c>
      <c r="CJ104">
        <v>1.7028220000000001</v>
      </c>
      <c r="CK104">
        <v>1.7041599999999999</v>
      </c>
      <c r="CL104">
        <v>1.7057549999999999</v>
      </c>
      <c r="CM104">
        <v>1.7070449999999999</v>
      </c>
      <c r="CN104">
        <v>1.708664</v>
      </c>
      <c r="CO104">
        <v>1.7099329999999999</v>
      </c>
      <c r="CP104">
        <v>1.711535</v>
      </c>
      <c r="CQ104">
        <v>1.7129829999999999</v>
      </c>
      <c r="CR104">
        <v>1.714518</v>
      </c>
      <c r="CS104">
        <v>1.7157249999999999</v>
      </c>
      <c r="CT104">
        <v>1.7174689999999999</v>
      </c>
      <c r="CU104">
        <v>1.7186129999999999</v>
      </c>
      <c r="CV104">
        <v>1.720064</v>
      </c>
      <c r="CW104">
        <v>1.7209300000000001</v>
      </c>
      <c r="CX104">
        <v>1.721787</v>
      </c>
      <c r="CY104">
        <v>1.7223299999999999</v>
      </c>
      <c r="CZ104">
        <v>1.7229920000000001</v>
      </c>
      <c r="DA104">
        <v>1.723703</v>
      </c>
      <c r="DB104">
        <v>1.724672</v>
      </c>
      <c r="DC104">
        <v>1.7253890000000001</v>
      </c>
      <c r="DD104">
        <v>1.726415</v>
      </c>
      <c r="DE104">
        <v>1.727204</v>
      </c>
      <c r="DF104">
        <v>1.7282299999999999</v>
      </c>
      <c r="DG104">
        <v>1.729106</v>
      </c>
      <c r="DH104">
        <v>1.7300599999999999</v>
      </c>
      <c r="DI104">
        <v>1.7308760000000001</v>
      </c>
      <c r="DJ104">
        <v>1.731981</v>
      </c>
      <c r="DK104">
        <v>1.7328509999999999</v>
      </c>
      <c r="DL104">
        <v>1.733868</v>
      </c>
      <c r="DM104">
        <v>1.7347360000000001</v>
      </c>
      <c r="DN104">
        <v>1.7357720000000001</v>
      </c>
      <c r="DO104">
        <v>1.736621</v>
      </c>
      <c r="DP104">
        <v>1.7376849999999999</v>
      </c>
      <c r="DQ104">
        <v>1.738499</v>
      </c>
      <c r="DR104">
        <v>1.739695</v>
      </c>
      <c r="DS104">
        <v>1.7404999999999999</v>
      </c>
      <c r="DT104">
        <v>1.7416</v>
      </c>
      <c r="DU104">
        <v>1.742407</v>
      </c>
      <c r="DV104">
        <v>1.7434499999999999</v>
      </c>
      <c r="DW104">
        <v>1.7443770000000001</v>
      </c>
      <c r="DX104">
        <v>1.745387</v>
      </c>
      <c r="DY104">
        <v>1.7462819999999999</v>
      </c>
      <c r="DZ104">
        <v>1.7472270000000001</v>
      </c>
      <c r="EA104">
        <v>1.74824</v>
      </c>
      <c r="EB104">
        <v>1.7493840000000001</v>
      </c>
      <c r="EC104">
        <v>1.750291</v>
      </c>
      <c r="ED104">
        <v>1.751314</v>
      </c>
      <c r="EE104">
        <v>1.752432</v>
      </c>
      <c r="EF104">
        <v>1.753396</v>
      </c>
      <c r="EG104">
        <v>1.75451</v>
      </c>
      <c r="EH104">
        <v>1.7554650000000001</v>
      </c>
      <c r="EI104">
        <v>1.7565869999999999</v>
      </c>
      <c r="EJ104">
        <v>1.7575339999999999</v>
      </c>
      <c r="EK104">
        <v>1.758499</v>
      </c>
      <c r="EL104">
        <v>1.7594799999999999</v>
      </c>
      <c r="EM104">
        <v>1.760499</v>
      </c>
      <c r="EN104">
        <v>1.761409</v>
      </c>
      <c r="EO104">
        <v>1.762381</v>
      </c>
      <c r="EP104">
        <v>1.7632680000000001</v>
      </c>
      <c r="EQ104">
        <v>1.7643150000000001</v>
      </c>
      <c r="ER104">
        <v>1.7652330000000001</v>
      </c>
      <c r="ES104">
        <v>1.7662009999999999</v>
      </c>
      <c r="ET104">
        <v>1.767115</v>
      </c>
      <c r="EU104">
        <v>1.768146</v>
      </c>
      <c r="EV104">
        <v>1.7690900000000001</v>
      </c>
      <c r="EW104">
        <v>1.770089</v>
      </c>
      <c r="EX104">
        <v>1.771053</v>
      </c>
      <c r="EY104">
        <v>1.772065</v>
      </c>
      <c r="EZ104">
        <v>1.7730239999999999</v>
      </c>
      <c r="FA104">
        <v>1.7740119999999999</v>
      </c>
      <c r="FB104">
        <v>1.7749109999999999</v>
      </c>
      <c r="FC104">
        <v>1.775908</v>
      </c>
      <c r="FD104">
        <v>1.776845</v>
      </c>
      <c r="FE104">
        <v>1.7778240000000001</v>
      </c>
      <c r="FF104">
        <v>1.778769</v>
      </c>
      <c r="FG104">
        <v>1.7798080000000001</v>
      </c>
      <c r="FH104">
        <v>1.7807580000000001</v>
      </c>
      <c r="FI104">
        <v>1.7817210000000001</v>
      </c>
      <c r="FJ104">
        <v>1.782654</v>
      </c>
      <c r="FK104">
        <v>1.783701</v>
      </c>
      <c r="FL104">
        <v>1.784589</v>
      </c>
      <c r="FM104">
        <v>1.7855989999999999</v>
      </c>
      <c r="FN104">
        <v>1.7865279999999999</v>
      </c>
      <c r="FO104">
        <v>1.7875319999999999</v>
      </c>
      <c r="FP104">
        <v>1.788527</v>
      </c>
      <c r="FQ104">
        <v>1.789504</v>
      </c>
      <c r="FR104">
        <v>1.790459</v>
      </c>
      <c r="FS104">
        <v>1.791477</v>
      </c>
      <c r="FT104">
        <v>1.79244</v>
      </c>
      <c r="FU104">
        <v>1.793428</v>
      </c>
      <c r="FV104">
        <v>1.7944119999999999</v>
      </c>
      <c r="FW104">
        <v>1.7955350000000001</v>
      </c>
      <c r="FX104">
        <v>1.7965359999999999</v>
      </c>
      <c r="FY104">
        <v>1.7975410000000001</v>
      </c>
      <c r="FZ104">
        <v>1.798486</v>
      </c>
      <c r="GA104">
        <v>1.799579</v>
      </c>
      <c r="GB104">
        <v>1.800508</v>
      </c>
      <c r="GC104">
        <v>1.80158</v>
      </c>
      <c r="GD104">
        <v>1.8026489999999999</v>
      </c>
      <c r="GE104">
        <v>1.803552</v>
      </c>
      <c r="GF104">
        <v>1.804487</v>
      </c>
      <c r="GG104">
        <v>1.805447</v>
      </c>
      <c r="GH104">
        <v>1.8063560000000001</v>
      </c>
      <c r="GI104">
        <v>1.8074300000000001</v>
      </c>
      <c r="GJ104">
        <v>1.8083309999999999</v>
      </c>
      <c r="GK104">
        <v>1.809342</v>
      </c>
      <c r="GL104">
        <v>1.810249</v>
      </c>
      <c r="GM104">
        <v>1.8111649999999999</v>
      </c>
      <c r="GN104">
        <v>1.8122</v>
      </c>
      <c r="GO104">
        <v>1.8131280000000001</v>
      </c>
      <c r="GP104">
        <v>1.8139890000000001</v>
      </c>
      <c r="GQ104">
        <v>1.8150740000000001</v>
      </c>
      <c r="GR104">
        <v>1.8159320000000001</v>
      </c>
      <c r="GS104">
        <v>1.816967</v>
      </c>
      <c r="GT104">
        <v>1.817828</v>
      </c>
      <c r="GU104">
        <v>1.818865</v>
      </c>
      <c r="GV104">
        <v>1.819733</v>
      </c>
      <c r="GW104">
        <v>1.820724</v>
      </c>
      <c r="GX104">
        <v>1.821698</v>
      </c>
      <c r="GY104">
        <v>1.8226290000000001</v>
      </c>
      <c r="GZ104">
        <v>1.8235939999999999</v>
      </c>
      <c r="HA104">
        <v>1.8245260000000001</v>
      </c>
      <c r="HB104">
        <v>1.8254859999999999</v>
      </c>
      <c r="HC104">
        <v>1.826506</v>
      </c>
      <c r="HD104">
        <v>1.8274410000000001</v>
      </c>
      <c r="HE104">
        <v>1.8284320000000001</v>
      </c>
      <c r="HF104">
        <v>1.829329</v>
      </c>
      <c r="HG104">
        <v>1.830311</v>
      </c>
      <c r="HH104">
        <v>1.8312090000000001</v>
      </c>
      <c r="HI104">
        <v>1.832222</v>
      </c>
      <c r="HJ104">
        <v>1.833135</v>
      </c>
      <c r="HK104">
        <v>1.83413</v>
      </c>
      <c r="HL104">
        <v>1.835081</v>
      </c>
      <c r="HM104">
        <v>1.836112</v>
      </c>
      <c r="HN104">
        <v>1.836983</v>
      </c>
      <c r="HO104">
        <v>1.8381670000000001</v>
      </c>
      <c r="HP104">
        <v>1.8391109999999999</v>
      </c>
      <c r="HQ104">
        <v>1.8401419999999999</v>
      </c>
      <c r="HR104">
        <v>1.8411299999999999</v>
      </c>
      <c r="HS104">
        <v>1.8421460000000001</v>
      </c>
      <c r="HT104">
        <v>1.8432269999999999</v>
      </c>
      <c r="HU104">
        <v>1.8441449999999999</v>
      </c>
      <c r="HV104">
        <v>1.845108</v>
      </c>
      <c r="HW104">
        <v>1.8461380000000001</v>
      </c>
      <c r="HX104">
        <v>1.8470299999999999</v>
      </c>
      <c r="HY104">
        <v>1.848004</v>
      </c>
      <c r="HZ104">
        <v>1.848857</v>
      </c>
      <c r="IA104">
        <v>1.8498589999999999</v>
      </c>
      <c r="IB104">
        <v>1.8507560000000001</v>
      </c>
      <c r="IC104">
        <v>1.8517479999999999</v>
      </c>
      <c r="ID104">
        <v>1.852644</v>
      </c>
      <c r="IE104">
        <v>1.853604</v>
      </c>
      <c r="IF104">
        <v>1.8545659999999999</v>
      </c>
      <c r="IG104">
        <v>1.855477</v>
      </c>
      <c r="IH104">
        <v>1.856428</v>
      </c>
      <c r="II104">
        <v>1.8574980000000001</v>
      </c>
      <c r="IJ104">
        <v>1.858309</v>
      </c>
      <c r="IK104">
        <v>1.8592580000000001</v>
      </c>
      <c r="IL104">
        <v>1.8601129999999999</v>
      </c>
      <c r="IM104">
        <v>1.8611340000000001</v>
      </c>
      <c r="IN104">
        <v>1.8621110000000001</v>
      </c>
      <c r="IO104">
        <v>1.8629830000000001</v>
      </c>
      <c r="IP104">
        <v>1.8639300000000001</v>
      </c>
      <c r="IQ104">
        <v>1.8649579999999999</v>
      </c>
      <c r="IR104">
        <v>1.8657790000000001</v>
      </c>
      <c r="IS104">
        <v>1.8668469999999999</v>
      </c>
      <c r="IT104">
        <v>1.867702</v>
      </c>
      <c r="IU104">
        <v>1.868679</v>
      </c>
      <c r="IV104">
        <v>1.8695409999999999</v>
      </c>
      <c r="IW104">
        <v>1.870441</v>
      </c>
      <c r="IX104">
        <v>1.8714120000000001</v>
      </c>
      <c r="IY104">
        <v>1.8723320000000001</v>
      </c>
      <c r="IZ104">
        <v>1.8733230000000001</v>
      </c>
      <c r="JA104">
        <v>1.874228</v>
      </c>
      <c r="JB104">
        <v>1.8751660000000001</v>
      </c>
      <c r="JC104">
        <v>1.8761399999999999</v>
      </c>
      <c r="JD104">
        <v>1.876987</v>
      </c>
      <c r="JE104">
        <v>1.8779870000000001</v>
      </c>
      <c r="JF104">
        <v>1.8789579999999999</v>
      </c>
      <c r="JG104">
        <v>1.8799349999999999</v>
      </c>
      <c r="JH104">
        <v>1.8808849999999999</v>
      </c>
      <c r="JI104">
        <v>1.8818889999999999</v>
      </c>
      <c r="JJ104">
        <v>1.8827879999999999</v>
      </c>
      <c r="JK104">
        <v>1.883842</v>
      </c>
      <c r="JL104">
        <v>1.884738</v>
      </c>
      <c r="JM104">
        <v>1.885839</v>
      </c>
      <c r="JN104">
        <v>1.8867449999999999</v>
      </c>
      <c r="JO104">
        <v>1.8876930000000001</v>
      </c>
      <c r="JP104">
        <v>1.888639</v>
      </c>
      <c r="JQ104">
        <v>1.889502</v>
      </c>
      <c r="JR104">
        <v>1.8904240000000001</v>
      </c>
      <c r="JS104">
        <v>1.8914070000000001</v>
      </c>
      <c r="JT104">
        <v>1.8922950000000001</v>
      </c>
      <c r="JU104">
        <v>1.893313</v>
      </c>
      <c r="JV104">
        <v>1.894158</v>
      </c>
      <c r="JW104">
        <v>1.8950959999999999</v>
      </c>
      <c r="JX104">
        <v>1.896026</v>
      </c>
      <c r="JY104">
        <v>1.8969180000000001</v>
      </c>
      <c r="JZ104">
        <v>1.897796</v>
      </c>
      <c r="KA104">
        <v>1.8988309999999999</v>
      </c>
      <c r="KB104">
        <v>1.8996740000000001</v>
      </c>
      <c r="KC104">
        <v>1.9006240000000001</v>
      </c>
      <c r="KD104">
        <v>1.9015249999999999</v>
      </c>
      <c r="KE104">
        <v>1.9024719999999999</v>
      </c>
      <c r="KF104">
        <v>1.9034059999999999</v>
      </c>
      <c r="KG104">
        <v>1.90428</v>
      </c>
      <c r="KH104">
        <v>1.9051089999999999</v>
      </c>
      <c r="KI104">
        <v>1.906166</v>
      </c>
      <c r="KJ104">
        <v>1.9070180000000001</v>
      </c>
      <c r="KK104">
        <v>1.907932</v>
      </c>
      <c r="KL104">
        <v>1.9088540000000001</v>
      </c>
      <c r="KM104">
        <v>1.909802</v>
      </c>
      <c r="KN104">
        <v>1.910736</v>
      </c>
      <c r="KO104">
        <v>1.911578</v>
      </c>
      <c r="KP104">
        <v>1.9125639999999999</v>
      </c>
      <c r="KQ104">
        <v>1.9135420000000001</v>
      </c>
      <c r="KR104">
        <v>1.9144220000000001</v>
      </c>
      <c r="KS104">
        <v>1.9153180000000001</v>
      </c>
      <c r="KT104">
        <v>1.9161950000000001</v>
      </c>
      <c r="KU104">
        <v>1.917171</v>
      </c>
      <c r="KV104">
        <v>1.9180360000000001</v>
      </c>
      <c r="KW104">
        <v>1.9189700000000001</v>
      </c>
      <c r="KX104">
        <v>1.919875</v>
      </c>
      <c r="KY104">
        <v>1.9208609999999999</v>
      </c>
      <c r="KZ104">
        <v>1.9216850000000001</v>
      </c>
      <c r="LA104">
        <v>1.9226209999999999</v>
      </c>
      <c r="LB104">
        <v>1.923578</v>
      </c>
      <c r="LC104">
        <v>1.9245080000000001</v>
      </c>
      <c r="LD104">
        <v>1.9253960000000001</v>
      </c>
      <c r="LE104">
        <v>1.926383</v>
      </c>
      <c r="LF104">
        <v>1.9272229999999999</v>
      </c>
      <c r="LG104">
        <v>1.928288</v>
      </c>
      <c r="LH104">
        <v>1.9292130000000001</v>
      </c>
      <c r="LI104">
        <v>1.930194</v>
      </c>
      <c r="LJ104">
        <v>1.9311119999999999</v>
      </c>
      <c r="LK104">
        <v>1.9321060000000001</v>
      </c>
      <c r="LL104">
        <v>1.933046</v>
      </c>
      <c r="LM104">
        <v>1.9339379999999999</v>
      </c>
      <c r="LN104">
        <v>1.9347220000000001</v>
      </c>
      <c r="LO104">
        <v>1.9357279999999999</v>
      </c>
      <c r="LP104">
        <v>1.936536</v>
      </c>
      <c r="LQ104">
        <v>1.9375199999999999</v>
      </c>
      <c r="LR104">
        <v>1.938385</v>
      </c>
      <c r="LS104">
        <v>1.9392149999999999</v>
      </c>
      <c r="LT104">
        <v>1.9402010000000001</v>
      </c>
      <c r="LU104">
        <v>1.9411160000000001</v>
      </c>
      <c r="LV104">
        <v>1.9419789999999999</v>
      </c>
      <c r="LW104">
        <v>1.9429670000000001</v>
      </c>
      <c r="LX104">
        <v>1.9438169999999999</v>
      </c>
      <c r="LY104">
        <v>1.9446920000000001</v>
      </c>
      <c r="LZ104">
        <v>1.945468</v>
      </c>
      <c r="MA104">
        <v>1.9464760000000001</v>
      </c>
      <c r="MB104">
        <v>1.947379</v>
      </c>
      <c r="MC104">
        <v>1.9483839999999999</v>
      </c>
      <c r="MD104">
        <v>1.9492160000000001</v>
      </c>
      <c r="ME104">
        <v>1.950075</v>
      </c>
      <c r="MF104">
        <v>1.950985</v>
      </c>
      <c r="MG104">
        <v>1.9518660000000001</v>
      </c>
      <c r="MH104">
        <v>1.952747</v>
      </c>
      <c r="MI104">
        <v>1.953676</v>
      </c>
      <c r="MJ104">
        <v>1.954612</v>
      </c>
      <c r="MK104">
        <v>1.9554910000000001</v>
      </c>
      <c r="ML104">
        <v>1.9563079999999999</v>
      </c>
      <c r="MM104">
        <v>1.9573700000000001</v>
      </c>
      <c r="MN104">
        <v>1.9582349999999999</v>
      </c>
      <c r="MO104">
        <v>1.9591209999999999</v>
      </c>
      <c r="MP104">
        <v>1.959932</v>
      </c>
      <c r="MQ104">
        <v>1.9608540000000001</v>
      </c>
      <c r="MR104">
        <v>1.9616750000000001</v>
      </c>
      <c r="MS104">
        <v>1.9626220000000001</v>
      </c>
      <c r="MT104">
        <v>1.96349</v>
      </c>
      <c r="MU104">
        <v>1.964472</v>
      </c>
      <c r="MV104">
        <v>1.9653210000000001</v>
      </c>
      <c r="MW104">
        <v>1.9662390000000001</v>
      </c>
      <c r="MX104">
        <v>1.9669639999999999</v>
      </c>
      <c r="MY104">
        <v>1.9679599999999999</v>
      </c>
      <c r="MZ104">
        <v>1.9689270000000001</v>
      </c>
      <c r="NA104">
        <v>1.969859</v>
      </c>
      <c r="NB104">
        <v>1.970788</v>
      </c>
      <c r="NC104">
        <v>1.9718249999999999</v>
      </c>
      <c r="ND104">
        <v>1.972693</v>
      </c>
      <c r="NE104">
        <v>1.973614</v>
      </c>
      <c r="NF104">
        <v>1.974566</v>
      </c>
      <c r="NG104">
        <v>1.975509</v>
      </c>
      <c r="NH104">
        <v>1.976361</v>
      </c>
      <c r="NI104">
        <v>1.977319</v>
      </c>
      <c r="NJ104">
        <v>1.9782200000000001</v>
      </c>
      <c r="NK104">
        <v>1.979139</v>
      </c>
      <c r="NL104">
        <v>1.9799629999999999</v>
      </c>
      <c r="NM104">
        <v>1.980831</v>
      </c>
      <c r="NN104">
        <v>1.981695</v>
      </c>
      <c r="NO104">
        <v>1.9825820000000001</v>
      </c>
      <c r="NP104">
        <v>1.983441</v>
      </c>
      <c r="NQ104">
        <v>1.9842820000000001</v>
      </c>
      <c r="NR104">
        <v>1.9851099999999999</v>
      </c>
      <c r="NS104">
        <v>1.986083</v>
      </c>
      <c r="NT104">
        <v>1.9869349999999999</v>
      </c>
      <c r="NU104">
        <v>1.9878560000000001</v>
      </c>
      <c r="NV104">
        <v>1.9886239999999999</v>
      </c>
      <c r="NW104">
        <v>1.989549</v>
      </c>
      <c r="NX104">
        <v>1.99044</v>
      </c>
      <c r="NY104">
        <v>1.9913860000000001</v>
      </c>
      <c r="NZ104">
        <v>1.9922740000000001</v>
      </c>
      <c r="OA104">
        <v>1.9931399999999999</v>
      </c>
      <c r="OB104">
        <v>1.9940370000000001</v>
      </c>
      <c r="OC104">
        <v>1.994699</v>
      </c>
      <c r="OD104">
        <v>1.9956640000000001</v>
      </c>
      <c r="OE104">
        <v>1.996475</v>
      </c>
      <c r="OF104">
        <v>1.997457</v>
      </c>
      <c r="OG104">
        <v>1.9982329999999999</v>
      </c>
      <c r="OH104">
        <v>1.9991460000000001</v>
      </c>
      <c r="OI104">
        <v>1.999932</v>
      </c>
      <c r="OJ104">
        <v>2.000874</v>
      </c>
      <c r="OK104">
        <v>2.0015510000000001</v>
      </c>
      <c r="OL104">
        <v>2.0025490000000001</v>
      </c>
      <c r="OM104">
        <v>2.0033720000000002</v>
      </c>
      <c r="ON104">
        <v>2.0044029999999999</v>
      </c>
      <c r="OO104">
        <v>2.0051589999999999</v>
      </c>
      <c r="OP104">
        <v>2.006014</v>
      </c>
      <c r="OQ104">
        <v>2.006732</v>
      </c>
      <c r="OR104">
        <v>2.0076870000000002</v>
      </c>
      <c r="OS104">
        <v>2.008562</v>
      </c>
      <c r="OT104">
        <v>2.0095429999999999</v>
      </c>
      <c r="OU104">
        <v>2.0102139999999999</v>
      </c>
      <c r="OV104">
        <v>2.0111460000000001</v>
      </c>
      <c r="OW104">
        <v>2.011892</v>
      </c>
      <c r="OX104">
        <v>2.0129739999999998</v>
      </c>
      <c r="OY104">
        <v>2.0139109999999998</v>
      </c>
      <c r="OZ104">
        <v>2.0149029999999999</v>
      </c>
      <c r="PA104">
        <v>2.015625</v>
      </c>
      <c r="PB104">
        <v>2.016534</v>
      </c>
      <c r="PC104">
        <v>2.0172840000000001</v>
      </c>
      <c r="PD104">
        <v>2.018389</v>
      </c>
      <c r="PE104">
        <v>2.0191300000000001</v>
      </c>
      <c r="PF104">
        <v>2.0200990000000001</v>
      </c>
      <c r="PG104">
        <v>2.0208170000000001</v>
      </c>
      <c r="PH104">
        <v>2.0218259999999999</v>
      </c>
      <c r="PI104">
        <v>2.0225810000000002</v>
      </c>
      <c r="PJ104">
        <v>2.023517</v>
      </c>
      <c r="PK104">
        <v>2.0243319999999998</v>
      </c>
      <c r="PL104">
        <v>2.0252539999999999</v>
      </c>
      <c r="PM104">
        <v>2.0259469999999999</v>
      </c>
      <c r="PN104">
        <v>2.0269490000000001</v>
      </c>
      <c r="PO104">
        <v>2.0277020000000001</v>
      </c>
      <c r="PP104">
        <v>2.0286840000000002</v>
      </c>
      <c r="PQ104">
        <v>2.029531</v>
      </c>
      <c r="PR104">
        <v>2.0304679999999999</v>
      </c>
      <c r="PS104">
        <v>2.0311569999999999</v>
      </c>
      <c r="PT104">
        <v>2.032127</v>
      </c>
      <c r="PU104">
        <v>2.0328010000000001</v>
      </c>
      <c r="PV104">
        <v>2.0337510000000001</v>
      </c>
      <c r="PW104">
        <v>2.034545</v>
      </c>
      <c r="PX104">
        <v>2.03552</v>
      </c>
      <c r="PY104">
        <v>2.0362089999999999</v>
      </c>
      <c r="PZ104">
        <v>2.0372029999999999</v>
      </c>
      <c r="QA104">
        <v>2.0379040000000002</v>
      </c>
      <c r="QB104">
        <v>2.038948</v>
      </c>
      <c r="QC104">
        <v>2.0397419999999999</v>
      </c>
      <c r="QD104">
        <v>2.0406620000000002</v>
      </c>
      <c r="QE104">
        <v>2.0413570000000001</v>
      </c>
      <c r="QF104">
        <v>2.042087</v>
      </c>
      <c r="QG104">
        <v>2.0428860000000002</v>
      </c>
      <c r="QH104">
        <v>2.0437970000000001</v>
      </c>
      <c r="QI104">
        <v>2.0445229999999999</v>
      </c>
      <c r="QJ104">
        <v>2.0455369999999999</v>
      </c>
      <c r="QK104">
        <v>2.046252</v>
      </c>
      <c r="QL104">
        <v>2.047075</v>
      </c>
      <c r="QM104">
        <v>2.0477630000000002</v>
      </c>
      <c r="QN104">
        <v>2.0486870000000001</v>
      </c>
      <c r="QO104">
        <v>2.0495049999999999</v>
      </c>
      <c r="QP104">
        <v>2.0503399999999998</v>
      </c>
      <c r="QQ104">
        <v>2.0511569999999999</v>
      </c>
      <c r="QR104">
        <v>2.0520149999999999</v>
      </c>
      <c r="QS104">
        <v>2.0526080000000002</v>
      </c>
      <c r="QT104">
        <v>2.0536020000000001</v>
      </c>
      <c r="QU104">
        <v>2.0543680000000002</v>
      </c>
      <c r="QV104">
        <v>2.0553089999999998</v>
      </c>
      <c r="QW104">
        <v>2.0560330000000002</v>
      </c>
      <c r="QX104">
        <v>2.0569639999999998</v>
      </c>
      <c r="QY104">
        <v>2.0577169999999998</v>
      </c>
      <c r="QZ104">
        <v>2.0588259999999998</v>
      </c>
      <c r="RA104">
        <v>2.059612</v>
      </c>
      <c r="RB104">
        <v>2.0605349999999998</v>
      </c>
      <c r="RC104">
        <v>2.0612210000000002</v>
      </c>
      <c r="RD104">
        <v>2.0621529999999999</v>
      </c>
      <c r="RE104">
        <v>2.0630289999999998</v>
      </c>
      <c r="RF104">
        <v>2.0639829999999999</v>
      </c>
      <c r="RG104">
        <v>2.0647540000000002</v>
      </c>
      <c r="RH104">
        <v>2.0656099999999999</v>
      </c>
      <c r="RI104">
        <v>2.0663459999999998</v>
      </c>
      <c r="RJ104">
        <v>2.0672429999999999</v>
      </c>
      <c r="RK104">
        <v>2.0679620000000001</v>
      </c>
      <c r="RL104">
        <v>2.0689479999999998</v>
      </c>
      <c r="RM104">
        <v>2.0695790000000001</v>
      </c>
      <c r="RN104">
        <v>2.0704929999999999</v>
      </c>
      <c r="RO104">
        <v>2.0712470000000001</v>
      </c>
      <c r="RP104">
        <v>2.0722070000000001</v>
      </c>
      <c r="RQ104">
        <v>2.072889</v>
      </c>
      <c r="RR104">
        <v>2.073852</v>
      </c>
      <c r="RS104">
        <v>2.0744590000000001</v>
      </c>
      <c r="RT104">
        <v>2.0754589999999999</v>
      </c>
      <c r="RU104">
        <v>2.0762779999999998</v>
      </c>
      <c r="RV104">
        <v>2.077083</v>
      </c>
      <c r="RW104">
        <v>2.0778099999999999</v>
      </c>
      <c r="RX104">
        <v>2.0787399999999998</v>
      </c>
      <c r="RY104">
        <v>2.0794489999999999</v>
      </c>
      <c r="RZ104">
        <v>2.0803449999999999</v>
      </c>
      <c r="SA104">
        <v>2.0809820000000001</v>
      </c>
      <c r="SB104">
        <v>2.0819489999999998</v>
      </c>
      <c r="SC104">
        <v>2.0826319999999998</v>
      </c>
      <c r="SD104">
        <v>2.083602</v>
      </c>
      <c r="SE104">
        <v>2.084263</v>
      </c>
      <c r="SF104">
        <v>2.0852309999999998</v>
      </c>
      <c r="SG104">
        <v>2.085893</v>
      </c>
    </row>
    <row r="105" spans="1:501" x14ac:dyDescent="0.2">
      <c r="A105">
        <v>54.879719270118699</v>
      </c>
    </row>
    <row r="106" spans="1:501" x14ac:dyDescent="0.2">
      <c r="A106">
        <v>0.86679046308244201</v>
      </c>
    </row>
    <row r="107" spans="1:501" x14ac:dyDescent="0.2">
      <c r="A107">
        <v>1.5306352100715399</v>
      </c>
    </row>
    <row r="108" spans="1:501" x14ac:dyDescent="0.2">
      <c r="A108">
        <v>212.34954401078701</v>
      </c>
    </row>
    <row r="109" spans="1:501" x14ac:dyDescent="0.2">
      <c r="A109">
        <f>A101</f>
        <v>25</v>
      </c>
    </row>
  </sheetData>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892F0E-F5DE-4F62-A2F1-9340F10262C9}">
  <dimension ref="A1:R806"/>
  <sheetViews>
    <sheetView tabSelected="1" workbookViewId="0">
      <pane ySplit="1" topLeftCell="A773" activePane="bottomLeft" state="frozen"/>
      <selection pane="bottomLeft" activeCell="A807" sqref="A807"/>
    </sheetView>
  </sheetViews>
  <sheetFormatPr defaultRowHeight="12.75" x14ac:dyDescent="0.2"/>
  <cols>
    <col min="1" max="1" width="24.5703125" bestFit="1" customWidth="1"/>
    <col min="2" max="2" width="11.85546875" bestFit="1" customWidth="1"/>
    <col min="3" max="3" width="8.5703125" customWidth="1"/>
    <col min="4" max="4" width="8" customWidth="1"/>
    <col min="5" max="5" width="18.85546875" bestFit="1" customWidth="1"/>
    <col min="6" max="6" width="9.42578125" customWidth="1"/>
    <col min="7" max="7" width="13.7109375" style="17" bestFit="1" customWidth="1"/>
    <col min="8" max="8" width="14.28515625" style="17" bestFit="1" customWidth="1"/>
    <col min="9" max="9" width="12.42578125" style="17" bestFit="1" customWidth="1"/>
    <col min="10" max="10" width="13.140625" style="17" bestFit="1" customWidth="1"/>
    <col min="11" max="11" width="10.5703125" style="17" bestFit="1" customWidth="1"/>
    <col min="12" max="12" width="11.140625" style="17" bestFit="1" customWidth="1"/>
    <col min="13" max="13" width="10.85546875" style="17" bestFit="1" customWidth="1"/>
    <col min="14" max="14" width="11.42578125" style="17" bestFit="1" customWidth="1"/>
    <col min="15" max="15" width="16.28515625" style="17" bestFit="1" customWidth="1"/>
    <col min="16" max="16" width="16.85546875" style="17" bestFit="1" customWidth="1"/>
    <col min="17" max="17" width="24.7109375" style="17" bestFit="1" customWidth="1"/>
    <col min="18" max="18" width="25.28515625" style="17" bestFit="1" customWidth="1"/>
  </cols>
  <sheetData>
    <row r="1" spans="1:18" x14ac:dyDescent="0.2">
      <c r="A1" s="13" t="s">
        <v>35</v>
      </c>
      <c r="B1" s="13" t="s">
        <v>23</v>
      </c>
      <c r="C1" s="13" t="s">
        <v>38</v>
      </c>
      <c r="D1" s="13" t="s">
        <v>39</v>
      </c>
      <c r="E1" s="13" t="s">
        <v>40</v>
      </c>
      <c r="F1" s="13" t="s">
        <v>42</v>
      </c>
      <c r="G1" s="16" t="s">
        <v>2138</v>
      </c>
      <c r="H1" s="16" t="s">
        <v>2139</v>
      </c>
      <c r="I1" s="16" t="s">
        <v>2140</v>
      </c>
      <c r="J1" s="16" t="s">
        <v>2141</v>
      </c>
      <c r="K1" s="16" t="s">
        <v>2134</v>
      </c>
      <c r="L1" s="16" t="s">
        <v>2135</v>
      </c>
      <c r="M1" s="16" t="s">
        <v>2136</v>
      </c>
      <c r="N1" s="16" t="s">
        <v>2137</v>
      </c>
      <c r="O1" s="12" t="s">
        <v>2145</v>
      </c>
      <c r="P1" s="12" t="s">
        <v>2144</v>
      </c>
      <c r="Q1" s="12" t="s">
        <v>2142</v>
      </c>
      <c r="R1" s="12" t="s">
        <v>2143</v>
      </c>
    </row>
    <row r="2" spans="1:18" x14ac:dyDescent="0.2">
      <c r="A2" t="s">
        <v>59</v>
      </c>
      <c r="B2">
        <v>730</v>
      </c>
      <c r="C2" t="s">
        <v>60</v>
      </c>
      <c r="D2" t="s">
        <v>61</v>
      </c>
      <c r="E2" t="s">
        <v>62</v>
      </c>
      <c r="G2" s="17">
        <v>0</v>
      </c>
      <c r="H2" s="17" t="str">
        <f>_xlfn.TEXTAFTER(E2,"-",1)</f>
        <v>40</v>
      </c>
      <c r="I2" s="17">
        <v>1.2</v>
      </c>
      <c r="J2" s="17">
        <v>2.2000000000000002</v>
      </c>
      <c r="K2" s="17">
        <f>B2-2</f>
        <v>728</v>
      </c>
      <c r="L2" s="17">
        <f>B2+2</f>
        <v>732</v>
      </c>
      <c r="M2" s="17">
        <v>0</v>
      </c>
      <c r="N2" s="17">
        <v>50</v>
      </c>
      <c r="O2" s="17">
        <v>0</v>
      </c>
    </row>
    <row r="3" spans="1:18" x14ac:dyDescent="0.2">
      <c r="A3" t="s">
        <v>79</v>
      </c>
      <c r="B3">
        <v>730</v>
      </c>
      <c r="C3" t="s">
        <v>60</v>
      </c>
      <c r="D3" t="s">
        <v>61</v>
      </c>
      <c r="E3" t="s">
        <v>80</v>
      </c>
      <c r="G3" s="17">
        <v>0</v>
      </c>
      <c r="H3" s="17" t="str">
        <f t="shared" ref="H3:H66" si="0">_xlfn.TEXTAFTER(E3,"-",1)</f>
        <v>10</v>
      </c>
      <c r="I3" s="17">
        <v>1.2</v>
      </c>
      <c r="J3" s="17">
        <v>2.2000000000000002</v>
      </c>
      <c r="K3" s="17">
        <f t="shared" ref="K3:K66" si="1">B3-2</f>
        <v>728</v>
      </c>
      <c r="L3" s="17">
        <f t="shared" ref="L3:L66" si="2">B3+2</f>
        <v>732</v>
      </c>
      <c r="M3" s="17">
        <v>0</v>
      </c>
      <c r="N3" s="17">
        <v>50</v>
      </c>
      <c r="O3" s="17">
        <v>0</v>
      </c>
    </row>
    <row r="4" spans="1:18" x14ac:dyDescent="0.2">
      <c r="A4" t="s">
        <v>88</v>
      </c>
      <c r="B4">
        <v>730</v>
      </c>
      <c r="C4" t="s">
        <v>60</v>
      </c>
      <c r="D4" t="s">
        <v>61</v>
      </c>
      <c r="E4" t="s">
        <v>89</v>
      </c>
      <c r="G4" s="17">
        <v>0</v>
      </c>
      <c r="H4" s="17" t="str">
        <f t="shared" si="0"/>
        <v>80</v>
      </c>
      <c r="I4" s="17">
        <v>1.2</v>
      </c>
      <c r="J4" s="17">
        <v>2.2000000000000002</v>
      </c>
      <c r="K4" s="17">
        <f t="shared" si="1"/>
        <v>728</v>
      </c>
      <c r="L4" s="17">
        <f t="shared" si="2"/>
        <v>732</v>
      </c>
      <c r="M4" s="17">
        <v>0</v>
      </c>
      <c r="N4" s="17">
        <v>50</v>
      </c>
      <c r="O4" s="17">
        <v>0</v>
      </c>
    </row>
    <row r="5" spans="1:18" x14ac:dyDescent="0.2">
      <c r="A5" t="s">
        <v>101</v>
      </c>
      <c r="B5">
        <v>730</v>
      </c>
      <c r="C5" t="s">
        <v>60</v>
      </c>
      <c r="D5" t="s">
        <v>61</v>
      </c>
      <c r="E5" t="s">
        <v>89</v>
      </c>
      <c r="G5" s="17">
        <v>0</v>
      </c>
      <c r="H5" s="17" t="str">
        <f t="shared" si="0"/>
        <v>80</v>
      </c>
      <c r="I5" s="17">
        <v>1.2</v>
      </c>
      <c r="J5" s="17">
        <v>2.2000000000000002</v>
      </c>
      <c r="K5" s="17">
        <f t="shared" si="1"/>
        <v>728</v>
      </c>
      <c r="L5" s="17">
        <f t="shared" si="2"/>
        <v>732</v>
      </c>
      <c r="M5" s="17">
        <v>0</v>
      </c>
      <c r="N5" s="17">
        <v>50</v>
      </c>
      <c r="O5" s="17">
        <v>0</v>
      </c>
    </row>
    <row r="6" spans="1:18" x14ac:dyDescent="0.2">
      <c r="A6" t="s">
        <v>110</v>
      </c>
      <c r="B6">
        <v>730</v>
      </c>
      <c r="C6" t="s">
        <v>60</v>
      </c>
      <c r="D6" t="s">
        <v>61</v>
      </c>
      <c r="E6" t="s">
        <v>62</v>
      </c>
      <c r="F6" t="s">
        <v>111</v>
      </c>
      <c r="G6" s="17">
        <v>0</v>
      </c>
      <c r="H6" s="17" t="str">
        <f t="shared" si="0"/>
        <v>40</v>
      </c>
      <c r="I6" s="17">
        <v>1.2</v>
      </c>
      <c r="J6" s="17">
        <v>2.2000000000000002</v>
      </c>
      <c r="K6" s="17">
        <f t="shared" si="1"/>
        <v>728</v>
      </c>
      <c r="L6" s="17">
        <f t="shared" si="2"/>
        <v>732</v>
      </c>
      <c r="M6" s="17">
        <v>0</v>
      </c>
      <c r="N6" s="17">
        <v>50</v>
      </c>
      <c r="O6" s="17">
        <v>0</v>
      </c>
    </row>
    <row r="7" spans="1:18" x14ac:dyDescent="0.2">
      <c r="A7" t="s">
        <v>115</v>
      </c>
      <c r="B7">
        <v>730</v>
      </c>
      <c r="C7" t="s">
        <v>60</v>
      </c>
      <c r="D7" t="s">
        <v>61</v>
      </c>
      <c r="E7" t="s">
        <v>80</v>
      </c>
      <c r="F7" t="s">
        <v>111</v>
      </c>
      <c r="G7" s="17">
        <v>0</v>
      </c>
      <c r="H7" s="17" t="str">
        <f t="shared" si="0"/>
        <v>10</v>
      </c>
      <c r="I7" s="17">
        <v>1.2</v>
      </c>
      <c r="J7" s="17">
        <v>2.2000000000000002</v>
      </c>
      <c r="K7" s="17">
        <f t="shared" si="1"/>
        <v>728</v>
      </c>
      <c r="L7" s="17">
        <f t="shared" si="2"/>
        <v>732</v>
      </c>
      <c r="M7" s="17">
        <v>0</v>
      </c>
      <c r="N7" s="17">
        <v>50</v>
      </c>
      <c r="O7" s="17">
        <v>0</v>
      </c>
    </row>
    <row r="8" spans="1:18" x14ac:dyDescent="0.2">
      <c r="A8" t="s">
        <v>119</v>
      </c>
      <c r="B8">
        <v>730</v>
      </c>
      <c r="C8" t="s">
        <v>60</v>
      </c>
      <c r="D8" t="s">
        <v>61</v>
      </c>
      <c r="E8" t="s">
        <v>89</v>
      </c>
      <c r="F8" t="s">
        <v>111</v>
      </c>
      <c r="G8" s="17">
        <v>0</v>
      </c>
      <c r="H8" s="17" t="str">
        <f t="shared" si="0"/>
        <v>80</v>
      </c>
      <c r="I8" s="17">
        <v>1.2</v>
      </c>
      <c r="J8" s="17">
        <v>2.2000000000000002</v>
      </c>
      <c r="K8" s="17">
        <f t="shared" si="1"/>
        <v>728</v>
      </c>
      <c r="L8" s="17">
        <f t="shared" si="2"/>
        <v>732</v>
      </c>
      <c r="M8" s="17">
        <v>0</v>
      </c>
      <c r="N8" s="17">
        <v>50</v>
      </c>
      <c r="O8" s="17">
        <v>0</v>
      </c>
    </row>
    <row r="9" spans="1:18" x14ac:dyDescent="0.2">
      <c r="A9" t="s">
        <v>123</v>
      </c>
      <c r="B9">
        <v>730</v>
      </c>
      <c r="C9" t="s">
        <v>60</v>
      </c>
      <c r="D9" t="s">
        <v>61</v>
      </c>
      <c r="E9" t="s">
        <v>89</v>
      </c>
      <c r="F9" t="s">
        <v>111</v>
      </c>
      <c r="G9" s="17">
        <v>0</v>
      </c>
      <c r="H9" s="17" t="str">
        <f t="shared" si="0"/>
        <v>80</v>
      </c>
      <c r="I9" s="17">
        <v>1.2</v>
      </c>
      <c r="J9" s="17">
        <v>2.2000000000000002</v>
      </c>
      <c r="K9" s="17">
        <f t="shared" si="1"/>
        <v>728</v>
      </c>
      <c r="L9" s="17">
        <f t="shared" si="2"/>
        <v>732</v>
      </c>
      <c r="M9" s="17">
        <v>0</v>
      </c>
      <c r="N9" s="17">
        <v>50</v>
      </c>
      <c r="O9" s="17">
        <v>0</v>
      </c>
    </row>
    <row r="10" spans="1:18" x14ac:dyDescent="0.2">
      <c r="A10" t="s">
        <v>130</v>
      </c>
      <c r="B10">
        <v>730</v>
      </c>
      <c r="C10" t="s">
        <v>60</v>
      </c>
      <c r="D10" t="s">
        <v>61</v>
      </c>
      <c r="E10" t="s">
        <v>89</v>
      </c>
      <c r="F10" t="s">
        <v>111</v>
      </c>
      <c r="G10" s="17">
        <v>0</v>
      </c>
      <c r="H10" s="17" t="str">
        <f t="shared" si="0"/>
        <v>80</v>
      </c>
      <c r="I10" s="17">
        <v>1.2</v>
      </c>
      <c r="J10" s="17">
        <v>2.2000000000000002</v>
      </c>
      <c r="K10" s="17">
        <f t="shared" si="1"/>
        <v>728</v>
      </c>
      <c r="L10" s="17">
        <f t="shared" si="2"/>
        <v>732</v>
      </c>
      <c r="M10" s="17">
        <v>0</v>
      </c>
      <c r="N10" s="17">
        <v>50</v>
      </c>
      <c r="O10" s="17">
        <v>0</v>
      </c>
    </row>
    <row r="11" spans="1:18" x14ac:dyDescent="0.2">
      <c r="A11" t="s">
        <v>138</v>
      </c>
      <c r="B11">
        <v>730</v>
      </c>
      <c r="C11" t="s">
        <v>60</v>
      </c>
      <c r="D11" t="s">
        <v>61</v>
      </c>
      <c r="E11" t="s">
        <v>89</v>
      </c>
      <c r="F11" t="s">
        <v>111</v>
      </c>
      <c r="G11" s="17">
        <v>0</v>
      </c>
      <c r="H11" s="17" t="str">
        <f t="shared" si="0"/>
        <v>80</v>
      </c>
      <c r="I11" s="17">
        <v>1.2</v>
      </c>
      <c r="J11" s="17">
        <v>2.2000000000000002</v>
      </c>
      <c r="K11" s="17">
        <f t="shared" si="1"/>
        <v>728</v>
      </c>
      <c r="L11" s="17">
        <f t="shared" si="2"/>
        <v>732</v>
      </c>
      <c r="M11" s="17">
        <v>0</v>
      </c>
      <c r="N11" s="17">
        <v>50</v>
      </c>
      <c r="O11" s="17">
        <v>0</v>
      </c>
    </row>
    <row r="12" spans="1:18" x14ac:dyDescent="0.2">
      <c r="A12" t="s">
        <v>146</v>
      </c>
      <c r="B12">
        <v>730</v>
      </c>
      <c r="C12" t="s">
        <v>60</v>
      </c>
      <c r="D12" t="s">
        <v>61</v>
      </c>
      <c r="E12" t="s">
        <v>89</v>
      </c>
      <c r="G12" s="17">
        <v>0</v>
      </c>
      <c r="H12" s="17" t="str">
        <f t="shared" si="0"/>
        <v>80</v>
      </c>
      <c r="I12" s="17">
        <v>1.2</v>
      </c>
      <c r="J12" s="17">
        <v>2.2000000000000002</v>
      </c>
      <c r="K12" s="17">
        <f t="shared" si="1"/>
        <v>728</v>
      </c>
      <c r="L12" s="17">
        <f t="shared" si="2"/>
        <v>732</v>
      </c>
      <c r="M12" s="17">
        <v>0</v>
      </c>
      <c r="N12" s="17">
        <v>50</v>
      </c>
      <c r="O12" s="17">
        <v>0</v>
      </c>
    </row>
    <row r="13" spans="1:18" x14ac:dyDescent="0.2">
      <c r="A13" t="s">
        <v>150</v>
      </c>
      <c r="B13">
        <v>730</v>
      </c>
      <c r="C13" t="s">
        <v>60</v>
      </c>
      <c r="D13" t="s">
        <v>61</v>
      </c>
      <c r="E13" t="s">
        <v>89</v>
      </c>
      <c r="G13" s="17">
        <v>0</v>
      </c>
      <c r="H13" s="17" t="str">
        <f t="shared" si="0"/>
        <v>80</v>
      </c>
      <c r="I13" s="17">
        <v>1.2</v>
      </c>
      <c r="J13" s="17">
        <v>2.2000000000000002</v>
      </c>
      <c r="K13" s="17">
        <f t="shared" si="1"/>
        <v>728</v>
      </c>
      <c r="L13" s="17">
        <f t="shared" si="2"/>
        <v>732</v>
      </c>
      <c r="M13" s="17">
        <v>0</v>
      </c>
      <c r="N13" s="17">
        <v>50</v>
      </c>
      <c r="O13" s="17">
        <v>0</v>
      </c>
    </row>
    <row r="14" spans="1:18" x14ac:dyDescent="0.2">
      <c r="A14" t="s">
        <v>154</v>
      </c>
      <c r="B14" t="s">
        <v>155</v>
      </c>
      <c r="C14" t="s">
        <v>60</v>
      </c>
      <c r="D14" t="s">
        <v>156</v>
      </c>
      <c r="E14" t="s">
        <v>157</v>
      </c>
      <c r="F14" t="s">
        <v>159</v>
      </c>
      <c r="G14" s="17">
        <v>0</v>
      </c>
      <c r="H14" s="17" t="str">
        <f t="shared" si="0"/>
        <v>180</v>
      </c>
      <c r="I14" s="17">
        <v>1.2</v>
      </c>
      <c r="J14" s="17">
        <v>2.2000000000000002</v>
      </c>
      <c r="K14" s="17">
        <f t="shared" si="1"/>
        <v>1034</v>
      </c>
      <c r="L14" s="17">
        <f t="shared" si="2"/>
        <v>1038</v>
      </c>
      <c r="M14" s="17">
        <v>0</v>
      </c>
      <c r="N14" s="17">
        <v>50</v>
      </c>
      <c r="O14" s="17">
        <v>0</v>
      </c>
    </row>
    <row r="15" spans="1:18" x14ac:dyDescent="0.2">
      <c r="A15" t="s">
        <v>167</v>
      </c>
      <c r="B15">
        <v>737</v>
      </c>
      <c r="C15" t="s">
        <v>60</v>
      </c>
      <c r="D15" t="s">
        <v>61</v>
      </c>
      <c r="E15" t="s">
        <v>62</v>
      </c>
      <c r="G15" s="17">
        <v>0</v>
      </c>
      <c r="H15" s="17" t="str">
        <f t="shared" si="0"/>
        <v>40</v>
      </c>
      <c r="I15" s="17">
        <v>1.2</v>
      </c>
      <c r="J15" s="17">
        <v>2.2000000000000002</v>
      </c>
      <c r="K15" s="17">
        <f t="shared" si="1"/>
        <v>735</v>
      </c>
      <c r="L15" s="17">
        <f t="shared" si="2"/>
        <v>739</v>
      </c>
      <c r="M15" s="17">
        <v>0</v>
      </c>
      <c r="N15" s="17">
        <v>50</v>
      </c>
      <c r="O15" s="17">
        <v>0</v>
      </c>
    </row>
    <row r="16" spans="1:18" x14ac:dyDescent="0.2">
      <c r="A16" t="s">
        <v>173</v>
      </c>
      <c r="B16">
        <v>737</v>
      </c>
      <c r="C16" t="s">
        <v>60</v>
      </c>
      <c r="D16" t="s">
        <v>61</v>
      </c>
      <c r="E16" t="s">
        <v>80</v>
      </c>
      <c r="G16" s="17">
        <v>0</v>
      </c>
      <c r="H16" s="17" t="str">
        <f t="shared" si="0"/>
        <v>10</v>
      </c>
      <c r="I16" s="17">
        <v>1.2</v>
      </c>
      <c r="J16" s="17">
        <v>2.2000000000000002</v>
      </c>
      <c r="K16" s="17">
        <f t="shared" si="1"/>
        <v>735</v>
      </c>
      <c r="L16" s="17">
        <f t="shared" si="2"/>
        <v>739</v>
      </c>
      <c r="M16" s="17">
        <v>0</v>
      </c>
      <c r="N16" s="17">
        <v>50</v>
      </c>
      <c r="O16" s="17">
        <v>0</v>
      </c>
    </row>
    <row r="17" spans="1:15" x14ac:dyDescent="0.2">
      <c r="A17" t="s">
        <v>177</v>
      </c>
      <c r="B17">
        <v>737</v>
      </c>
      <c r="C17" t="s">
        <v>60</v>
      </c>
      <c r="D17" t="s">
        <v>61</v>
      </c>
      <c r="E17" t="s">
        <v>89</v>
      </c>
      <c r="G17" s="17">
        <v>0</v>
      </c>
      <c r="H17" s="17" t="str">
        <f t="shared" si="0"/>
        <v>80</v>
      </c>
      <c r="I17" s="17">
        <v>1.2</v>
      </c>
      <c r="J17" s="17">
        <v>2.2000000000000002</v>
      </c>
      <c r="K17" s="17">
        <f t="shared" si="1"/>
        <v>735</v>
      </c>
      <c r="L17" s="17">
        <f t="shared" si="2"/>
        <v>739</v>
      </c>
      <c r="M17" s="17">
        <v>0</v>
      </c>
      <c r="N17" s="17">
        <v>50</v>
      </c>
      <c r="O17" s="17">
        <v>0</v>
      </c>
    </row>
    <row r="18" spans="1:15" x14ac:dyDescent="0.2">
      <c r="A18" t="s">
        <v>180</v>
      </c>
      <c r="B18">
        <v>737</v>
      </c>
      <c r="C18" t="s">
        <v>60</v>
      </c>
      <c r="D18" t="s">
        <v>61</v>
      </c>
      <c r="E18" t="s">
        <v>89</v>
      </c>
      <c r="G18" s="17">
        <v>0</v>
      </c>
      <c r="H18" s="17" t="str">
        <f t="shared" si="0"/>
        <v>80</v>
      </c>
      <c r="I18" s="17">
        <v>1.2</v>
      </c>
      <c r="J18" s="17">
        <v>2.2000000000000002</v>
      </c>
      <c r="K18" s="17">
        <f t="shared" si="1"/>
        <v>735</v>
      </c>
      <c r="L18" s="17">
        <f t="shared" si="2"/>
        <v>739</v>
      </c>
      <c r="M18" s="17">
        <v>0</v>
      </c>
      <c r="N18" s="17">
        <v>50</v>
      </c>
      <c r="O18" s="17">
        <v>0</v>
      </c>
    </row>
    <row r="19" spans="1:15" x14ac:dyDescent="0.2">
      <c r="A19" t="s">
        <v>183</v>
      </c>
      <c r="B19">
        <v>737</v>
      </c>
      <c r="C19" t="s">
        <v>60</v>
      </c>
      <c r="D19" t="s">
        <v>61</v>
      </c>
      <c r="E19" t="s">
        <v>62</v>
      </c>
      <c r="F19" t="s">
        <v>111</v>
      </c>
      <c r="G19" s="17">
        <v>0</v>
      </c>
      <c r="H19" s="17" t="str">
        <f t="shared" si="0"/>
        <v>40</v>
      </c>
      <c r="I19" s="17">
        <v>1.2</v>
      </c>
      <c r="J19" s="17">
        <v>2.2000000000000002</v>
      </c>
      <c r="K19" s="17">
        <f t="shared" si="1"/>
        <v>735</v>
      </c>
      <c r="L19" s="17">
        <f t="shared" si="2"/>
        <v>739</v>
      </c>
      <c r="M19" s="17">
        <v>0</v>
      </c>
      <c r="N19" s="17">
        <v>50</v>
      </c>
      <c r="O19" s="17">
        <v>0</v>
      </c>
    </row>
    <row r="20" spans="1:15" x14ac:dyDescent="0.2">
      <c r="A20" t="s">
        <v>186</v>
      </c>
      <c r="B20">
        <v>737</v>
      </c>
      <c r="C20" t="s">
        <v>60</v>
      </c>
      <c r="D20" t="s">
        <v>61</v>
      </c>
      <c r="E20" t="s">
        <v>80</v>
      </c>
      <c r="F20" t="s">
        <v>111</v>
      </c>
      <c r="G20" s="17">
        <v>0</v>
      </c>
      <c r="H20" s="17" t="str">
        <f t="shared" si="0"/>
        <v>10</v>
      </c>
      <c r="I20" s="17">
        <v>1.2</v>
      </c>
      <c r="J20" s="17">
        <v>2.2000000000000002</v>
      </c>
      <c r="K20" s="17">
        <f t="shared" si="1"/>
        <v>735</v>
      </c>
      <c r="L20" s="17">
        <f t="shared" si="2"/>
        <v>739</v>
      </c>
      <c r="M20" s="17">
        <v>0</v>
      </c>
      <c r="N20" s="17">
        <v>50</v>
      </c>
      <c r="O20" s="17">
        <v>0</v>
      </c>
    </row>
    <row r="21" spans="1:15" x14ac:dyDescent="0.2">
      <c r="A21" t="s">
        <v>189</v>
      </c>
      <c r="B21">
        <v>737</v>
      </c>
      <c r="C21" t="s">
        <v>60</v>
      </c>
      <c r="D21" t="s">
        <v>61</v>
      </c>
      <c r="E21" t="s">
        <v>89</v>
      </c>
      <c r="F21" t="s">
        <v>111</v>
      </c>
      <c r="G21" s="17">
        <v>0</v>
      </c>
      <c r="H21" s="17" t="str">
        <f t="shared" si="0"/>
        <v>80</v>
      </c>
      <c r="I21" s="17">
        <v>1.2</v>
      </c>
      <c r="J21" s="17">
        <v>2.2000000000000002</v>
      </c>
      <c r="K21" s="17">
        <f t="shared" si="1"/>
        <v>735</v>
      </c>
      <c r="L21" s="17">
        <f t="shared" si="2"/>
        <v>739</v>
      </c>
      <c r="M21" s="17">
        <v>0</v>
      </c>
      <c r="N21" s="17">
        <v>50</v>
      </c>
      <c r="O21" s="17">
        <v>0</v>
      </c>
    </row>
    <row r="22" spans="1:15" x14ac:dyDescent="0.2">
      <c r="A22" t="s">
        <v>192</v>
      </c>
      <c r="B22">
        <v>737</v>
      </c>
      <c r="C22" t="s">
        <v>60</v>
      </c>
      <c r="D22" t="s">
        <v>61</v>
      </c>
      <c r="E22" t="s">
        <v>89</v>
      </c>
      <c r="F22" t="s">
        <v>111</v>
      </c>
      <c r="G22" s="17">
        <v>0</v>
      </c>
      <c r="H22" s="17" t="str">
        <f t="shared" si="0"/>
        <v>80</v>
      </c>
      <c r="I22" s="17">
        <v>1.2</v>
      </c>
      <c r="J22" s="17">
        <v>2.2000000000000002</v>
      </c>
      <c r="K22" s="17">
        <f t="shared" si="1"/>
        <v>735</v>
      </c>
      <c r="L22" s="17">
        <f t="shared" si="2"/>
        <v>739</v>
      </c>
      <c r="M22" s="17">
        <v>0</v>
      </c>
      <c r="N22" s="17">
        <v>50</v>
      </c>
      <c r="O22" s="17">
        <v>0</v>
      </c>
    </row>
    <row r="23" spans="1:15" x14ac:dyDescent="0.2">
      <c r="A23" t="s">
        <v>195</v>
      </c>
      <c r="B23">
        <v>737</v>
      </c>
      <c r="C23" t="s">
        <v>60</v>
      </c>
      <c r="D23" t="s">
        <v>61</v>
      </c>
      <c r="E23" t="s">
        <v>89</v>
      </c>
      <c r="F23" t="s">
        <v>111</v>
      </c>
      <c r="G23" s="17">
        <v>0</v>
      </c>
      <c r="H23" s="17" t="str">
        <f t="shared" si="0"/>
        <v>80</v>
      </c>
      <c r="I23" s="17">
        <v>1.2</v>
      </c>
      <c r="J23" s="17">
        <v>2.2000000000000002</v>
      </c>
      <c r="K23" s="17">
        <f t="shared" si="1"/>
        <v>735</v>
      </c>
      <c r="L23" s="17">
        <f t="shared" si="2"/>
        <v>739</v>
      </c>
      <c r="M23" s="17">
        <v>0</v>
      </c>
      <c r="N23" s="17">
        <v>50</v>
      </c>
      <c r="O23" s="17">
        <v>0</v>
      </c>
    </row>
    <row r="24" spans="1:15" x14ac:dyDescent="0.2">
      <c r="A24" t="s">
        <v>198</v>
      </c>
      <c r="B24">
        <v>737</v>
      </c>
      <c r="C24" t="s">
        <v>60</v>
      </c>
      <c r="D24" t="s">
        <v>61</v>
      </c>
      <c r="E24" t="s">
        <v>89</v>
      </c>
      <c r="F24" t="s">
        <v>111</v>
      </c>
      <c r="G24" s="17">
        <v>0</v>
      </c>
      <c r="H24" s="17" t="str">
        <f t="shared" si="0"/>
        <v>80</v>
      </c>
      <c r="I24" s="17">
        <v>1.2</v>
      </c>
      <c r="J24" s="17">
        <v>2.2000000000000002</v>
      </c>
      <c r="K24" s="17">
        <f t="shared" si="1"/>
        <v>735</v>
      </c>
      <c r="L24" s="17">
        <f t="shared" si="2"/>
        <v>739</v>
      </c>
      <c r="M24" s="17">
        <v>0</v>
      </c>
      <c r="N24" s="17">
        <v>50</v>
      </c>
      <c r="O24" s="17">
        <v>0</v>
      </c>
    </row>
    <row r="25" spans="1:15" x14ac:dyDescent="0.2">
      <c r="A25" t="s">
        <v>201</v>
      </c>
      <c r="B25">
        <v>737</v>
      </c>
      <c r="C25" t="s">
        <v>60</v>
      </c>
      <c r="D25" t="s">
        <v>61</v>
      </c>
      <c r="E25" t="s">
        <v>89</v>
      </c>
      <c r="G25" s="17">
        <v>0</v>
      </c>
      <c r="H25" s="17" t="str">
        <f t="shared" si="0"/>
        <v>80</v>
      </c>
      <c r="I25" s="17">
        <v>1.2</v>
      </c>
      <c r="J25" s="17">
        <v>2.2000000000000002</v>
      </c>
      <c r="K25" s="17">
        <f t="shared" si="1"/>
        <v>735</v>
      </c>
      <c r="L25" s="17">
        <f t="shared" si="2"/>
        <v>739</v>
      </c>
      <c r="M25" s="17">
        <v>0</v>
      </c>
      <c r="N25" s="17">
        <v>50</v>
      </c>
      <c r="O25" s="17">
        <v>0</v>
      </c>
    </row>
    <row r="26" spans="1:15" x14ac:dyDescent="0.2">
      <c r="A26" t="s">
        <v>204</v>
      </c>
      <c r="B26">
        <v>737</v>
      </c>
      <c r="C26" t="s">
        <v>60</v>
      </c>
      <c r="D26" t="s">
        <v>61</v>
      </c>
      <c r="E26" t="s">
        <v>89</v>
      </c>
      <c r="G26" s="17">
        <v>0</v>
      </c>
      <c r="H26" s="17" t="str">
        <f t="shared" si="0"/>
        <v>80</v>
      </c>
      <c r="I26" s="17">
        <v>1.2</v>
      </c>
      <c r="J26" s="17">
        <v>2.2000000000000002</v>
      </c>
      <c r="K26" s="17">
        <f t="shared" si="1"/>
        <v>735</v>
      </c>
      <c r="L26" s="17">
        <f t="shared" si="2"/>
        <v>739</v>
      </c>
      <c r="M26" s="17">
        <v>0</v>
      </c>
      <c r="N26" s="17">
        <v>50</v>
      </c>
      <c r="O26" s="17">
        <v>0</v>
      </c>
    </row>
    <row r="27" spans="1:15" x14ac:dyDescent="0.2">
      <c r="A27" t="s">
        <v>207</v>
      </c>
      <c r="B27" t="s">
        <v>208</v>
      </c>
      <c r="C27" t="s">
        <v>60</v>
      </c>
      <c r="D27" t="s">
        <v>156</v>
      </c>
      <c r="E27" t="s">
        <v>157</v>
      </c>
      <c r="F27" t="s">
        <v>159</v>
      </c>
      <c r="G27" s="17">
        <v>0</v>
      </c>
      <c r="H27" s="17" t="str">
        <f t="shared" si="0"/>
        <v>180</v>
      </c>
      <c r="I27" s="17">
        <v>1.2</v>
      </c>
      <c r="J27" s="17">
        <v>2.2000000000000002</v>
      </c>
      <c r="K27" s="17">
        <f t="shared" si="1"/>
        <v>1037</v>
      </c>
      <c r="L27" s="17">
        <f t="shared" si="2"/>
        <v>1041</v>
      </c>
      <c r="M27" s="17">
        <v>0</v>
      </c>
      <c r="N27" s="17">
        <v>50</v>
      </c>
      <c r="O27" s="17">
        <v>0</v>
      </c>
    </row>
    <row r="28" spans="1:15" x14ac:dyDescent="0.2">
      <c r="A28" t="s">
        <v>213</v>
      </c>
      <c r="B28">
        <v>739</v>
      </c>
      <c r="C28" t="s">
        <v>60</v>
      </c>
      <c r="D28" t="s">
        <v>61</v>
      </c>
      <c r="E28" t="s">
        <v>62</v>
      </c>
      <c r="G28" s="17">
        <v>0</v>
      </c>
      <c r="H28" s="17" t="str">
        <f t="shared" si="0"/>
        <v>40</v>
      </c>
      <c r="I28" s="17">
        <v>1.2</v>
      </c>
      <c r="J28" s="17">
        <v>2.2000000000000002</v>
      </c>
      <c r="K28" s="17">
        <f t="shared" si="1"/>
        <v>737</v>
      </c>
      <c r="L28" s="17">
        <f t="shared" si="2"/>
        <v>741</v>
      </c>
      <c r="M28" s="17">
        <v>0</v>
      </c>
      <c r="N28" s="17">
        <v>50</v>
      </c>
      <c r="O28" s="17">
        <v>0</v>
      </c>
    </row>
    <row r="29" spans="1:15" x14ac:dyDescent="0.2">
      <c r="A29" t="s">
        <v>218</v>
      </c>
      <c r="B29">
        <v>739</v>
      </c>
      <c r="C29" t="s">
        <v>60</v>
      </c>
      <c r="D29" t="s">
        <v>61</v>
      </c>
      <c r="E29" t="s">
        <v>80</v>
      </c>
      <c r="G29" s="17">
        <v>0</v>
      </c>
      <c r="H29" s="17" t="str">
        <f t="shared" si="0"/>
        <v>10</v>
      </c>
      <c r="I29" s="17">
        <v>1.2</v>
      </c>
      <c r="J29" s="17">
        <v>2.2000000000000002</v>
      </c>
      <c r="K29" s="17">
        <f t="shared" si="1"/>
        <v>737</v>
      </c>
      <c r="L29" s="17">
        <f t="shared" si="2"/>
        <v>741</v>
      </c>
      <c r="M29" s="17">
        <v>0</v>
      </c>
      <c r="N29" s="17">
        <v>50</v>
      </c>
      <c r="O29" s="17">
        <v>0</v>
      </c>
    </row>
    <row r="30" spans="1:15" x14ac:dyDescent="0.2">
      <c r="A30" t="s">
        <v>221</v>
      </c>
      <c r="B30">
        <v>739</v>
      </c>
      <c r="C30" t="s">
        <v>60</v>
      </c>
      <c r="D30" t="s">
        <v>61</v>
      </c>
      <c r="E30" t="s">
        <v>89</v>
      </c>
      <c r="G30" s="17">
        <v>0</v>
      </c>
      <c r="H30" s="17" t="str">
        <f t="shared" si="0"/>
        <v>80</v>
      </c>
      <c r="I30" s="17">
        <v>1.2</v>
      </c>
      <c r="J30" s="17">
        <v>2.2000000000000002</v>
      </c>
      <c r="K30" s="17">
        <f t="shared" si="1"/>
        <v>737</v>
      </c>
      <c r="L30" s="17">
        <f t="shared" si="2"/>
        <v>741</v>
      </c>
      <c r="M30" s="17">
        <v>0</v>
      </c>
      <c r="N30" s="17">
        <v>50</v>
      </c>
      <c r="O30" s="17">
        <v>0</v>
      </c>
    </row>
    <row r="31" spans="1:15" x14ac:dyDescent="0.2">
      <c r="A31" t="s">
        <v>224</v>
      </c>
      <c r="B31">
        <v>739</v>
      </c>
      <c r="C31" t="s">
        <v>60</v>
      </c>
      <c r="D31" t="s">
        <v>61</v>
      </c>
      <c r="E31" t="s">
        <v>89</v>
      </c>
      <c r="G31" s="17">
        <v>0</v>
      </c>
      <c r="H31" s="17" t="str">
        <f t="shared" si="0"/>
        <v>80</v>
      </c>
      <c r="I31" s="17">
        <v>1.2</v>
      </c>
      <c r="J31" s="17">
        <v>2.2000000000000002</v>
      </c>
      <c r="K31" s="17">
        <f t="shared" si="1"/>
        <v>737</v>
      </c>
      <c r="L31" s="17">
        <f t="shared" si="2"/>
        <v>741</v>
      </c>
      <c r="M31" s="17">
        <v>0</v>
      </c>
      <c r="N31" s="17">
        <v>50</v>
      </c>
      <c r="O31" s="17">
        <v>0</v>
      </c>
    </row>
    <row r="32" spans="1:15" x14ac:dyDescent="0.2">
      <c r="A32" t="s">
        <v>227</v>
      </c>
      <c r="B32">
        <v>739</v>
      </c>
      <c r="C32" t="s">
        <v>60</v>
      </c>
      <c r="D32" t="s">
        <v>61</v>
      </c>
      <c r="E32" t="s">
        <v>62</v>
      </c>
      <c r="F32" t="s">
        <v>111</v>
      </c>
      <c r="G32" s="17">
        <v>0</v>
      </c>
      <c r="H32" s="17" t="str">
        <f t="shared" si="0"/>
        <v>40</v>
      </c>
      <c r="I32" s="17">
        <v>1.2</v>
      </c>
      <c r="J32" s="17">
        <v>2.2000000000000002</v>
      </c>
      <c r="K32" s="17">
        <f t="shared" si="1"/>
        <v>737</v>
      </c>
      <c r="L32" s="17">
        <f t="shared" si="2"/>
        <v>741</v>
      </c>
      <c r="M32" s="17">
        <v>0</v>
      </c>
      <c r="N32" s="17">
        <v>50</v>
      </c>
      <c r="O32" s="17">
        <v>0</v>
      </c>
    </row>
    <row r="33" spans="1:15" x14ac:dyDescent="0.2">
      <c r="A33" t="s">
        <v>230</v>
      </c>
      <c r="B33">
        <v>739</v>
      </c>
      <c r="C33" t="s">
        <v>60</v>
      </c>
      <c r="D33" t="s">
        <v>61</v>
      </c>
      <c r="E33" t="s">
        <v>80</v>
      </c>
      <c r="F33" t="s">
        <v>111</v>
      </c>
      <c r="G33" s="17">
        <v>0</v>
      </c>
      <c r="H33" s="17" t="str">
        <f t="shared" si="0"/>
        <v>10</v>
      </c>
      <c r="I33" s="17">
        <v>1.2</v>
      </c>
      <c r="J33" s="17">
        <v>2.2000000000000002</v>
      </c>
      <c r="K33" s="17">
        <f t="shared" si="1"/>
        <v>737</v>
      </c>
      <c r="L33" s="17">
        <f t="shared" si="2"/>
        <v>741</v>
      </c>
      <c r="M33" s="17">
        <v>0</v>
      </c>
      <c r="N33" s="17">
        <v>50</v>
      </c>
      <c r="O33" s="17">
        <v>0</v>
      </c>
    </row>
    <row r="34" spans="1:15" x14ac:dyDescent="0.2">
      <c r="A34" t="s">
        <v>233</v>
      </c>
      <c r="B34">
        <v>739</v>
      </c>
      <c r="C34" t="s">
        <v>60</v>
      </c>
      <c r="D34" t="s">
        <v>61</v>
      </c>
      <c r="E34" t="s">
        <v>89</v>
      </c>
      <c r="F34" t="s">
        <v>111</v>
      </c>
      <c r="G34" s="17">
        <v>0</v>
      </c>
      <c r="H34" s="17" t="str">
        <f t="shared" si="0"/>
        <v>80</v>
      </c>
      <c r="I34" s="17">
        <v>1.2</v>
      </c>
      <c r="J34" s="17">
        <v>2.2000000000000002</v>
      </c>
      <c r="K34" s="17">
        <f t="shared" si="1"/>
        <v>737</v>
      </c>
      <c r="L34" s="17">
        <f t="shared" si="2"/>
        <v>741</v>
      </c>
      <c r="M34" s="17">
        <v>0</v>
      </c>
      <c r="N34" s="17">
        <v>50</v>
      </c>
      <c r="O34" s="17">
        <v>0</v>
      </c>
    </row>
    <row r="35" spans="1:15" x14ac:dyDescent="0.2">
      <c r="A35" t="s">
        <v>236</v>
      </c>
      <c r="B35">
        <v>739</v>
      </c>
      <c r="C35" t="s">
        <v>60</v>
      </c>
      <c r="D35" t="s">
        <v>61</v>
      </c>
      <c r="E35" t="s">
        <v>89</v>
      </c>
      <c r="F35" t="s">
        <v>111</v>
      </c>
      <c r="G35" s="17">
        <v>0</v>
      </c>
      <c r="H35" s="17" t="str">
        <f t="shared" si="0"/>
        <v>80</v>
      </c>
      <c r="I35" s="17">
        <v>1.2</v>
      </c>
      <c r="J35" s="17">
        <v>2.2000000000000002</v>
      </c>
      <c r="K35" s="17">
        <f t="shared" si="1"/>
        <v>737</v>
      </c>
      <c r="L35" s="17">
        <f t="shared" si="2"/>
        <v>741</v>
      </c>
      <c r="M35" s="17">
        <v>0</v>
      </c>
      <c r="N35" s="17">
        <v>50</v>
      </c>
      <c r="O35" s="17">
        <v>0</v>
      </c>
    </row>
    <row r="36" spans="1:15" x14ac:dyDescent="0.2">
      <c r="A36" t="s">
        <v>239</v>
      </c>
      <c r="B36">
        <v>739</v>
      </c>
      <c r="C36" t="s">
        <v>60</v>
      </c>
      <c r="D36" t="s">
        <v>61</v>
      </c>
      <c r="E36" t="s">
        <v>89</v>
      </c>
      <c r="F36" t="s">
        <v>111</v>
      </c>
      <c r="G36" s="17">
        <v>0</v>
      </c>
      <c r="H36" s="17" t="str">
        <f t="shared" si="0"/>
        <v>80</v>
      </c>
      <c r="I36" s="17">
        <v>1.2</v>
      </c>
      <c r="J36" s="17">
        <v>2.2000000000000002</v>
      </c>
      <c r="K36" s="17">
        <f t="shared" si="1"/>
        <v>737</v>
      </c>
      <c r="L36" s="17">
        <f t="shared" si="2"/>
        <v>741</v>
      </c>
      <c r="M36" s="17">
        <v>0</v>
      </c>
      <c r="N36" s="17">
        <v>50</v>
      </c>
      <c r="O36" s="17">
        <v>0</v>
      </c>
    </row>
    <row r="37" spans="1:15" x14ac:dyDescent="0.2">
      <c r="A37" t="s">
        <v>242</v>
      </c>
      <c r="B37">
        <v>739</v>
      </c>
      <c r="C37" t="s">
        <v>60</v>
      </c>
      <c r="D37" t="s">
        <v>61</v>
      </c>
      <c r="E37" t="s">
        <v>89</v>
      </c>
      <c r="F37" t="s">
        <v>111</v>
      </c>
      <c r="G37" s="17">
        <v>0</v>
      </c>
      <c r="H37" s="17" t="str">
        <f t="shared" si="0"/>
        <v>80</v>
      </c>
      <c r="I37" s="17">
        <v>1.2</v>
      </c>
      <c r="J37" s="17">
        <v>2.2000000000000002</v>
      </c>
      <c r="K37" s="17">
        <f t="shared" si="1"/>
        <v>737</v>
      </c>
      <c r="L37" s="17">
        <f t="shared" si="2"/>
        <v>741</v>
      </c>
      <c r="M37" s="17">
        <v>0</v>
      </c>
      <c r="N37" s="17">
        <v>50</v>
      </c>
      <c r="O37" s="17">
        <v>0</v>
      </c>
    </row>
    <row r="38" spans="1:15" x14ac:dyDescent="0.2">
      <c r="A38" t="s">
        <v>245</v>
      </c>
      <c r="B38">
        <v>739</v>
      </c>
      <c r="C38" t="s">
        <v>60</v>
      </c>
      <c r="D38" t="s">
        <v>61</v>
      </c>
      <c r="E38" t="s">
        <v>89</v>
      </c>
      <c r="G38" s="17">
        <v>0</v>
      </c>
      <c r="H38" s="17" t="str">
        <f t="shared" si="0"/>
        <v>80</v>
      </c>
      <c r="I38" s="17">
        <v>1.2</v>
      </c>
      <c r="J38" s="17">
        <v>2.2000000000000002</v>
      </c>
      <c r="K38" s="17">
        <f t="shared" si="1"/>
        <v>737</v>
      </c>
      <c r="L38" s="17">
        <f t="shared" si="2"/>
        <v>741</v>
      </c>
      <c r="M38" s="17">
        <v>0</v>
      </c>
      <c r="N38" s="17">
        <v>50</v>
      </c>
      <c r="O38" s="17">
        <v>0</v>
      </c>
    </row>
    <row r="39" spans="1:15" x14ac:dyDescent="0.2">
      <c r="A39" t="s">
        <v>248</v>
      </c>
      <c r="B39">
        <v>739</v>
      </c>
      <c r="C39" t="s">
        <v>60</v>
      </c>
      <c r="D39" t="s">
        <v>61</v>
      </c>
      <c r="E39" t="s">
        <v>89</v>
      </c>
      <c r="G39" s="17">
        <v>0</v>
      </c>
      <c r="H39" s="17" t="str">
        <f t="shared" si="0"/>
        <v>80</v>
      </c>
      <c r="I39" s="17">
        <v>1.2</v>
      </c>
      <c r="J39" s="17">
        <v>2.2000000000000002</v>
      </c>
      <c r="K39" s="17">
        <f t="shared" si="1"/>
        <v>737</v>
      </c>
      <c r="L39" s="17">
        <f t="shared" si="2"/>
        <v>741</v>
      </c>
      <c r="M39" s="17">
        <v>0</v>
      </c>
      <c r="N39" s="17">
        <v>50</v>
      </c>
      <c r="O39" s="17">
        <v>0</v>
      </c>
    </row>
    <row r="40" spans="1:15" x14ac:dyDescent="0.2">
      <c r="A40" t="s">
        <v>251</v>
      </c>
      <c r="B40" t="s">
        <v>252</v>
      </c>
      <c r="C40" t="s">
        <v>60</v>
      </c>
      <c r="D40" t="s">
        <v>61</v>
      </c>
      <c r="E40" t="s">
        <v>253</v>
      </c>
      <c r="F40" t="s">
        <v>159</v>
      </c>
      <c r="G40" s="17">
        <v>0</v>
      </c>
      <c r="H40" s="17" t="str">
        <f t="shared" si="0"/>
        <v>350</v>
      </c>
      <c r="I40" s="17">
        <v>1.2</v>
      </c>
      <c r="J40" s="17">
        <v>2.2000000000000002</v>
      </c>
      <c r="K40" s="17">
        <f t="shared" si="1"/>
        <v>1062</v>
      </c>
      <c r="L40" s="17">
        <f t="shared" si="2"/>
        <v>1066</v>
      </c>
      <c r="M40" s="17">
        <v>0</v>
      </c>
      <c r="N40" s="17">
        <v>50</v>
      </c>
      <c r="O40" s="17">
        <v>0</v>
      </c>
    </row>
    <row r="41" spans="1:15" x14ac:dyDescent="0.2">
      <c r="A41" t="s">
        <v>259</v>
      </c>
      <c r="B41">
        <v>760</v>
      </c>
      <c r="C41" t="s">
        <v>60</v>
      </c>
      <c r="D41" t="s">
        <v>61</v>
      </c>
      <c r="E41" t="s">
        <v>260</v>
      </c>
      <c r="G41" s="17">
        <v>0</v>
      </c>
      <c r="H41" s="17" t="str">
        <f t="shared" si="0"/>
        <v>30</v>
      </c>
      <c r="I41" s="17">
        <v>1.2</v>
      </c>
      <c r="J41" s="17">
        <v>2.2000000000000002</v>
      </c>
      <c r="K41" s="17">
        <f t="shared" si="1"/>
        <v>758</v>
      </c>
      <c r="L41" s="17">
        <f t="shared" si="2"/>
        <v>762</v>
      </c>
      <c r="M41" s="17">
        <v>0</v>
      </c>
      <c r="N41" s="17">
        <v>50</v>
      </c>
      <c r="O41" s="17">
        <v>0</v>
      </c>
    </row>
    <row r="42" spans="1:15" x14ac:dyDescent="0.2">
      <c r="A42" t="s">
        <v>267</v>
      </c>
      <c r="B42">
        <v>760</v>
      </c>
      <c r="C42" t="s">
        <v>60</v>
      </c>
      <c r="D42" t="s">
        <v>61</v>
      </c>
      <c r="E42" t="s">
        <v>80</v>
      </c>
      <c r="G42" s="17">
        <v>0</v>
      </c>
      <c r="H42" s="17" t="str">
        <f t="shared" si="0"/>
        <v>10</v>
      </c>
      <c r="I42" s="17">
        <v>1.2</v>
      </c>
      <c r="J42" s="17">
        <v>2.2000000000000002</v>
      </c>
      <c r="K42" s="17">
        <f t="shared" si="1"/>
        <v>758</v>
      </c>
      <c r="L42" s="17">
        <f t="shared" si="2"/>
        <v>762</v>
      </c>
      <c r="M42" s="17">
        <v>0</v>
      </c>
      <c r="N42" s="17">
        <v>50</v>
      </c>
      <c r="O42" s="17">
        <v>0</v>
      </c>
    </row>
    <row r="43" spans="1:15" x14ac:dyDescent="0.2">
      <c r="A43" t="s">
        <v>270</v>
      </c>
      <c r="B43">
        <v>760</v>
      </c>
      <c r="C43" t="s">
        <v>60</v>
      </c>
      <c r="D43" t="s">
        <v>61</v>
      </c>
      <c r="E43" t="s">
        <v>271</v>
      </c>
      <c r="G43" s="17">
        <v>0</v>
      </c>
      <c r="H43" s="17" t="str">
        <f t="shared" si="0"/>
        <v>60</v>
      </c>
      <c r="I43" s="17">
        <v>1.2</v>
      </c>
      <c r="J43" s="17">
        <v>2.2000000000000002</v>
      </c>
      <c r="K43" s="17">
        <f t="shared" si="1"/>
        <v>758</v>
      </c>
      <c r="L43" s="17">
        <f t="shared" si="2"/>
        <v>762</v>
      </c>
      <c r="M43" s="17">
        <v>0</v>
      </c>
      <c r="N43" s="17">
        <v>50</v>
      </c>
      <c r="O43" s="17">
        <v>0</v>
      </c>
    </row>
    <row r="44" spans="1:15" x14ac:dyDescent="0.2">
      <c r="A44" t="s">
        <v>275</v>
      </c>
      <c r="B44">
        <v>760</v>
      </c>
      <c r="C44" t="s">
        <v>60</v>
      </c>
      <c r="D44" t="s">
        <v>61</v>
      </c>
      <c r="E44" t="s">
        <v>271</v>
      </c>
      <c r="G44" s="17">
        <v>0</v>
      </c>
      <c r="H44" s="17" t="str">
        <f t="shared" si="0"/>
        <v>60</v>
      </c>
      <c r="I44" s="17">
        <v>1.2</v>
      </c>
      <c r="J44" s="17">
        <v>2.2000000000000002</v>
      </c>
      <c r="K44" s="17">
        <f t="shared" si="1"/>
        <v>758</v>
      </c>
      <c r="L44" s="17">
        <f t="shared" si="2"/>
        <v>762</v>
      </c>
      <c r="M44" s="17">
        <v>0</v>
      </c>
      <c r="N44" s="17">
        <v>50</v>
      </c>
      <c r="O44" s="17">
        <v>0</v>
      </c>
    </row>
    <row r="45" spans="1:15" x14ac:dyDescent="0.2">
      <c r="A45" t="s">
        <v>277</v>
      </c>
      <c r="B45">
        <v>760</v>
      </c>
      <c r="C45" t="s">
        <v>60</v>
      </c>
      <c r="D45" t="s">
        <v>61</v>
      </c>
      <c r="E45" t="s">
        <v>271</v>
      </c>
      <c r="F45" t="s">
        <v>156</v>
      </c>
      <c r="G45" s="17">
        <v>0</v>
      </c>
      <c r="H45" s="17" t="str">
        <f t="shared" si="0"/>
        <v>60</v>
      </c>
      <c r="I45" s="17">
        <v>1.2</v>
      </c>
      <c r="J45" s="17">
        <v>2.2000000000000002</v>
      </c>
      <c r="K45" s="17">
        <f t="shared" si="1"/>
        <v>758</v>
      </c>
      <c r="L45" s="17">
        <f t="shared" si="2"/>
        <v>762</v>
      </c>
      <c r="M45" s="17">
        <v>0</v>
      </c>
      <c r="N45" s="17">
        <v>50</v>
      </c>
      <c r="O45" s="17">
        <v>0</v>
      </c>
    </row>
    <row r="46" spans="1:15" x14ac:dyDescent="0.2">
      <c r="A46" t="s">
        <v>281</v>
      </c>
      <c r="B46">
        <v>760</v>
      </c>
      <c r="C46" t="s">
        <v>60</v>
      </c>
      <c r="D46" t="s">
        <v>61</v>
      </c>
      <c r="E46" t="s">
        <v>271</v>
      </c>
      <c r="F46" t="s">
        <v>156</v>
      </c>
      <c r="G46" s="17">
        <v>0</v>
      </c>
      <c r="H46" s="17" t="str">
        <f t="shared" si="0"/>
        <v>60</v>
      </c>
      <c r="I46" s="17">
        <v>1.2</v>
      </c>
      <c r="J46" s="17">
        <v>2.2000000000000002</v>
      </c>
      <c r="K46" s="17">
        <f t="shared" si="1"/>
        <v>758</v>
      </c>
      <c r="L46" s="17">
        <f t="shared" si="2"/>
        <v>762</v>
      </c>
      <c r="M46" s="17">
        <v>0</v>
      </c>
      <c r="N46" s="17">
        <v>50</v>
      </c>
      <c r="O46" s="17">
        <v>0</v>
      </c>
    </row>
    <row r="47" spans="1:15" x14ac:dyDescent="0.2">
      <c r="A47" t="s">
        <v>287</v>
      </c>
      <c r="B47">
        <v>760</v>
      </c>
      <c r="C47" t="s">
        <v>60</v>
      </c>
      <c r="D47" t="s">
        <v>61</v>
      </c>
      <c r="E47" t="s">
        <v>271</v>
      </c>
      <c r="F47" t="s">
        <v>156</v>
      </c>
      <c r="G47" s="17">
        <v>0</v>
      </c>
      <c r="H47" s="17" t="str">
        <f t="shared" si="0"/>
        <v>60</v>
      </c>
      <c r="I47" s="17">
        <v>1.2</v>
      </c>
      <c r="J47" s="17">
        <v>2.2000000000000002</v>
      </c>
      <c r="K47" s="17">
        <f t="shared" si="1"/>
        <v>758</v>
      </c>
      <c r="L47" s="17">
        <f t="shared" si="2"/>
        <v>762</v>
      </c>
      <c r="M47" s="17">
        <v>0</v>
      </c>
      <c r="N47" s="17">
        <v>50</v>
      </c>
      <c r="O47" s="17">
        <v>0</v>
      </c>
    </row>
    <row r="48" spans="1:15" x14ac:dyDescent="0.2">
      <c r="A48" t="s">
        <v>290</v>
      </c>
      <c r="B48">
        <v>760</v>
      </c>
      <c r="C48" t="s">
        <v>60</v>
      </c>
      <c r="D48" t="s">
        <v>61</v>
      </c>
      <c r="E48" t="s">
        <v>271</v>
      </c>
      <c r="F48" t="s">
        <v>156</v>
      </c>
      <c r="G48" s="17">
        <v>0</v>
      </c>
      <c r="H48" s="17" t="str">
        <f t="shared" si="0"/>
        <v>60</v>
      </c>
      <c r="I48" s="17">
        <v>1.2</v>
      </c>
      <c r="J48" s="17">
        <v>2.2000000000000002</v>
      </c>
      <c r="K48" s="17">
        <f t="shared" si="1"/>
        <v>758</v>
      </c>
      <c r="L48" s="17">
        <f t="shared" si="2"/>
        <v>762</v>
      </c>
      <c r="M48" s="17">
        <v>0</v>
      </c>
      <c r="N48" s="17">
        <v>50</v>
      </c>
      <c r="O48" s="17">
        <v>0</v>
      </c>
    </row>
    <row r="49" spans="1:15" x14ac:dyDescent="0.2">
      <c r="A49" t="s">
        <v>293</v>
      </c>
      <c r="B49">
        <v>760</v>
      </c>
      <c r="C49" t="s">
        <v>60</v>
      </c>
      <c r="D49" t="s">
        <v>61</v>
      </c>
      <c r="E49" t="s">
        <v>260</v>
      </c>
      <c r="F49" t="s">
        <v>111</v>
      </c>
      <c r="G49" s="17">
        <v>0</v>
      </c>
      <c r="H49" s="17" t="str">
        <f t="shared" si="0"/>
        <v>30</v>
      </c>
      <c r="I49" s="17">
        <v>1.2</v>
      </c>
      <c r="J49" s="17">
        <v>2.2000000000000002</v>
      </c>
      <c r="K49" s="17">
        <f t="shared" si="1"/>
        <v>758</v>
      </c>
      <c r="L49" s="17">
        <f t="shared" si="2"/>
        <v>762</v>
      </c>
      <c r="M49" s="17">
        <v>0</v>
      </c>
      <c r="N49" s="17">
        <v>50</v>
      </c>
      <c r="O49" s="17">
        <v>0</v>
      </c>
    </row>
    <row r="50" spans="1:15" x14ac:dyDescent="0.2">
      <c r="A50" t="s">
        <v>295</v>
      </c>
      <c r="B50">
        <v>760</v>
      </c>
      <c r="C50" t="s">
        <v>60</v>
      </c>
      <c r="D50" t="s">
        <v>61</v>
      </c>
      <c r="E50" t="s">
        <v>80</v>
      </c>
      <c r="F50" t="s">
        <v>111</v>
      </c>
      <c r="G50" s="17">
        <v>0</v>
      </c>
      <c r="H50" s="17" t="str">
        <f t="shared" si="0"/>
        <v>10</v>
      </c>
      <c r="I50" s="17">
        <v>1.2</v>
      </c>
      <c r="J50" s="17">
        <v>2.2000000000000002</v>
      </c>
      <c r="K50" s="17">
        <f t="shared" si="1"/>
        <v>758</v>
      </c>
      <c r="L50" s="17">
        <f t="shared" si="2"/>
        <v>762</v>
      </c>
      <c r="M50" s="17">
        <v>0</v>
      </c>
      <c r="N50" s="17">
        <v>50</v>
      </c>
      <c r="O50" s="17">
        <v>0</v>
      </c>
    </row>
    <row r="51" spans="1:15" x14ac:dyDescent="0.2">
      <c r="A51" t="s">
        <v>297</v>
      </c>
      <c r="B51">
        <v>760</v>
      </c>
      <c r="C51" t="s">
        <v>60</v>
      </c>
      <c r="D51" t="s">
        <v>61</v>
      </c>
      <c r="E51" t="s">
        <v>271</v>
      </c>
      <c r="F51" t="s">
        <v>111</v>
      </c>
      <c r="G51" s="17">
        <v>0</v>
      </c>
      <c r="H51" s="17" t="str">
        <f t="shared" si="0"/>
        <v>60</v>
      </c>
      <c r="I51" s="17">
        <v>1.2</v>
      </c>
      <c r="J51" s="17">
        <v>2.2000000000000002</v>
      </c>
      <c r="K51" s="17">
        <f t="shared" si="1"/>
        <v>758</v>
      </c>
      <c r="L51" s="17">
        <f t="shared" si="2"/>
        <v>762</v>
      </c>
      <c r="M51" s="17">
        <v>0</v>
      </c>
      <c r="N51" s="17">
        <v>50</v>
      </c>
      <c r="O51" s="17">
        <v>0</v>
      </c>
    </row>
    <row r="52" spans="1:15" x14ac:dyDescent="0.2">
      <c r="A52" t="s">
        <v>299</v>
      </c>
      <c r="B52">
        <v>760</v>
      </c>
      <c r="C52" t="s">
        <v>60</v>
      </c>
      <c r="D52" t="s">
        <v>61</v>
      </c>
      <c r="E52" t="s">
        <v>271</v>
      </c>
      <c r="F52" t="s">
        <v>111</v>
      </c>
      <c r="G52" s="17">
        <v>0</v>
      </c>
      <c r="H52" s="17" t="str">
        <f t="shared" si="0"/>
        <v>60</v>
      </c>
      <c r="I52" s="17">
        <v>1.2</v>
      </c>
      <c r="J52" s="17">
        <v>2.2000000000000002</v>
      </c>
      <c r="K52" s="17">
        <f t="shared" si="1"/>
        <v>758</v>
      </c>
      <c r="L52" s="17">
        <f t="shared" si="2"/>
        <v>762</v>
      </c>
      <c r="M52" s="17">
        <v>0</v>
      </c>
      <c r="N52" s="17">
        <v>50</v>
      </c>
      <c r="O52" s="17">
        <v>0</v>
      </c>
    </row>
    <row r="53" spans="1:15" x14ac:dyDescent="0.2">
      <c r="A53" t="s">
        <v>301</v>
      </c>
      <c r="B53">
        <v>760</v>
      </c>
      <c r="C53" t="s">
        <v>60</v>
      </c>
      <c r="D53" t="s">
        <v>61</v>
      </c>
      <c r="E53" t="s">
        <v>271</v>
      </c>
      <c r="F53" t="s">
        <v>111</v>
      </c>
      <c r="G53" s="17">
        <v>0</v>
      </c>
      <c r="H53" s="17" t="str">
        <f t="shared" si="0"/>
        <v>60</v>
      </c>
      <c r="I53" s="17">
        <v>1.2</v>
      </c>
      <c r="J53" s="17">
        <v>2.2000000000000002</v>
      </c>
      <c r="K53" s="17">
        <f t="shared" si="1"/>
        <v>758</v>
      </c>
      <c r="L53" s="17">
        <f t="shared" si="2"/>
        <v>762</v>
      </c>
      <c r="M53" s="17">
        <v>0</v>
      </c>
      <c r="N53" s="17">
        <v>50</v>
      </c>
      <c r="O53" s="17">
        <v>0</v>
      </c>
    </row>
    <row r="54" spans="1:15" x14ac:dyDescent="0.2">
      <c r="A54" t="s">
        <v>303</v>
      </c>
      <c r="B54">
        <v>760</v>
      </c>
      <c r="C54" t="s">
        <v>60</v>
      </c>
      <c r="D54" t="s">
        <v>61</v>
      </c>
      <c r="E54" t="s">
        <v>271</v>
      </c>
      <c r="F54" t="s">
        <v>111</v>
      </c>
      <c r="G54" s="17">
        <v>0</v>
      </c>
      <c r="H54" s="17" t="str">
        <f t="shared" si="0"/>
        <v>60</v>
      </c>
      <c r="I54" s="17">
        <v>1.2</v>
      </c>
      <c r="J54" s="17">
        <v>2.2000000000000002</v>
      </c>
      <c r="K54" s="17">
        <f t="shared" si="1"/>
        <v>758</v>
      </c>
      <c r="L54" s="17">
        <f t="shared" si="2"/>
        <v>762</v>
      </c>
      <c r="M54" s="17">
        <v>0</v>
      </c>
      <c r="N54" s="17">
        <v>50</v>
      </c>
      <c r="O54" s="17">
        <v>0</v>
      </c>
    </row>
    <row r="55" spans="1:15" x14ac:dyDescent="0.2">
      <c r="A55" t="s">
        <v>305</v>
      </c>
      <c r="B55">
        <v>760</v>
      </c>
      <c r="C55" t="s">
        <v>60</v>
      </c>
      <c r="D55" t="s">
        <v>61</v>
      </c>
      <c r="E55" t="s">
        <v>271</v>
      </c>
      <c r="F55" t="s">
        <v>306</v>
      </c>
      <c r="G55" s="17">
        <v>0</v>
      </c>
      <c r="H55" s="17" t="str">
        <f t="shared" si="0"/>
        <v>60</v>
      </c>
      <c r="I55" s="17">
        <v>1.2</v>
      </c>
      <c r="J55" s="17">
        <v>2.2000000000000002</v>
      </c>
      <c r="K55" s="17">
        <f t="shared" si="1"/>
        <v>758</v>
      </c>
      <c r="L55" s="17">
        <f t="shared" si="2"/>
        <v>762</v>
      </c>
      <c r="M55" s="17">
        <v>0</v>
      </c>
      <c r="N55" s="17">
        <v>50</v>
      </c>
      <c r="O55" s="17">
        <v>0</v>
      </c>
    </row>
    <row r="56" spans="1:15" x14ac:dyDescent="0.2">
      <c r="A56" t="s">
        <v>310</v>
      </c>
      <c r="B56">
        <v>760</v>
      </c>
      <c r="C56" t="s">
        <v>60</v>
      </c>
      <c r="D56" t="s">
        <v>61</v>
      </c>
      <c r="E56" t="s">
        <v>271</v>
      </c>
      <c r="F56" t="s">
        <v>306</v>
      </c>
      <c r="G56" s="17">
        <v>0</v>
      </c>
      <c r="H56" s="17" t="str">
        <f t="shared" si="0"/>
        <v>60</v>
      </c>
      <c r="I56" s="17">
        <v>1.2</v>
      </c>
      <c r="J56" s="17">
        <v>2.2000000000000002</v>
      </c>
      <c r="K56" s="17">
        <f t="shared" si="1"/>
        <v>758</v>
      </c>
      <c r="L56" s="17">
        <f t="shared" si="2"/>
        <v>762</v>
      </c>
      <c r="M56" s="17">
        <v>0</v>
      </c>
      <c r="N56" s="17">
        <v>50</v>
      </c>
      <c r="O56" s="17">
        <v>0</v>
      </c>
    </row>
    <row r="57" spans="1:15" x14ac:dyDescent="0.2">
      <c r="A57" t="s">
        <v>316</v>
      </c>
      <c r="B57">
        <v>760</v>
      </c>
      <c r="C57" t="s">
        <v>60</v>
      </c>
      <c r="D57" t="s">
        <v>61</v>
      </c>
      <c r="E57" t="s">
        <v>271</v>
      </c>
      <c r="F57" t="s">
        <v>306</v>
      </c>
      <c r="G57" s="17">
        <v>0</v>
      </c>
      <c r="H57" s="17" t="str">
        <f t="shared" si="0"/>
        <v>60</v>
      </c>
      <c r="I57" s="17">
        <v>1.2</v>
      </c>
      <c r="J57" s="17">
        <v>2.2000000000000002</v>
      </c>
      <c r="K57" s="17">
        <f t="shared" si="1"/>
        <v>758</v>
      </c>
      <c r="L57" s="17">
        <f t="shared" si="2"/>
        <v>762</v>
      </c>
      <c r="M57" s="17">
        <v>0</v>
      </c>
      <c r="N57" s="17">
        <v>50</v>
      </c>
      <c r="O57" s="17">
        <v>0</v>
      </c>
    </row>
    <row r="58" spans="1:15" x14ac:dyDescent="0.2">
      <c r="A58" t="s">
        <v>319</v>
      </c>
      <c r="B58">
        <v>760</v>
      </c>
      <c r="C58" t="s">
        <v>60</v>
      </c>
      <c r="D58" t="s">
        <v>61</v>
      </c>
      <c r="E58" t="s">
        <v>271</v>
      </c>
      <c r="F58" t="s">
        <v>306</v>
      </c>
      <c r="G58" s="17">
        <v>0</v>
      </c>
      <c r="H58" s="17" t="str">
        <f t="shared" si="0"/>
        <v>60</v>
      </c>
      <c r="I58" s="17">
        <v>1.2</v>
      </c>
      <c r="J58" s="17">
        <v>2.2000000000000002</v>
      </c>
      <c r="K58" s="17">
        <f t="shared" si="1"/>
        <v>758</v>
      </c>
      <c r="L58" s="17">
        <f t="shared" si="2"/>
        <v>762</v>
      </c>
      <c r="M58" s="17">
        <v>0</v>
      </c>
      <c r="N58" s="17">
        <v>50</v>
      </c>
      <c r="O58" s="17">
        <v>0</v>
      </c>
    </row>
    <row r="59" spans="1:15" x14ac:dyDescent="0.2">
      <c r="A59" t="s">
        <v>322</v>
      </c>
      <c r="B59">
        <v>760</v>
      </c>
      <c r="C59" t="s">
        <v>60</v>
      </c>
      <c r="D59" t="s">
        <v>61</v>
      </c>
      <c r="E59" t="s">
        <v>271</v>
      </c>
      <c r="G59" s="17">
        <v>0</v>
      </c>
      <c r="H59" s="17" t="str">
        <f t="shared" si="0"/>
        <v>60</v>
      </c>
      <c r="I59" s="17">
        <v>1.2</v>
      </c>
      <c r="J59" s="17">
        <v>2.2000000000000002</v>
      </c>
      <c r="K59" s="17">
        <f t="shared" si="1"/>
        <v>758</v>
      </c>
      <c r="L59" s="17">
        <f t="shared" si="2"/>
        <v>762</v>
      </c>
      <c r="M59" s="17">
        <v>0</v>
      </c>
      <c r="N59" s="17">
        <v>50</v>
      </c>
      <c r="O59" s="17">
        <v>0</v>
      </c>
    </row>
    <row r="60" spans="1:15" x14ac:dyDescent="0.2">
      <c r="A60" t="s">
        <v>324</v>
      </c>
      <c r="B60">
        <v>760</v>
      </c>
      <c r="C60" t="s">
        <v>60</v>
      </c>
      <c r="D60" t="s">
        <v>61</v>
      </c>
      <c r="E60" t="s">
        <v>271</v>
      </c>
      <c r="G60" s="17">
        <v>0</v>
      </c>
      <c r="H60" s="17" t="str">
        <f t="shared" si="0"/>
        <v>60</v>
      </c>
      <c r="I60" s="17">
        <v>1.2</v>
      </c>
      <c r="J60" s="17">
        <v>2.2000000000000002</v>
      </c>
      <c r="K60" s="17">
        <f t="shared" si="1"/>
        <v>758</v>
      </c>
      <c r="L60" s="17">
        <f t="shared" si="2"/>
        <v>762</v>
      </c>
      <c r="M60" s="17">
        <v>0</v>
      </c>
      <c r="N60" s="17">
        <v>50</v>
      </c>
      <c r="O60" s="17">
        <v>0</v>
      </c>
    </row>
    <row r="61" spans="1:15" x14ac:dyDescent="0.2">
      <c r="A61" t="s">
        <v>326</v>
      </c>
      <c r="B61" t="s">
        <v>252</v>
      </c>
      <c r="C61" t="s">
        <v>60</v>
      </c>
      <c r="D61" t="s">
        <v>156</v>
      </c>
      <c r="E61" t="s">
        <v>157</v>
      </c>
      <c r="F61" t="s">
        <v>159</v>
      </c>
      <c r="G61" s="17">
        <v>0</v>
      </c>
      <c r="H61" s="17" t="str">
        <f t="shared" si="0"/>
        <v>180</v>
      </c>
      <c r="I61" s="17">
        <v>1.2</v>
      </c>
      <c r="J61" s="17">
        <v>2.2000000000000002</v>
      </c>
      <c r="K61" s="17">
        <f t="shared" si="1"/>
        <v>1062</v>
      </c>
      <c r="L61" s="17">
        <f t="shared" si="2"/>
        <v>1066</v>
      </c>
      <c r="M61" s="17">
        <v>0</v>
      </c>
      <c r="N61" s="17">
        <v>50</v>
      </c>
      <c r="O61" s="17">
        <v>0</v>
      </c>
    </row>
    <row r="62" spans="1:15" x14ac:dyDescent="0.2">
      <c r="A62" t="s">
        <v>328</v>
      </c>
      <c r="B62" t="s">
        <v>329</v>
      </c>
      <c r="C62" t="s">
        <v>60</v>
      </c>
      <c r="D62" t="s">
        <v>61</v>
      </c>
      <c r="E62" t="s">
        <v>62</v>
      </c>
      <c r="G62" s="17">
        <v>0</v>
      </c>
      <c r="H62" s="17" t="str">
        <f t="shared" si="0"/>
        <v>40</v>
      </c>
      <c r="I62" s="17">
        <v>1.2</v>
      </c>
      <c r="J62" s="17">
        <v>2.2000000000000002</v>
      </c>
      <c r="K62" s="17">
        <f t="shared" si="1"/>
        <v>764.7</v>
      </c>
      <c r="L62" s="17">
        <f t="shared" si="2"/>
        <v>768.7</v>
      </c>
      <c r="M62" s="17">
        <v>0</v>
      </c>
      <c r="N62" s="17">
        <v>50</v>
      </c>
      <c r="O62" s="17">
        <v>0</v>
      </c>
    </row>
    <row r="63" spans="1:15" x14ac:dyDescent="0.2">
      <c r="A63" t="s">
        <v>335</v>
      </c>
      <c r="B63" t="s">
        <v>329</v>
      </c>
      <c r="C63" t="s">
        <v>60</v>
      </c>
      <c r="D63" t="s">
        <v>61</v>
      </c>
      <c r="E63" t="s">
        <v>336</v>
      </c>
      <c r="G63" s="17">
        <v>0</v>
      </c>
      <c r="H63" s="17" t="str">
        <f t="shared" si="0"/>
        <v>20</v>
      </c>
      <c r="I63" s="17">
        <v>1.2</v>
      </c>
      <c r="J63" s="17">
        <v>2.2000000000000002</v>
      </c>
      <c r="K63" s="17">
        <f t="shared" si="1"/>
        <v>764.7</v>
      </c>
      <c r="L63" s="17">
        <f t="shared" si="2"/>
        <v>768.7</v>
      </c>
      <c r="M63" s="17">
        <v>0</v>
      </c>
      <c r="N63" s="17">
        <v>50</v>
      </c>
      <c r="O63" s="17">
        <v>0</v>
      </c>
    </row>
    <row r="64" spans="1:15" x14ac:dyDescent="0.2">
      <c r="A64" t="s">
        <v>340</v>
      </c>
      <c r="B64" t="s">
        <v>329</v>
      </c>
      <c r="C64" t="s">
        <v>60</v>
      </c>
      <c r="D64" t="s">
        <v>61</v>
      </c>
      <c r="E64" t="s">
        <v>89</v>
      </c>
      <c r="G64" s="17">
        <v>0</v>
      </c>
      <c r="H64" s="17" t="str">
        <f t="shared" si="0"/>
        <v>80</v>
      </c>
      <c r="I64" s="17">
        <v>1.2</v>
      </c>
      <c r="J64" s="17">
        <v>2.2000000000000002</v>
      </c>
      <c r="K64" s="17">
        <f t="shared" si="1"/>
        <v>764.7</v>
      </c>
      <c r="L64" s="17">
        <f t="shared" si="2"/>
        <v>768.7</v>
      </c>
      <c r="M64" s="17">
        <v>0</v>
      </c>
      <c r="N64" s="17">
        <v>50</v>
      </c>
      <c r="O64" s="17">
        <v>0</v>
      </c>
    </row>
    <row r="65" spans="1:15" x14ac:dyDescent="0.2">
      <c r="A65" t="s">
        <v>343</v>
      </c>
      <c r="B65" t="s">
        <v>329</v>
      </c>
      <c r="C65" t="s">
        <v>60</v>
      </c>
      <c r="D65" t="s">
        <v>61</v>
      </c>
      <c r="E65" t="s">
        <v>89</v>
      </c>
      <c r="G65" s="17">
        <v>0</v>
      </c>
      <c r="H65" s="17" t="str">
        <f t="shared" si="0"/>
        <v>80</v>
      </c>
      <c r="I65" s="17">
        <v>1.2</v>
      </c>
      <c r="J65" s="17">
        <v>2.2000000000000002</v>
      </c>
      <c r="K65" s="17">
        <f t="shared" si="1"/>
        <v>764.7</v>
      </c>
      <c r="L65" s="17">
        <f t="shared" si="2"/>
        <v>768.7</v>
      </c>
      <c r="M65" s="17">
        <v>0</v>
      </c>
      <c r="N65" s="17">
        <v>50</v>
      </c>
      <c r="O65" s="17">
        <v>0</v>
      </c>
    </row>
    <row r="66" spans="1:15" x14ac:dyDescent="0.2">
      <c r="A66" t="s">
        <v>345</v>
      </c>
      <c r="B66" t="s">
        <v>329</v>
      </c>
      <c r="C66" t="s">
        <v>60</v>
      </c>
      <c r="D66" t="s">
        <v>61</v>
      </c>
      <c r="E66" t="s">
        <v>89</v>
      </c>
      <c r="F66" t="s">
        <v>156</v>
      </c>
      <c r="G66" s="17">
        <v>0</v>
      </c>
      <c r="H66" s="17" t="str">
        <f t="shared" si="0"/>
        <v>80</v>
      </c>
      <c r="I66" s="17">
        <v>1.2</v>
      </c>
      <c r="J66" s="17">
        <v>2.2000000000000002</v>
      </c>
      <c r="K66" s="17">
        <f t="shared" si="1"/>
        <v>764.7</v>
      </c>
      <c r="L66" s="17">
        <f t="shared" si="2"/>
        <v>768.7</v>
      </c>
      <c r="M66" s="17">
        <v>0</v>
      </c>
      <c r="N66" s="17">
        <v>50</v>
      </c>
      <c r="O66" s="17">
        <v>0</v>
      </c>
    </row>
    <row r="67" spans="1:15" x14ac:dyDescent="0.2">
      <c r="A67" t="s">
        <v>347</v>
      </c>
      <c r="B67" t="s">
        <v>329</v>
      </c>
      <c r="C67" t="s">
        <v>60</v>
      </c>
      <c r="D67" t="s">
        <v>61</v>
      </c>
      <c r="E67" t="s">
        <v>89</v>
      </c>
      <c r="F67" t="s">
        <v>156</v>
      </c>
      <c r="G67" s="17">
        <v>0</v>
      </c>
      <c r="H67" s="17" t="str">
        <f t="shared" ref="H67:H130" si="3">_xlfn.TEXTAFTER(E67,"-",1)</f>
        <v>80</v>
      </c>
      <c r="I67" s="17">
        <v>1.2</v>
      </c>
      <c r="J67" s="17">
        <v>2.2000000000000002</v>
      </c>
      <c r="K67" s="17">
        <f t="shared" ref="K67:K130" si="4">B67-2</f>
        <v>764.7</v>
      </c>
      <c r="L67" s="17">
        <f t="shared" ref="L67:L130" si="5">B67+2</f>
        <v>768.7</v>
      </c>
      <c r="M67" s="17">
        <v>0</v>
      </c>
      <c r="N67" s="17">
        <v>50</v>
      </c>
      <c r="O67" s="17">
        <v>0</v>
      </c>
    </row>
    <row r="68" spans="1:15" x14ac:dyDescent="0.2">
      <c r="A68" t="s">
        <v>349</v>
      </c>
      <c r="B68" t="s">
        <v>329</v>
      </c>
      <c r="C68" t="s">
        <v>60</v>
      </c>
      <c r="D68" t="s">
        <v>61</v>
      </c>
      <c r="E68" t="s">
        <v>89</v>
      </c>
      <c r="F68" t="s">
        <v>156</v>
      </c>
      <c r="G68" s="17">
        <v>0</v>
      </c>
      <c r="H68" s="17" t="str">
        <f t="shared" si="3"/>
        <v>80</v>
      </c>
      <c r="I68" s="17">
        <v>1.2</v>
      </c>
      <c r="J68" s="17">
        <v>2.2000000000000002</v>
      </c>
      <c r="K68" s="17">
        <f t="shared" si="4"/>
        <v>764.7</v>
      </c>
      <c r="L68" s="17">
        <f t="shared" si="5"/>
        <v>768.7</v>
      </c>
      <c r="M68" s="17">
        <v>0</v>
      </c>
      <c r="N68" s="17">
        <v>50</v>
      </c>
      <c r="O68" s="17">
        <v>0</v>
      </c>
    </row>
    <row r="69" spans="1:15" x14ac:dyDescent="0.2">
      <c r="A69" t="s">
        <v>351</v>
      </c>
      <c r="B69" t="s">
        <v>329</v>
      </c>
      <c r="C69" t="s">
        <v>60</v>
      </c>
      <c r="D69" t="s">
        <v>61</v>
      </c>
      <c r="E69" t="s">
        <v>89</v>
      </c>
      <c r="F69" t="s">
        <v>156</v>
      </c>
      <c r="G69" s="17">
        <v>0</v>
      </c>
      <c r="H69" s="17" t="str">
        <f t="shared" si="3"/>
        <v>80</v>
      </c>
      <c r="I69" s="17">
        <v>1.2</v>
      </c>
      <c r="J69" s="17">
        <v>2.2000000000000002</v>
      </c>
      <c r="K69" s="17">
        <f t="shared" si="4"/>
        <v>764.7</v>
      </c>
      <c r="L69" s="17">
        <f t="shared" si="5"/>
        <v>768.7</v>
      </c>
      <c r="M69" s="17">
        <v>0</v>
      </c>
      <c r="N69" s="17">
        <v>50</v>
      </c>
      <c r="O69" s="17">
        <v>0</v>
      </c>
    </row>
    <row r="70" spans="1:15" x14ac:dyDescent="0.2">
      <c r="A70" t="s">
        <v>353</v>
      </c>
      <c r="B70" t="s">
        <v>329</v>
      </c>
      <c r="C70" t="s">
        <v>60</v>
      </c>
      <c r="D70" t="s">
        <v>61</v>
      </c>
      <c r="E70" t="s">
        <v>62</v>
      </c>
      <c r="F70" t="s">
        <v>111</v>
      </c>
      <c r="G70" s="17">
        <v>0</v>
      </c>
      <c r="H70" s="17" t="str">
        <f t="shared" si="3"/>
        <v>40</v>
      </c>
      <c r="I70" s="17">
        <v>1.2</v>
      </c>
      <c r="J70" s="17">
        <v>2.2000000000000002</v>
      </c>
      <c r="K70" s="17">
        <f t="shared" si="4"/>
        <v>764.7</v>
      </c>
      <c r="L70" s="17">
        <f t="shared" si="5"/>
        <v>768.7</v>
      </c>
      <c r="M70" s="17">
        <v>0</v>
      </c>
      <c r="N70" s="17">
        <v>50</v>
      </c>
      <c r="O70" s="17">
        <v>0</v>
      </c>
    </row>
    <row r="71" spans="1:15" x14ac:dyDescent="0.2">
      <c r="A71" t="s">
        <v>355</v>
      </c>
      <c r="B71" t="s">
        <v>329</v>
      </c>
      <c r="C71" t="s">
        <v>60</v>
      </c>
      <c r="D71" t="s">
        <v>61</v>
      </c>
      <c r="E71" t="s">
        <v>336</v>
      </c>
      <c r="F71" t="s">
        <v>111</v>
      </c>
      <c r="G71" s="17">
        <v>0</v>
      </c>
      <c r="H71" s="17" t="str">
        <f t="shared" si="3"/>
        <v>20</v>
      </c>
      <c r="I71" s="17">
        <v>1.2</v>
      </c>
      <c r="J71" s="17">
        <v>2.2000000000000002</v>
      </c>
      <c r="K71" s="17">
        <f t="shared" si="4"/>
        <v>764.7</v>
      </c>
      <c r="L71" s="17">
        <f t="shared" si="5"/>
        <v>768.7</v>
      </c>
      <c r="M71" s="17">
        <v>0</v>
      </c>
      <c r="N71" s="17">
        <v>50</v>
      </c>
      <c r="O71" s="17">
        <v>0</v>
      </c>
    </row>
    <row r="72" spans="1:15" x14ac:dyDescent="0.2">
      <c r="A72" t="s">
        <v>357</v>
      </c>
      <c r="B72" t="s">
        <v>329</v>
      </c>
      <c r="C72" t="s">
        <v>60</v>
      </c>
      <c r="D72" t="s">
        <v>61</v>
      </c>
      <c r="E72" t="s">
        <v>89</v>
      </c>
      <c r="F72" t="s">
        <v>111</v>
      </c>
      <c r="G72" s="17">
        <v>0</v>
      </c>
      <c r="H72" s="17" t="str">
        <f t="shared" si="3"/>
        <v>80</v>
      </c>
      <c r="I72" s="17">
        <v>1.2</v>
      </c>
      <c r="J72" s="17">
        <v>2.2000000000000002</v>
      </c>
      <c r="K72" s="17">
        <f t="shared" si="4"/>
        <v>764.7</v>
      </c>
      <c r="L72" s="17">
        <f t="shared" si="5"/>
        <v>768.7</v>
      </c>
      <c r="M72" s="17">
        <v>0</v>
      </c>
      <c r="N72" s="17">
        <v>50</v>
      </c>
      <c r="O72" s="17">
        <v>0</v>
      </c>
    </row>
    <row r="73" spans="1:15" x14ac:dyDescent="0.2">
      <c r="A73" t="s">
        <v>359</v>
      </c>
      <c r="B73" t="s">
        <v>329</v>
      </c>
      <c r="C73" t="s">
        <v>60</v>
      </c>
      <c r="D73" t="s">
        <v>61</v>
      </c>
      <c r="E73" t="s">
        <v>89</v>
      </c>
      <c r="F73" t="s">
        <v>111</v>
      </c>
      <c r="G73" s="17">
        <v>0</v>
      </c>
      <c r="H73" s="17" t="str">
        <f t="shared" si="3"/>
        <v>80</v>
      </c>
      <c r="I73" s="17">
        <v>1.2</v>
      </c>
      <c r="J73" s="17">
        <v>2.2000000000000002</v>
      </c>
      <c r="K73" s="17">
        <f t="shared" si="4"/>
        <v>764.7</v>
      </c>
      <c r="L73" s="17">
        <f t="shared" si="5"/>
        <v>768.7</v>
      </c>
      <c r="M73" s="17">
        <v>0</v>
      </c>
      <c r="N73" s="17">
        <v>50</v>
      </c>
      <c r="O73" s="17">
        <v>0</v>
      </c>
    </row>
    <row r="74" spans="1:15" x14ac:dyDescent="0.2">
      <c r="A74" t="s">
        <v>361</v>
      </c>
      <c r="B74" t="s">
        <v>329</v>
      </c>
      <c r="C74" t="s">
        <v>60</v>
      </c>
      <c r="D74" t="s">
        <v>61</v>
      </c>
      <c r="E74" t="s">
        <v>89</v>
      </c>
      <c r="F74" t="s">
        <v>111</v>
      </c>
      <c r="G74" s="17">
        <v>0</v>
      </c>
      <c r="H74" s="17" t="str">
        <f t="shared" si="3"/>
        <v>80</v>
      </c>
      <c r="I74" s="17">
        <v>1.2</v>
      </c>
      <c r="J74" s="17">
        <v>2.2000000000000002</v>
      </c>
      <c r="K74" s="17">
        <f t="shared" si="4"/>
        <v>764.7</v>
      </c>
      <c r="L74" s="17">
        <f t="shared" si="5"/>
        <v>768.7</v>
      </c>
      <c r="M74" s="17">
        <v>0</v>
      </c>
      <c r="N74" s="17">
        <v>50</v>
      </c>
      <c r="O74" s="17">
        <v>0</v>
      </c>
    </row>
    <row r="75" spans="1:15" x14ac:dyDescent="0.2">
      <c r="A75" t="s">
        <v>363</v>
      </c>
      <c r="B75" t="s">
        <v>329</v>
      </c>
      <c r="C75" t="s">
        <v>60</v>
      </c>
      <c r="D75" t="s">
        <v>61</v>
      </c>
      <c r="E75" t="s">
        <v>89</v>
      </c>
      <c r="F75" t="s">
        <v>111</v>
      </c>
      <c r="G75" s="17">
        <v>0</v>
      </c>
      <c r="H75" s="17" t="str">
        <f t="shared" si="3"/>
        <v>80</v>
      </c>
      <c r="I75" s="17">
        <v>1.2</v>
      </c>
      <c r="J75" s="17">
        <v>2.2000000000000002</v>
      </c>
      <c r="K75" s="17">
        <f t="shared" si="4"/>
        <v>764.7</v>
      </c>
      <c r="L75" s="17">
        <f t="shared" si="5"/>
        <v>768.7</v>
      </c>
      <c r="M75" s="17">
        <v>0</v>
      </c>
      <c r="N75" s="17">
        <v>50</v>
      </c>
      <c r="O75" s="17">
        <v>0</v>
      </c>
    </row>
    <row r="76" spans="1:15" x14ac:dyDescent="0.2">
      <c r="A76" t="s">
        <v>365</v>
      </c>
      <c r="B76" t="s">
        <v>329</v>
      </c>
      <c r="C76" t="s">
        <v>60</v>
      </c>
      <c r="D76" t="s">
        <v>61</v>
      </c>
      <c r="E76" t="s">
        <v>89</v>
      </c>
      <c r="F76" t="s">
        <v>306</v>
      </c>
      <c r="G76" s="17">
        <v>0</v>
      </c>
      <c r="H76" s="17" t="str">
        <f t="shared" si="3"/>
        <v>80</v>
      </c>
      <c r="I76" s="17">
        <v>1.2</v>
      </c>
      <c r="J76" s="17">
        <v>2.2000000000000002</v>
      </c>
      <c r="K76" s="17">
        <f t="shared" si="4"/>
        <v>764.7</v>
      </c>
      <c r="L76" s="17">
        <f t="shared" si="5"/>
        <v>768.7</v>
      </c>
      <c r="M76" s="17">
        <v>0</v>
      </c>
      <c r="N76" s="17">
        <v>50</v>
      </c>
      <c r="O76" s="17">
        <v>0</v>
      </c>
    </row>
    <row r="77" spans="1:15" x14ac:dyDescent="0.2">
      <c r="A77" t="s">
        <v>367</v>
      </c>
      <c r="B77" t="s">
        <v>329</v>
      </c>
      <c r="C77" t="s">
        <v>60</v>
      </c>
      <c r="D77" t="s">
        <v>61</v>
      </c>
      <c r="E77" t="s">
        <v>89</v>
      </c>
      <c r="F77" t="s">
        <v>306</v>
      </c>
      <c r="G77" s="17">
        <v>0</v>
      </c>
      <c r="H77" s="17" t="str">
        <f t="shared" si="3"/>
        <v>80</v>
      </c>
      <c r="I77" s="17">
        <v>1.2</v>
      </c>
      <c r="J77" s="17">
        <v>2.2000000000000002</v>
      </c>
      <c r="K77" s="17">
        <f t="shared" si="4"/>
        <v>764.7</v>
      </c>
      <c r="L77" s="17">
        <f t="shared" si="5"/>
        <v>768.7</v>
      </c>
      <c r="M77" s="17">
        <v>0</v>
      </c>
      <c r="N77" s="17">
        <v>50</v>
      </c>
      <c r="O77" s="17">
        <v>0</v>
      </c>
    </row>
    <row r="78" spans="1:15" x14ac:dyDescent="0.2">
      <c r="A78" t="s">
        <v>369</v>
      </c>
      <c r="B78" t="s">
        <v>329</v>
      </c>
      <c r="C78" t="s">
        <v>60</v>
      </c>
      <c r="D78" t="s">
        <v>61</v>
      </c>
      <c r="E78" t="s">
        <v>89</v>
      </c>
      <c r="F78" t="s">
        <v>306</v>
      </c>
      <c r="G78" s="17">
        <v>0</v>
      </c>
      <c r="H78" s="17" t="str">
        <f t="shared" si="3"/>
        <v>80</v>
      </c>
      <c r="I78" s="17">
        <v>1.2</v>
      </c>
      <c r="J78" s="17">
        <v>2.2000000000000002</v>
      </c>
      <c r="K78" s="17">
        <f t="shared" si="4"/>
        <v>764.7</v>
      </c>
      <c r="L78" s="17">
        <f t="shared" si="5"/>
        <v>768.7</v>
      </c>
      <c r="M78" s="17">
        <v>0</v>
      </c>
      <c r="N78" s="17">
        <v>50</v>
      </c>
      <c r="O78" s="17">
        <v>0</v>
      </c>
    </row>
    <row r="79" spans="1:15" x14ac:dyDescent="0.2">
      <c r="A79" t="s">
        <v>371</v>
      </c>
      <c r="B79" t="s">
        <v>329</v>
      </c>
      <c r="C79" t="s">
        <v>60</v>
      </c>
      <c r="D79" t="s">
        <v>61</v>
      </c>
      <c r="E79" t="s">
        <v>89</v>
      </c>
      <c r="F79" t="s">
        <v>306</v>
      </c>
      <c r="G79" s="17">
        <v>0</v>
      </c>
      <c r="H79" s="17" t="str">
        <f t="shared" si="3"/>
        <v>80</v>
      </c>
      <c r="I79" s="17">
        <v>1.2</v>
      </c>
      <c r="J79" s="17">
        <v>2.2000000000000002</v>
      </c>
      <c r="K79" s="17">
        <f t="shared" si="4"/>
        <v>764.7</v>
      </c>
      <c r="L79" s="17">
        <f t="shared" si="5"/>
        <v>768.7</v>
      </c>
      <c r="M79" s="17">
        <v>0</v>
      </c>
      <c r="N79" s="17">
        <v>50</v>
      </c>
      <c r="O79" s="17">
        <v>0</v>
      </c>
    </row>
    <row r="80" spans="1:15" x14ac:dyDescent="0.2">
      <c r="A80" t="s">
        <v>374</v>
      </c>
      <c r="B80" t="s">
        <v>329</v>
      </c>
      <c r="C80" t="s">
        <v>60</v>
      </c>
      <c r="D80" t="s">
        <v>61</v>
      </c>
      <c r="E80" t="s">
        <v>89</v>
      </c>
      <c r="G80" s="17">
        <v>0</v>
      </c>
      <c r="H80" s="17" t="str">
        <f t="shared" si="3"/>
        <v>80</v>
      </c>
      <c r="I80" s="17">
        <v>1.2</v>
      </c>
      <c r="J80" s="17">
        <v>2.2000000000000002</v>
      </c>
      <c r="K80" s="17">
        <f t="shared" si="4"/>
        <v>764.7</v>
      </c>
      <c r="L80" s="17">
        <f t="shared" si="5"/>
        <v>768.7</v>
      </c>
      <c r="M80" s="17">
        <v>0</v>
      </c>
      <c r="N80" s="17">
        <v>50</v>
      </c>
      <c r="O80" s="17">
        <v>0</v>
      </c>
    </row>
    <row r="81" spans="1:15" x14ac:dyDescent="0.2">
      <c r="A81" t="s">
        <v>376</v>
      </c>
      <c r="B81" t="s">
        <v>329</v>
      </c>
      <c r="C81" t="s">
        <v>60</v>
      </c>
      <c r="D81" t="s">
        <v>61</v>
      </c>
      <c r="E81" t="s">
        <v>89</v>
      </c>
      <c r="G81" s="17">
        <v>0</v>
      </c>
      <c r="H81" s="17" t="str">
        <f t="shared" si="3"/>
        <v>80</v>
      </c>
      <c r="I81" s="17">
        <v>1.2</v>
      </c>
      <c r="J81" s="17">
        <v>2.2000000000000002</v>
      </c>
      <c r="K81" s="17">
        <f t="shared" si="4"/>
        <v>764.7</v>
      </c>
      <c r="L81" s="17">
        <f t="shared" si="5"/>
        <v>768.7</v>
      </c>
      <c r="M81" s="17">
        <v>0</v>
      </c>
      <c r="N81" s="17">
        <v>50</v>
      </c>
      <c r="O81" s="17">
        <v>0</v>
      </c>
    </row>
    <row r="82" spans="1:15" x14ac:dyDescent="0.2">
      <c r="A82" t="s">
        <v>378</v>
      </c>
      <c r="B82" t="s">
        <v>379</v>
      </c>
      <c r="C82" t="s">
        <v>60</v>
      </c>
      <c r="D82" t="s">
        <v>156</v>
      </c>
      <c r="E82" t="s">
        <v>157</v>
      </c>
      <c r="F82" t="s">
        <v>159</v>
      </c>
      <c r="G82" s="17">
        <v>0</v>
      </c>
      <c r="H82" s="17" t="str">
        <f t="shared" si="3"/>
        <v>180</v>
      </c>
      <c r="I82" s="17">
        <v>1.2</v>
      </c>
      <c r="J82" s="17">
        <v>2.2000000000000002</v>
      </c>
      <c r="K82" s="17">
        <f t="shared" si="4"/>
        <v>1078</v>
      </c>
      <c r="L82" s="17">
        <f t="shared" si="5"/>
        <v>1082</v>
      </c>
      <c r="M82" s="17">
        <v>0</v>
      </c>
      <c r="N82" s="17">
        <v>50</v>
      </c>
      <c r="O82" s="17">
        <v>0</v>
      </c>
    </row>
    <row r="83" spans="1:15" x14ac:dyDescent="0.2">
      <c r="A83" t="s">
        <v>383</v>
      </c>
      <c r="B83">
        <v>770.10799999999995</v>
      </c>
      <c r="C83" t="s">
        <v>60</v>
      </c>
      <c r="D83" t="s">
        <v>61</v>
      </c>
      <c r="E83" t="s">
        <v>260</v>
      </c>
      <c r="G83" s="17">
        <v>0</v>
      </c>
      <c r="H83" s="17" t="str">
        <f t="shared" si="3"/>
        <v>30</v>
      </c>
      <c r="I83" s="17">
        <v>1.2</v>
      </c>
      <c r="J83" s="17">
        <v>2.2000000000000002</v>
      </c>
      <c r="K83" s="17">
        <f t="shared" si="4"/>
        <v>768.10799999999995</v>
      </c>
      <c r="L83" s="17">
        <f t="shared" si="5"/>
        <v>772.10799999999995</v>
      </c>
      <c r="M83" s="17">
        <v>0</v>
      </c>
      <c r="N83" s="17">
        <v>50</v>
      </c>
      <c r="O83" s="17">
        <v>0</v>
      </c>
    </row>
    <row r="84" spans="1:15" x14ac:dyDescent="0.2">
      <c r="A84" t="s">
        <v>388</v>
      </c>
      <c r="B84">
        <v>770.10799999999995</v>
      </c>
      <c r="C84" t="s">
        <v>60</v>
      </c>
      <c r="D84" t="s">
        <v>61</v>
      </c>
      <c r="E84" t="s">
        <v>336</v>
      </c>
      <c r="G84" s="17">
        <v>0</v>
      </c>
      <c r="H84" s="17" t="str">
        <f t="shared" si="3"/>
        <v>20</v>
      </c>
      <c r="I84" s="17">
        <v>1.2</v>
      </c>
      <c r="J84" s="17">
        <v>2.2000000000000002</v>
      </c>
      <c r="K84" s="17">
        <f t="shared" si="4"/>
        <v>768.10799999999995</v>
      </c>
      <c r="L84" s="17">
        <f t="shared" si="5"/>
        <v>772.10799999999995</v>
      </c>
      <c r="M84" s="17">
        <v>0</v>
      </c>
      <c r="N84" s="17">
        <v>50</v>
      </c>
      <c r="O84" s="17">
        <v>0</v>
      </c>
    </row>
    <row r="85" spans="1:15" x14ac:dyDescent="0.2">
      <c r="A85" t="s">
        <v>390</v>
      </c>
      <c r="B85">
        <v>770.10799999999995</v>
      </c>
      <c r="C85" t="s">
        <v>60</v>
      </c>
      <c r="D85" t="s">
        <v>61</v>
      </c>
      <c r="E85" t="s">
        <v>391</v>
      </c>
      <c r="G85" s="17">
        <v>0</v>
      </c>
      <c r="H85" s="17" t="str">
        <f t="shared" si="3"/>
        <v>100</v>
      </c>
      <c r="I85" s="17">
        <v>1.2</v>
      </c>
      <c r="J85" s="17">
        <v>2.2000000000000002</v>
      </c>
      <c r="K85" s="17">
        <f t="shared" si="4"/>
        <v>768.10799999999995</v>
      </c>
      <c r="L85" s="17">
        <f t="shared" si="5"/>
        <v>772.10799999999995</v>
      </c>
      <c r="M85" s="17">
        <v>0</v>
      </c>
      <c r="N85" s="17">
        <v>50</v>
      </c>
      <c r="O85" s="17">
        <v>0</v>
      </c>
    </row>
    <row r="86" spans="1:15" x14ac:dyDescent="0.2">
      <c r="A86" t="s">
        <v>395</v>
      </c>
      <c r="B86">
        <v>770.10799999999995</v>
      </c>
      <c r="C86" t="s">
        <v>60</v>
      </c>
      <c r="D86" t="s">
        <v>61</v>
      </c>
      <c r="E86" t="s">
        <v>391</v>
      </c>
      <c r="G86" s="17">
        <v>0</v>
      </c>
      <c r="H86" s="17" t="str">
        <f t="shared" si="3"/>
        <v>100</v>
      </c>
      <c r="I86" s="17">
        <v>1.2</v>
      </c>
      <c r="J86" s="17">
        <v>2.2000000000000002</v>
      </c>
      <c r="K86" s="17">
        <f t="shared" si="4"/>
        <v>768.10799999999995</v>
      </c>
      <c r="L86" s="17">
        <f t="shared" si="5"/>
        <v>772.10799999999995</v>
      </c>
      <c r="M86" s="17">
        <v>0</v>
      </c>
      <c r="N86" s="17">
        <v>50</v>
      </c>
      <c r="O86" s="17">
        <v>0</v>
      </c>
    </row>
    <row r="87" spans="1:15" x14ac:dyDescent="0.2">
      <c r="A87" t="s">
        <v>397</v>
      </c>
      <c r="B87">
        <v>770.10799999999995</v>
      </c>
      <c r="C87" t="s">
        <v>60</v>
      </c>
      <c r="D87" t="s">
        <v>61</v>
      </c>
      <c r="E87" t="s">
        <v>391</v>
      </c>
      <c r="F87" t="s">
        <v>156</v>
      </c>
      <c r="G87" s="17">
        <v>0</v>
      </c>
      <c r="H87" s="17" t="str">
        <f t="shared" si="3"/>
        <v>100</v>
      </c>
      <c r="I87" s="17">
        <v>1.2</v>
      </c>
      <c r="J87" s="17">
        <v>2.2000000000000002</v>
      </c>
      <c r="K87" s="17">
        <f t="shared" si="4"/>
        <v>768.10799999999995</v>
      </c>
      <c r="L87" s="17">
        <f t="shared" si="5"/>
        <v>772.10799999999995</v>
      </c>
      <c r="M87" s="17">
        <v>0</v>
      </c>
      <c r="N87" s="17">
        <v>50</v>
      </c>
      <c r="O87" s="17">
        <v>0</v>
      </c>
    </row>
    <row r="88" spans="1:15" x14ac:dyDescent="0.2">
      <c r="A88" t="s">
        <v>399</v>
      </c>
      <c r="B88">
        <v>770.10799999999995</v>
      </c>
      <c r="C88" t="s">
        <v>60</v>
      </c>
      <c r="D88" t="s">
        <v>61</v>
      </c>
      <c r="E88" t="s">
        <v>391</v>
      </c>
      <c r="F88" t="s">
        <v>156</v>
      </c>
      <c r="G88" s="17">
        <v>0</v>
      </c>
      <c r="H88" s="17" t="str">
        <f t="shared" si="3"/>
        <v>100</v>
      </c>
      <c r="I88" s="17">
        <v>1.2</v>
      </c>
      <c r="J88" s="17">
        <v>2.2000000000000002</v>
      </c>
      <c r="K88" s="17">
        <f t="shared" si="4"/>
        <v>768.10799999999995</v>
      </c>
      <c r="L88" s="17">
        <f t="shared" si="5"/>
        <v>772.10799999999995</v>
      </c>
      <c r="M88" s="17">
        <v>0</v>
      </c>
      <c r="N88" s="17">
        <v>50</v>
      </c>
      <c r="O88" s="17">
        <v>0</v>
      </c>
    </row>
    <row r="89" spans="1:15" x14ac:dyDescent="0.2">
      <c r="A89" t="s">
        <v>401</v>
      </c>
      <c r="B89">
        <v>770.10799999999995</v>
      </c>
      <c r="C89" t="s">
        <v>60</v>
      </c>
      <c r="D89" t="s">
        <v>61</v>
      </c>
      <c r="E89" t="s">
        <v>391</v>
      </c>
      <c r="F89" t="s">
        <v>156</v>
      </c>
      <c r="G89" s="17">
        <v>0</v>
      </c>
      <c r="H89" s="17" t="str">
        <f t="shared" si="3"/>
        <v>100</v>
      </c>
      <c r="I89" s="17">
        <v>1.2</v>
      </c>
      <c r="J89" s="17">
        <v>2.2000000000000002</v>
      </c>
      <c r="K89" s="17">
        <f t="shared" si="4"/>
        <v>768.10799999999995</v>
      </c>
      <c r="L89" s="17">
        <f t="shared" si="5"/>
        <v>772.10799999999995</v>
      </c>
      <c r="M89" s="17">
        <v>0</v>
      </c>
      <c r="N89" s="17">
        <v>50</v>
      </c>
      <c r="O89" s="17">
        <v>0</v>
      </c>
    </row>
    <row r="90" spans="1:15" x14ac:dyDescent="0.2">
      <c r="A90" t="s">
        <v>403</v>
      </c>
      <c r="B90">
        <v>770.10799999999995</v>
      </c>
      <c r="C90" t="s">
        <v>60</v>
      </c>
      <c r="D90" t="s">
        <v>61</v>
      </c>
      <c r="E90" t="s">
        <v>391</v>
      </c>
      <c r="F90" t="s">
        <v>156</v>
      </c>
      <c r="G90" s="17">
        <v>0</v>
      </c>
      <c r="H90" s="17" t="str">
        <f t="shared" si="3"/>
        <v>100</v>
      </c>
      <c r="I90" s="17">
        <v>1.2</v>
      </c>
      <c r="J90" s="17">
        <v>2.2000000000000002</v>
      </c>
      <c r="K90" s="17">
        <f t="shared" si="4"/>
        <v>768.10799999999995</v>
      </c>
      <c r="L90" s="17">
        <f t="shared" si="5"/>
        <v>772.10799999999995</v>
      </c>
      <c r="M90" s="17">
        <v>0</v>
      </c>
      <c r="N90" s="17">
        <v>50</v>
      </c>
      <c r="O90" s="17">
        <v>0</v>
      </c>
    </row>
    <row r="91" spans="1:15" x14ac:dyDescent="0.2">
      <c r="A91" t="s">
        <v>405</v>
      </c>
      <c r="B91">
        <v>770.10799999999995</v>
      </c>
      <c r="C91" t="s">
        <v>60</v>
      </c>
      <c r="D91" t="s">
        <v>61</v>
      </c>
      <c r="E91" t="s">
        <v>260</v>
      </c>
      <c r="F91" t="s">
        <v>111</v>
      </c>
      <c r="G91" s="17">
        <v>0</v>
      </c>
      <c r="H91" s="17" t="str">
        <f t="shared" si="3"/>
        <v>30</v>
      </c>
      <c r="I91" s="17">
        <v>1.2</v>
      </c>
      <c r="J91" s="17">
        <v>2.2000000000000002</v>
      </c>
      <c r="K91" s="17">
        <f t="shared" si="4"/>
        <v>768.10799999999995</v>
      </c>
      <c r="L91" s="17">
        <f t="shared" si="5"/>
        <v>772.10799999999995</v>
      </c>
      <c r="M91" s="17">
        <v>0</v>
      </c>
      <c r="N91" s="17">
        <v>50</v>
      </c>
      <c r="O91" s="17">
        <v>0</v>
      </c>
    </row>
    <row r="92" spans="1:15" x14ac:dyDescent="0.2">
      <c r="A92" t="s">
        <v>407</v>
      </c>
      <c r="B92">
        <v>770.10799999999995</v>
      </c>
      <c r="C92" t="s">
        <v>60</v>
      </c>
      <c r="D92" t="s">
        <v>61</v>
      </c>
      <c r="E92" t="s">
        <v>336</v>
      </c>
      <c r="F92" t="s">
        <v>111</v>
      </c>
      <c r="G92" s="17">
        <v>0</v>
      </c>
      <c r="H92" s="17" t="str">
        <f t="shared" si="3"/>
        <v>20</v>
      </c>
      <c r="I92" s="17">
        <v>1.2</v>
      </c>
      <c r="J92" s="17">
        <v>2.2000000000000002</v>
      </c>
      <c r="K92" s="17">
        <f t="shared" si="4"/>
        <v>768.10799999999995</v>
      </c>
      <c r="L92" s="17">
        <f t="shared" si="5"/>
        <v>772.10799999999995</v>
      </c>
      <c r="M92" s="17">
        <v>0</v>
      </c>
      <c r="N92" s="17">
        <v>50</v>
      </c>
      <c r="O92" s="17">
        <v>0</v>
      </c>
    </row>
    <row r="93" spans="1:15" x14ac:dyDescent="0.2">
      <c r="A93" t="s">
        <v>409</v>
      </c>
      <c r="B93">
        <v>770.10799999999995</v>
      </c>
      <c r="C93" t="s">
        <v>60</v>
      </c>
      <c r="D93" t="s">
        <v>61</v>
      </c>
      <c r="E93" t="s">
        <v>391</v>
      </c>
      <c r="F93" t="s">
        <v>111</v>
      </c>
      <c r="G93" s="17">
        <v>0</v>
      </c>
      <c r="H93" s="17" t="str">
        <f t="shared" si="3"/>
        <v>100</v>
      </c>
      <c r="I93" s="17">
        <v>1.2</v>
      </c>
      <c r="J93" s="17">
        <v>2.2000000000000002</v>
      </c>
      <c r="K93" s="17">
        <f t="shared" si="4"/>
        <v>768.10799999999995</v>
      </c>
      <c r="L93" s="17">
        <f t="shared" si="5"/>
        <v>772.10799999999995</v>
      </c>
      <c r="M93" s="17">
        <v>0</v>
      </c>
      <c r="N93" s="17">
        <v>50</v>
      </c>
      <c r="O93" s="17">
        <v>0</v>
      </c>
    </row>
    <row r="94" spans="1:15" x14ac:dyDescent="0.2">
      <c r="A94" t="s">
        <v>411</v>
      </c>
      <c r="B94">
        <v>770.10799999999995</v>
      </c>
      <c r="C94" t="s">
        <v>60</v>
      </c>
      <c r="D94" t="s">
        <v>61</v>
      </c>
      <c r="E94" t="s">
        <v>391</v>
      </c>
      <c r="F94" t="s">
        <v>111</v>
      </c>
      <c r="G94" s="17">
        <v>0</v>
      </c>
      <c r="H94" s="17" t="str">
        <f t="shared" si="3"/>
        <v>100</v>
      </c>
      <c r="I94" s="17">
        <v>1.2</v>
      </c>
      <c r="J94" s="17">
        <v>2.2000000000000002</v>
      </c>
      <c r="K94" s="17">
        <f t="shared" si="4"/>
        <v>768.10799999999995</v>
      </c>
      <c r="L94" s="17">
        <f t="shared" si="5"/>
        <v>772.10799999999995</v>
      </c>
      <c r="M94" s="17">
        <v>0</v>
      </c>
      <c r="N94" s="17">
        <v>50</v>
      </c>
      <c r="O94" s="17">
        <v>0</v>
      </c>
    </row>
    <row r="95" spans="1:15" x14ac:dyDescent="0.2">
      <c r="A95" t="s">
        <v>413</v>
      </c>
      <c r="B95">
        <v>770.10799999999995</v>
      </c>
      <c r="C95" t="s">
        <v>60</v>
      </c>
      <c r="D95" t="s">
        <v>61</v>
      </c>
      <c r="E95" t="s">
        <v>391</v>
      </c>
      <c r="F95" t="s">
        <v>111</v>
      </c>
      <c r="G95" s="17">
        <v>0</v>
      </c>
      <c r="H95" s="17" t="str">
        <f t="shared" si="3"/>
        <v>100</v>
      </c>
      <c r="I95" s="17">
        <v>1.2</v>
      </c>
      <c r="J95" s="17">
        <v>2.2000000000000002</v>
      </c>
      <c r="K95" s="17">
        <f t="shared" si="4"/>
        <v>768.10799999999995</v>
      </c>
      <c r="L95" s="17">
        <f t="shared" si="5"/>
        <v>772.10799999999995</v>
      </c>
      <c r="M95" s="17">
        <v>0</v>
      </c>
      <c r="N95" s="17">
        <v>50</v>
      </c>
      <c r="O95" s="17">
        <v>0</v>
      </c>
    </row>
    <row r="96" spans="1:15" x14ac:dyDescent="0.2">
      <c r="A96" t="s">
        <v>415</v>
      </c>
      <c r="B96">
        <v>770.10799999999995</v>
      </c>
      <c r="C96" t="s">
        <v>60</v>
      </c>
      <c r="D96" t="s">
        <v>61</v>
      </c>
      <c r="E96" t="s">
        <v>391</v>
      </c>
      <c r="F96" t="s">
        <v>111</v>
      </c>
      <c r="G96" s="17">
        <v>0</v>
      </c>
      <c r="H96" s="17" t="str">
        <f t="shared" si="3"/>
        <v>100</v>
      </c>
      <c r="I96" s="17">
        <v>1.2</v>
      </c>
      <c r="J96" s="17">
        <v>2.2000000000000002</v>
      </c>
      <c r="K96" s="17">
        <f t="shared" si="4"/>
        <v>768.10799999999995</v>
      </c>
      <c r="L96" s="17">
        <f t="shared" si="5"/>
        <v>772.10799999999995</v>
      </c>
      <c r="M96" s="17">
        <v>0</v>
      </c>
      <c r="N96" s="17">
        <v>50</v>
      </c>
      <c r="O96" s="17">
        <v>0</v>
      </c>
    </row>
    <row r="97" spans="1:15" x14ac:dyDescent="0.2">
      <c r="A97" t="s">
        <v>417</v>
      </c>
      <c r="B97">
        <v>770.10799999999995</v>
      </c>
      <c r="C97" t="s">
        <v>60</v>
      </c>
      <c r="D97" t="s">
        <v>61</v>
      </c>
      <c r="E97" t="s">
        <v>391</v>
      </c>
      <c r="F97" t="s">
        <v>306</v>
      </c>
      <c r="G97" s="17">
        <v>0</v>
      </c>
      <c r="H97" s="17" t="str">
        <f t="shared" si="3"/>
        <v>100</v>
      </c>
      <c r="I97" s="17">
        <v>1.2</v>
      </c>
      <c r="J97" s="17">
        <v>2.2000000000000002</v>
      </c>
      <c r="K97" s="17">
        <f t="shared" si="4"/>
        <v>768.10799999999995</v>
      </c>
      <c r="L97" s="17">
        <f t="shared" si="5"/>
        <v>772.10799999999995</v>
      </c>
      <c r="M97" s="17">
        <v>0</v>
      </c>
      <c r="N97" s="17">
        <v>50</v>
      </c>
      <c r="O97" s="17">
        <v>0</v>
      </c>
    </row>
    <row r="98" spans="1:15" x14ac:dyDescent="0.2">
      <c r="A98" t="s">
        <v>419</v>
      </c>
      <c r="B98">
        <v>770.10799999999995</v>
      </c>
      <c r="C98" t="s">
        <v>60</v>
      </c>
      <c r="D98" t="s">
        <v>61</v>
      </c>
      <c r="E98" t="s">
        <v>391</v>
      </c>
      <c r="F98" t="s">
        <v>306</v>
      </c>
      <c r="G98" s="17">
        <v>0</v>
      </c>
      <c r="H98" s="17" t="str">
        <f t="shared" si="3"/>
        <v>100</v>
      </c>
      <c r="I98" s="17">
        <v>1.2</v>
      </c>
      <c r="J98" s="17">
        <v>2.2000000000000002</v>
      </c>
      <c r="K98" s="17">
        <f t="shared" si="4"/>
        <v>768.10799999999995</v>
      </c>
      <c r="L98" s="17">
        <f t="shared" si="5"/>
        <v>772.10799999999995</v>
      </c>
      <c r="M98" s="17">
        <v>0</v>
      </c>
      <c r="N98" s="17">
        <v>50</v>
      </c>
      <c r="O98" s="17">
        <v>0</v>
      </c>
    </row>
    <row r="99" spans="1:15" x14ac:dyDescent="0.2">
      <c r="A99" t="s">
        <v>421</v>
      </c>
      <c r="B99">
        <v>770.10799999999995</v>
      </c>
      <c r="C99" t="s">
        <v>60</v>
      </c>
      <c r="D99" t="s">
        <v>61</v>
      </c>
      <c r="E99" t="s">
        <v>391</v>
      </c>
      <c r="F99" t="s">
        <v>306</v>
      </c>
      <c r="G99" s="17">
        <v>0</v>
      </c>
      <c r="H99" s="17" t="str">
        <f t="shared" si="3"/>
        <v>100</v>
      </c>
      <c r="I99" s="17">
        <v>1.2</v>
      </c>
      <c r="J99" s="17">
        <v>2.2000000000000002</v>
      </c>
      <c r="K99" s="17">
        <f t="shared" si="4"/>
        <v>768.10799999999995</v>
      </c>
      <c r="L99" s="17">
        <f t="shared" si="5"/>
        <v>772.10799999999995</v>
      </c>
      <c r="M99" s="17">
        <v>0</v>
      </c>
      <c r="N99" s="17">
        <v>50</v>
      </c>
      <c r="O99" s="17">
        <v>0</v>
      </c>
    </row>
    <row r="100" spans="1:15" x14ac:dyDescent="0.2">
      <c r="A100" t="s">
        <v>423</v>
      </c>
      <c r="B100">
        <v>770.10799999999995</v>
      </c>
      <c r="C100" t="s">
        <v>60</v>
      </c>
      <c r="D100" t="s">
        <v>61</v>
      </c>
      <c r="E100" t="s">
        <v>391</v>
      </c>
      <c r="F100" t="s">
        <v>306</v>
      </c>
      <c r="G100" s="17">
        <v>0</v>
      </c>
      <c r="H100" s="17" t="str">
        <f t="shared" si="3"/>
        <v>100</v>
      </c>
      <c r="I100" s="17">
        <v>1.2</v>
      </c>
      <c r="J100" s="17">
        <v>2.2000000000000002</v>
      </c>
      <c r="K100" s="17">
        <f t="shared" si="4"/>
        <v>768.10799999999995</v>
      </c>
      <c r="L100" s="17">
        <f t="shared" si="5"/>
        <v>772.10799999999995</v>
      </c>
      <c r="M100" s="17">
        <v>0</v>
      </c>
      <c r="N100" s="17">
        <v>50</v>
      </c>
      <c r="O100" s="17">
        <v>0</v>
      </c>
    </row>
    <row r="101" spans="1:15" x14ac:dyDescent="0.2">
      <c r="A101" t="s">
        <v>425</v>
      </c>
      <c r="B101">
        <v>770.10799999999995</v>
      </c>
      <c r="C101" t="s">
        <v>60</v>
      </c>
      <c r="D101" t="s">
        <v>61</v>
      </c>
      <c r="E101" t="s">
        <v>391</v>
      </c>
      <c r="G101" s="17">
        <v>0</v>
      </c>
      <c r="H101" s="17" t="str">
        <f t="shared" si="3"/>
        <v>100</v>
      </c>
      <c r="I101" s="17">
        <v>1.2</v>
      </c>
      <c r="J101" s="17">
        <v>2.2000000000000002</v>
      </c>
      <c r="K101" s="17">
        <f t="shared" si="4"/>
        <v>768.10799999999995</v>
      </c>
      <c r="L101" s="17">
        <f t="shared" si="5"/>
        <v>772.10799999999995</v>
      </c>
      <c r="M101" s="17">
        <v>0</v>
      </c>
      <c r="N101" s="17">
        <v>50</v>
      </c>
      <c r="O101" s="17">
        <v>0</v>
      </c>
    </row>
    <row r="102" spans="1:15" x14ac:dyDescent="0.2">
      <c r="A102" t="s">
        <v>427</v>
      </c>
      <c r="B102">
        <v>770.10799999999995</v>
      </c>
      <c r="C102" t="s">
        <v>60</v>
      </c>
      <c r="D102" t="s">
        <v>61</v>
      </c>
      <c r="E102" t="s">
        <v>391</v>
      </c>
      <c r="G102" s="17">
        <v>0</v>
      </c>
      <c r="H102" s="17" t="str">
        <f t="shared" si="3"/>
        <v>100</v>
      </c>
      <c r="I102" s="17">
        <v>1.2</v>
      </c>
      <c r="J102" s="17">
        <v>2.2000000000000002</v>
      </c>
      <c r="K102" s="17">
        <f t="shared" si="4"/>
        <v>768.10799999999995</v>
      </c>
      <c r="L102" s="17">
        <f t="shared" si="5"/>
        <v>772.10799999999995</v>
      </c>
      <c r="M102" s="17">
        <v>0</v>
      </c>
      <c r="N102" s="17">
        <v>50</v>
      </c>
      <c r="O102" s="17">
        <v>0</v>
      </c>
    </row>
    <row r="103" spans="1:15" x14ac:dyDescent="0.2">
      <c r="A103" t="s">
        <v>429</v>
      </c>
      <c r="B103" t="s">
        <v>430</v>
      </c>
      <c r="C103" t="s">
        <v>60</v>
      </c>
      <c r="D103" t="s">
        <v>61</v>
      </c>
      <c r="E103" t="s">
        <v>253</v>
      </c>
      <c r="F103" t="s">
        <v>159</v>
      </c>
      <c r="G103" s="17">
        <v>0</v>
      </c>
      <c r="H103" s="17" t="str">
        <f t="shared" si="3"/>
        <v>350</v>
      </c>
      <c r="I103" s="17">
        <v>1.2</v>
      </c>
      <c r="J103" s="17">
        <v>2.2000000000000002</v>
      </c>
      <c r="K103" s="17">
        <f t="shared" si="4"/>
        <v>1081.33</v>
      </c>
      <c r="L103" s="17">
        <f t="shared" si="5"/>
        <v>1085.33</v>
      </c>
      <c r="M103" s="17">
        <v>0</v>
      </c>
      <c r="N103" s="17">
        <v>50</v>
      </c>
      <c r="O103" s="17">
        <v>0</v>
      </c>
    </row>
    <row r="104" spans="1:15" x14ac:dyDescent="0.2">
      <c r="A104" t="s">
        <v>435</v>
      </c>
      <c r="B104">
        <v>776.06100000000004</v>
      </c>
      <c r="C104" t="s">
        <v>60</v>
      </c>
      <c r="D104" t="s">
        <v>61</v>
      </c>
      <c r="E104" t="s">
        <v>62</v>
      </c>
      <c r="G104" s="17">
        <v>0</v>
      </c>
      <c r="H104" s="17" t="str">
        <f t="shared" si="3"/>
        <v>40</v>
      </c>
      <c r="I104" s="17">
        <v>1.2</v>
      </c>
      <c r="J104" s="17">
        <v>2.2000000000000002</v>
      </c>
      <c r="K104" s="17">
        <f t="shared" si="4"/>
        <v>774.06100000000004</v>
      </c>
      <c r="L104" s="17">
        <f t="shared" si="5"/>
        <v>778.06100000000004</v>
      </c>
      <c r="M104" s="17">
        <v>0</v>
      </c>
      <c r="N104" s="17">
        <v>50</v>
      </c>
      <c r="O104" s="17">
        <v>0</v>
      </c>
    </row>
    <row r="105" spans="1:15" x14ac:dyDescent="0.2">
      <c r="A105" t="s">
        <v>440</v>
      </c>
      <c r="B105">
        <v>776.06100000000004</v>
      </c>
      <c r="C105" t="s">
        <v>60</v>
      </c>
      <c r="D105" t="s">
        <v>61</v>
      </c>
      <c r="E105" t="s">
        <v>336</v>
      </c>
      <c r="G105" s="17">
        <v>0</v>
      </c>
      <c r="H105" s="17" t="str">
        <f t="shared" si="3"/>
        <v>20</v>
      </c>
      <c r="I105" s="17">
        <v>1.2</v>
      </c>
      <c r="J105" s="17">
        <v>2.2000000000000002</v>
      </c>
      <c r="K105" s="17">
        <f t="shared" si="4"/>
        <v>774.06100000000004</v>
      </c>
      <c r="L105" s="17">
        <f t="shared" si="5"/>
        <v>778.06100000000004</v>
      </c>
      <c r="M105" s="17">
        <v>0</v>
      </c>
      <c r="N105" s="17">
        <v>50</v>
      </c>
      <c r="O105" s="17">
        <v>0</v>
      </c>
    </row>
    <row r="106" spans="1:15" x14ac:dyDescent="0.2">
      <c r="A106" t="s">
        <v>444</v>
      </c>
      <c r="B106">
        <v>776.06100000000004</v>
      </c>
      <c r="C106" t="s">
        <v>60</v>
      </c>
      <c r="D106" t="s">
        <v>61</v>
      </c>
      <c r="E106" t="s">
        <v>445</v>
      </c>
      <c r="G106" s="17">
        <v>0</v>
      </c>
      <c r="H106" s="17" t="str">
        <f t="shared" si="3"/>
        <v>120</v>
      </c>
      <c r="I106" s="17">
        <v>1.2</v>
      </c>
      <c r="J106" s="17">
        <v>2.2000000000000002</v>
      </c>
      <c r="K106" s="17">
        <f t="shared" si="4"/>
        <v>774.06100000000004</v>
      </c>
      <c r="L106" s="17">
        <f t="shared" si="5"/>
        <v>778.06100000000004</v>
      </c>
      <c r="M106" s="17">
        <v>0</v>
      </c>
      <c r="N106" s="17">
        <v>50</v>
      </c>
      <c r="O106" s="17">
        <v>0</v>
      </c>
    </row>
    <row r="107" spans="1:15" x14ac:dyDescent="0.2">
      <c r="A107" t="s">
        <v>450</v>
      </c>
      <c r="B107">
        <v>776.06100000000004</v>
      </c>
      <c r="C107" t="s">
        <v>60</v>
      </c>
      <c r="D107" t="s">
        <v>61</v>
      </c>
      <c r="E107" t="s">
        <v>445</v>
      </c>
      <c r="G107" s="17">
        <v>0</v>
      </c>
      <c r="H107" s="17" t="str">
        <f t="shared" si="3"/>
        <v>120</v>
      </c>
      <c r="I107" s="17">
        <v>1.2</v>
      </c>
      <c r="J107" s="17">
        <v>2.2000000000000002</v>
      </c>
      <c r="K107" s="17">
        <f t="shared" si="4"/>
        <v>774.06100000000004</v>
      </c>
      <c r="L107" s="17">
        <f t="shared" si="5"/>
        <v>778.06100000000004</v>
      </c>
      <c r="M107" s="17">
        <v>0</v>
      </c>
      <c r="N107" s="17">
        <v>50</v>
      </c>
      <c r="O107" s="17">
        <v>0</v>
      </c>
    </row>
    <row r="108" spans="1:15" x14ac:dyDescent="0.2">
      <c r="A108" t="s">
        <v>453</v>
      </c>
      <c r="B108">
        <v>776.06100000000004</v>
      </c>
      <c r="C108" t="s">
        <v>60</v>
      </c>
      <c r="D108" t="s">
        <v>61</v>
      </c>
      <c r="E108" t="s">
        <v>445</v>
      </c>
      <c r="F108" t="s">
        <v>156</v>
      </c>
      <c r="G108" s="17">
        <v>0</v>
      </c>
      <c r="H108" s="17" t="str">
        <f t="shared" si="3"/>
        <v>120</v>
      </c>
      <c r="I108" s="17">
        <v>1.2</v>
      </c>
      <c r="J108" s="17">
        <v>2.2000000000000002</v>
      </c>
      <c r="K108" s="17">
        <f t="shared" si="4"/>
        <v>774.06100000000004</v>
      </c>
      <c r="L108" s="17">
        <f t="shared" si="5"/>
        <v>778.06100000000004</v>
      </c>
      <c r="M108" s="17">
        <v>0</v>
      </c>
      <c r="N108" s="17">
        <v>50</v>
      </c>
      <c r="O108" s="17">
        <v>0</v>
      </c>
    </row>
    <row r="109" spans="1:15" x14ac:dyDescent="0.2">
      <c r="A109" t="s">
        <v>456</v>
      </c>
      <c r="B109">
        <v>776.06100000000004</v>
      </c>
      <c r="C109" t="s">
        <v>60</v>
      </c>
      <c r="D109" t="s">
        <v>61</v>
      </c>
      <c r="E109" t="s">
        <v>445</v>
      </c>
      <c r="F109" t="s">
        <v>156</v>
      </c>
      <c r="G109" s="17">
        <v>0</v>
      </c>
      <c r="H109" s="17" t="str">
        <f t="shared" si="3"/>
        <v>120</v>
      </c>
      <c r="I109" s="17">
        <v>1.2</v>
      </c>
      <c r="J109" s="17">
        <v>2.2000000000000002</v>
      </c>
      <c r="K109" s="17">
        <f t="shared" si="4"/>
        <v>774.06100000000004</v>
      </c>
      <c r="L109" s="17">
        <f t="shared" si="5"/>
        <v>778.06100000000004</v>
      </c>
      <c r="M109" s="17">
        <v>0</v>
      </c>
      <c r="N109" s="17">
        <v>50</v>
      </c>
      <c r="O109" s="17">
        <v>0</v>
      </c>
    </row>
    <row r="110" spans="1:15" x14ac:dyDescent="0.2">
      <c r="A110" t="s">
        <v>459</v>
      </c>
      <c r="B110">
        <v>776.06100000000004</v>
      </c>
      <c r="C110" t="s">
        <v>60</v>
      </c>
      <c r="D110" t="s">
        <v>61</v>
      </c>
      <c r="E110" t="s">
        <v>445</v>
      </c>
      <c r="F110" t="s">
        <v>156</v>
      </c>
      <c r="G110" s="17">
        <v>0</v>
      </c>
      <c r="H110" s="17" t="str">
        <f t="shared" si="3"/>
        <v>120</v>
      </c>
      <c r="I110" s="17">
        <v>1.2</v>
      </c>
      <c r="J110" s="17">
        <v>2.2000000000000002</v>
      </c>
      <c r="K110" s="17">
        <f t="shared" si="4"/>
        <v>774.06100000000004</v>
      </c>
      <c r="L110" s="17">
        <f t="shared" si="5"/>
        <v>778.06100000000004</v>
      </c>
      <c r="M110" s="17">
        <v>0</v>
      </c>
      <c r="N110" s="17">
        <v>50</v>
      </c>
      <c r="O110" s="17">
        <v>0</v>
      </c>
    </row>
    <row r="111" spans="1:15" x14ac:dyDescent="0.2">
      <c r="A111" t="s">
        <v>462</v>
      </c>
      <c r="B111">
        <v>776.06100000000004</v>
      </c>
      <c r="C111" t="s">
        <v>60</v>
      </c>
      <c r="D111" t="s">
        <v>61</v>
      </c>
      <c r="E111" t="s">
        <v>445</v>
      </c>
      <c r="F111" t="s">
        <v>156</v>
      </c>
      <c r="G111" s="17">
        <v>0</v>
      </c>
      <c r="H111" s="17" t="str">
        <f t="shared" si="3"/>
        <v>120</v>
      </c>
      <c r="I111" s="17">
        <v>1.2</v>
      </c>
      <c r="J111" s="17">
        <v>2.2000000000000002</v>
      </c>
      <c r="K111" s="17">
        <f t="shared" si="4"/>
        <v>774.06100000000004</v>
      </c>
      <c r="L111" s="17">
        <f t="shared" si="5"/>
        <v>778.06100000000004</v>
      </c>
      <c r="M111" s="17">
        <v>0</v>
      </c>
      <c r="N111" s="17">
        <v>50</v>
      </c>
      <c r="O111" s="17">
        <v>0</v>
      </c>
    </row>
    <row r="112" spans="1:15" x14ac:dyDescent="0.2">
      <c r="A112" t="s">
        <v>465</v>
      </c>
      <c r="B112">
        <v>776.06100000000004</v>
      </c>
      <c r="C112" t="s">
        <v>60</v>
      </c>
      <c r="D112" t="s">
        <v>61</v>
      </c>
      <c r="E112" t="s">
        <v>62</v>
      </c>
      <c r="F112" t="s">
        <v>111</v>
      </c>
      <c r="G112" s="17">
        <v>0</v>
      </c>
      <c r="H112" s="17" t="str">
        <f t="shared" si="3"/>
        <v>40</v>
      </c>
      <c r="I112" s="17">
        <v>1.2</v>
      </c>
      <c r="J112" s="17">
        <v>2.2000000000000002</v>
      </c>
      <c r="K112" s="17">
        <f t="shared" si="4"/>
        <v>774.06100000000004</v>
      </c>
      <c r="L112" s="17">
        <f t="shared" si="5"/>
        <v>778.06100000000004</v>
      </c>
      <c r="M112" s="17">
        <v>0</v>
      </c>
      <c r="N112" s="17">
        <v>50</v>
      </c>
      <c r="O112" s="17">
        <v>0</v>
      </c>
    </row>
    <row r="113" spans="1:15" x14ac:dyDescent="0.2">
      <c r="A113" t="s">
        <v>468</v>
      </c>
      <c r="B113">
        <v>776.06100000000004</v>
      </c>
      <c r="C113" t="s">
        <v>60</v>
      </c>
      <c r="D113" t="s">
        <v>61</v>
      </c>
      <c r="E113" t="s">
        <v>336</v>
      </c>
      <c r="F113" t="s">
        <v>111</v>
      </c>
      <c r="G113" s="17">
        <v>0</v>
      </c>
      <c r="H113" s="17" t="str">
        <f t="shared" si="3"/>
        <v>20</v>
      </c>
      <c r="I113" s="17">
        <v>1.2</v>
      </c>
      <c r="J113" s="17">
        <v>2.2000000000000002</v>
      </c>
      <c r="K113" s="17">
        <f t="shared" si="4"/>
        <v>774.06100000000004</v>
      </c>
      <c r="L113" s="17">
        <f t="shared" si="5"/>
        <v>778.06100000000004</v>
      </c>
      <c r="M113" s="17">
        <v>0</v>
      </c>
      <c r="N113" s="17">
        <v>50</v>
      </c>
      <c r="O113" s="17">
        <v>0</v>
      </c>
    </row>
    <row r="114" spans="1:15" x14ac:dyDescent="0.2">
      <c r="A114" t="s">
        <v>471</v>
      </c>
      <c r="B114">
        <v>776.06100000000004</v>
      </c>
      <c r="C114" t="s">
        <v>60</v>
      </c>
      <c r="D114" t="s">
        <v>61</v>
      </c>
      <c r="E114" t="s">
        <v>445</v>
      </c>
      <c r="F114" t="s">
        <v>111</v>
      </c>
      <c r="G114" s="17">
        <v>0</v>
      </c>
      <c r="H114" s="17" t="str">
        <f t="shared" si="3"/>
        <v>120</v>
      </c>
      <c r="I114" s="17">
        <v>1.2</v>
      </c>
      <c r="J114" s="17">
        <v>2.2000000000000002</v>
      </c>
      <c r="K114" s="17">
        <f t="shared" si="4"/>
        <v>774.06100000000004</v>
      </c>
      <c r="L114" s="17">
        <f t="shared" si="5"/>
        <v>778.06100000000004</v>
      </c>
      <c r="M114" s="17">
        <v>0</v>
      </c>
      <c r="N114" s="17">
        <v>50</v>
      </c>
      <c r="O114" s="17">
        <v>0</v>
      </c>
    </row>
    <row r="115" spans="1:15" x14ac:dyDescent="0.2">
      <c r="A115" t="s">
        <v>474</v>
      </c>
      <c r="B115">
        <v>776.06100000000004</v>
      </c>
      <c r="C115" t="s">
        <v>60</v>
      </c>
      <c r="D115" t="s">
        <v>61</v>
      </c>
      <c r="E115" t="s">
        <v>445</v>
      </c>
      <c r="F115" t="s">
        <v>111</v>
      </c>
      <c r="G115" s="17">
        <v>0</v>
      </c>
      <c r="H115" s="17" t="str">
        <f t="shared" si="3"/>
        <v>120</v>
      </c>
      <c r="I115" s="17">
        <v>1.2</v>
      </c>
      <c r="J115" s="17">
        <v>2.2000000000000002</v>
      </c>
      <c r="K115" s="17">
        <f t="shared" si="4"/>
        <v>774.06100000000004</v>
      </c>
      <c r="L115" s="17">
        <f t="shared" si="5"/>
        <v>778.06100000000004</v>
      </c>
      <c r="M115" s="17">
        <v>0</v>
      </c>
      <c r="N115" s="17">
        <v>50</v>
      </c>
      <c r="O115" s="17">
        <v>0</v>
      </c>
    </row>
    <row r="116" spans="1:15" x14ac:dyDescent="0.2">
      <c r="A116" t="s">
        <v>477</v>
      </c>
      <c r="B116">
        <v>776.06100000000004</v>
      </c>
      <c r="C116" t="s">
        <v>60</v>
      </c>
      <c r="D116" t="s">
        <v>61</v>
      </c>
      <c r="E116" t="s">
        <v>445</v>
      </c>
      <c r="F116" t="s">
        <v>111</v>
      </c>
      <c r="G116" s="17">
        <v>0</v>
      </c>
      <c r="H116" s="17" t="str">
        <f t="shared" si="3"/>
        <v>120</v>
      </c>
      <c r="I116" s="17">
        <v>1.2</v>
      </c>
      <c r="J116" s="17">
        <v>2.2000000000000002</v>
      </c>
      <c r="K116" s="17">
        <f t="shared" si="4"/>
        <v>774.06100000000004</v>
      </c>
      <c r="L116" s="17">
        <f t="shared" si="5"/>
        <v>778.06100000000004</v>
      </c>
      <c r="M116" s="17">
        <v>0</v>
      </c>
      <c r="N116" s="17">
        <v>50</v>
      </c>
      <c r="O116" s="17">
        <v>0</v>
      </c>
    </row>
    <row r="117" spans="1:15" x14ac:dyDescent="0.2">
      <c r="A117" t="s">
        <v>480</v>
      </c>
      <c r="B117">
        <v>776.06100000000004</v>
      </c>
      <c r="C117" t="s">
        <v>60</v>
      </c>
      <c r="D117" t="s">
        <v>61</v>
      </c>
      <c r="E117" t="s">
        <v>445</v>
      </c>
      <c r="F117" t="s">
        <v>111</v>
      </c>
      <c r="G117" s="17">
        <v>0</v>
      </c>
      <c r="H117" s="17" t="str">
        <f t="shared" si="3"/>
        <v>120</v>
      </c>
      <c r="I117" s="17">
        <v>1.2</v>
      </c>
      <c r="J117" s="17">
        <v>2.2000000000000002</v>
      </c>
      <c r="K117" s="17">
        <f t="shared" si="4"/>
        <v>774.06100000000004</v>
      </c>
      <c r="L117" s="17">
        <f t="shared" si="5"/>
        <v>778.06100000000004</v>
      </c>
      <c r="M117" s="17">
        <v>0</v>
      </c>
      <c r="N117" s="17">
        <v>50</v>
      </c>
      <c r="O117" s="17">
        <v>0</v>
      </c>
    </row>
    <row r="118" spans="1:15" x14ac:dyDescent="0.2">
      <c r="A118" t="s">
        <v>483</v>
      </c>
      <c r="B118">
        <v>776.06100000000004</v>
      </c>
      <c r="C118" t="s">
        <v>60</v>
      </c>
      <c r="D118" t="s">
        <v>61</v>
      </c>
      <c r="E118" t="s">
        <v>445</v>
      </c>
      <c r="F118" t="s">
        <v>306</v>
      </c>
      <c r="G118" s="17">
        <v>0</v>
      </c>
      <c r="H118" s="17" t="str">
        <f t="shared" si="3"/>
        <v>120</v>
      </c>
      <c r="I118" s="17">
        <v>1.2</v>
      </c>
      <c r="J118" s="17">
        <v>2.2000000000000002</v>
      </c>
      <c r="K118" s="17">
        <f t="shared" si="4"/>
        <v>774.06100000000004</v>
      </c>
      <c r="L118" s="17">
        <f t="shared" si="5"/>
        <v>778.06100000000004</v>
      </c>
      <c r="M118" s="17">
        <v>0</v>
      </c>
      <c r="N118" s="17">
        <v>50</v>
      </c>
      <c r="O118" s="17">
        <v>0</v>
      </c>
    </row>
    <row r="119" spans="1:15" x14ac:dyDescent="0.2">
      <c r="A119" t="s">
        <v>486</v>
      </c>
      <c r="B119">
        <v>776.06100000000004</v>
      </c>
      <c r="C119" t="s">
        <v>60</v>
      </c>
      <c r="D119" t="s">
        <v>61</v>
      </c>
      <c r="E119" t="s">
        <v>445</v>
      </c>
      <c r="F119" t="s">
        <v>306</v>
      </c>
      <c r="G119" s="17">
        <v>0</v>
      </c>
      <c r="H119" s="17" t="str">
        <f t="shared" si="3"/>
        <v>120</v>
      </c>
      <c r="I119" s="17">
        <v>1.2</v>
      </c>
      <c r="J119" s="17">
        <v>2.2000000000000002</v>
      </c>
      <c r="K119" s="17">
        <f t="shared" si="4"/>
        <v>774.06100000000004</v>
      </c>
      <c r="L119" s="17">
        <f t="shared" si="5"/>
        <v>778.06100000000004</v>
      </c>
      <c r="M119" s="17">
        <v>0</v>
      </c>
      <c r="N119" s="17">
        <v>50</v>
      </c>
      <c r="O119" s="17">
        <v>0</v>
      </c>
    </row>
    <row r="120" spans="1:15" x14ac:dyDescent="0.2">
      <c r="A120" t="s">
        <v>489</v>
      </c>
      <c r="B120">
        <v>776.06100000000004</v>
      </c>
      <c r="C120" t="s">
        <v>60</v>
      </c>
      <c r="D120" t="s">
        <v>61</v>
      </c>
      <c r="E120" t="s">
        <v>445</v>
      </c>
      <c r="F120" t="s">
        <v>306</v>
      </c>
      <c r="G120" s="17">
        <v>0</v>
      </c>
      <c r="H120" s="17" t="str">
        <f t="shared" si="3"/>
        <v>120</v>
      </c>
      <c r="I120" s="17">
        <v>1.2</v>
      </c>
      <c r="J120" s="17">
        <v>2.2000000000000002</v>
      </c>
      <c r="K120" s="17">
        <f t="shared" si="4"/>
        <v>774.06100000000004</v>
      </c>
      <c r="L120" s="17">
        <f t="shared" si="5"/>
        <v>778.06100000000004</v>
      </c>
      <c r="M120" s="17">
        <v>0</v>
      </c>
      <c r="N120" s="17">
        <v>50</v>
      </c>
      <c r="O120" s="17">
        <v>0</v>
      </c>
    </row>
    <row r="121" spans="1:15" x14ac:dyDescent="0.2">
      <c r="A121" t="s">
        <v>492</v>
      </c>
      <c r="B121">
        <v>776.06100000000004</v>
      </c>
      <c r="C121" t="s">
        <v>60</v>
      </c>
      <c r="D121" t="s">
        <v>61</v>
      </c>
      <c r="E121" t="s">
        <v>445</v>
      </c>
      <c r="F121" t="s">
        <v>306</v>
      </c>
      <c r="G121" s="17">
        <v>0</v>
      </c>
      <c r="H121" s="17" t="str">
        <f t="shared" si="3"/>
        <v>120</v>
      </c>
      <c r="I121" s="17">
        <v>1.2</v>
      </c>
      <c r="J121" s="17">
        <v>2.2000000000000002</v>
      </c>
      <c r="K121" s="17">
        <f t="shared" si="4"/>
        <v>774.06100000000004</v>
      </c>
      <c r="L121" s="17">
        <f t="shared" si="5"/>
        <v>778.06100000000004</v>
      </c>
      <c r="M121" s="17">
        <v>0</v>
      </c>
      <c r="N121" s="17">
        <v>50</v>
      </c>
      <c r="O121" s="17">
        <v>0</v>
      </c>
    </row>
    <row r="122" spans="1:15" x14ac:dyDescent="0.2">
      <c r="A122" t="s">
        <v>495</v>
      </c>
      <c r="B122">
        <v>776.06100000000004</v>
      </c>
      <c r="C122" t="s">
        <v>60</v>
      </c>
      <c r="D122" t="s">
        <v>61</v>
      </c>
      <c r="E122" t="s">
        <v>445</v>
      </c>
      <c r="G122" s="17">
        <v>0</v>
      </c>
      <c r="H122" s="17" t="str">
        <f t="shared" si="3"/>
        <v>120</v>
      </c>
      <c r="I122" s="17">
        <v>1.2</v>
      </c>
      <c r="J122" s="17">
        <v>2.2000000000000002</v>
      </c>
      <c r="K122" s="17">
        <f t="shared" si="4"/>
        <v>774.06100000000004</v>
      </c>
      <c r="L122" s="17">
        <f t="shared" si="5"/>
        <v>778.06100000000004</v>
      </c>
      <c r="M122" s="17">
        <v>0</v>
      </c>
      <c r="N122" s="17">
        <v>50</v>
      </c>
      <c r="O122" s="17">
        <v>0</v>
      </c>
    </row>
    <row r="123" spans="1:15" x14ac:dyDescent="0.2">
      <c r="A123" t="s">
        <v>498</v>
      </c>
      <c r="B123">
        <v>776.06100000000004</v>
      </c>
      <c r="C123" t="s">
        <v>60</v>
      </c>
      <c r="D123" t="s">
        <v>61</v>
      </c>
      <c r="E123" t="s">
        <v>445</v>
      </c>
      <c r="G123" s="17">
        <v>0</v>
      </c>
      <c r="H123" s="17" t="str">
        <f t="shared" si="3"/>
        <v>120</v>
      </c>
      <c r="I123" s="17">
        <v>1.2</v>
      </c>
      <c r="J123" s="17">
        <v>2.2000000000000002</v>
      </c>
      <c r="K123" s="17">
        <f t="shared" si="4"/>
        <v>774.06100000000004</v>
      </c>
      <c r="L123" s="17">
        <f t="shared" si="5"/>
        <v>778.06100000000004</v>
      </c>
      <c r="M123" s="17">
        <v>0</v>
      </c>
      <c r="N123" s="17">
        <v>50</v>
      </c>
      <c r="O123" s="17">
        <v>0</v>
      </c>
    </row>
    <row r="124" spans="1:15" x14ac:dyDescent="0.2">
      <c r="A124" t="s">
        <v>501</v>
      </c>
      <c r="B124" t="s">
        <v>430</v>
      </c>
      <c r="C124" t="s">
        <v>60</v>
      </c>
      <c r="D124" t="s">
        <v>156</v>
      </c>
      <c r="E124" t="s">
        <v>445</v>
      </c>
      <c r="F124" t="s">
        <v>159</v>
      </c>
      <c r="G124" s="17">
        <v>0</v>
      </c>
      <c r="H124" s="17" t="str">
        <f t="shared" si="3"/>
        <v>120</v>
      </c>
      <c r="I124" s="17">
        <v>1.2</v>
      </c>
      <c r="J124" s="17">
        <v>2.2000000000000002</v>
      </c>
      <c r="K124" s="17">
        <f t="shared" si="4"/>
        <v>1081.33</v>
      </c>
      <c r="L124" s="17">
        <f t="shared" si="5"/>
        <v>1085.33</v>
      </c>
      <c r="M124" s="17">
        <v>0</v>
      </c>
      <c r="N124" s="17">
        <v>50</v>
      </c>
      <c r="O124" s="17">
        <v>0</v>
      </c>
    </row>
    <row r="125" spans="1:15" x14ac:dyDescent="0.2">
      <c r="A125" t="s">
        <v>505</v>
      </c>
      <c r="B125">
        <v>778.10500000000002</v>
      </c>
      <c r="C125" t="s">
        <v>60</v>
      </c>
      <c r="D125" t="s">
        <v>61</v>
      </c>
      <c r="E125" t="s">
        <v>89</v>
      </c>
      <c r="G125" s="17">
        <v>0</v>
      </c>
      <c r="H125" s="17" t="str">
        <f t="shared" si="3"/>
        <v>80</v>
      </c>
      <c r="I125" s="17">
        <v>1.2</v>
      </c>
      <c r="J125" s="17">
        <v>2.2000000000000002</v>
      </c>
      <c r="K125" s="17">
        <f t="shared" si="4"/>
        <v>776.10500000000002</v>
      </c>
      <c r="L125" s="17">
        <f t="shared" si="5"/>
        <v>780.10500000000002</v>
      </c>
      <c r="M125" s="17">
        <v>0</v>
      </c>
      <c r="N125" s="17">
        <v>50</v>
      </c>
      <c r="O125" s="17">
        <v>0</v>
      </c>
    </row>
    <row r="126" spans="1:15" x14ac:dyDescent="0.2">
      <c r="A126" t="s">
        <v>509</v>
      </c>
      <c r="B126">
        <v>778.10500000000002</v>
      </c>
      <c r="C126" t="s">
        <v>60</v>
      </c>
      <c r="D126" t="s">
        <v>61</v>
      </c>
      <c r="E126" t="s">
        <v>62</v>
      </c>
      <c r="G126" s="17">
        <v>0</v>
      </c>
      <c r="H126" s="17" t="str">
        <f t="shared" si="3"/>
        <v>40</v>
      </c>
      <c r="I126" s="17">
        <v>1.2</v>
      </c>
      <c r="J126" s="17">
        <v>2.2000000000000002</v>
      </c>
      <c r="K126" s="17">
        <f t="shared" si="4"/>
        <v>776.10500000000002</v>
      </c>
      <c r="L126" s="17">
        <f t="shared" si="5"/>
        <v>780.10500000000002</v>
      </c>
      <c r="M126" s="17">
        <v>0</v>
      </c>
      <c r="N126" s="17">
        <v>50</v>
      </c>
      <c r="O126" s="17">
        <v>0</v>
      </c>
    </row>
    <row r="127" spans="1:15" x14ac:dyDescent="0.2">
      <c r="A127" t="s">
        <v>511</v>
      </c>
      <c r="B127">
        <v>778.10500000000002</v>
      </c>
      <c r="C127" t="s">
        <v>60</v>
      </c>
      <c r="D127" t="s">
        <v>61</v>
      </c>
      <c r="E127" t="s">
        <v>512</v>
      </c>
      <c r="G127" s="17">
        <v>0</v>
      </c>
      <c r="H127" s="17" t="str">
        <f t="shared" si="3"/>
        <v>180</v>
      </c>
      <c r="I127" s="17">
        <v>1.2</v>
      </c>
      <c r="J127" s="17">
        <v>2.2000000000000002</v>
      </c>
      <c r="K127" s="17">
        <f t="shared" si="4"/>
        <v>776.10500000000002</v>
      </c>
      <c r="L127" s="17">
        <f t="shared" si="5"/>
        <v>780.10500000000002</v>
      </c>
      <c r="M127" s="17">
        <v>0</v>
      </c>
      <c r="N127" s="17">
        <v>50</v>
      </c>
      <c r="O127" s="17">
        <v>0</v>
      </c>
    </row>
    <row r="128" spans="1:15" x14ac:dyDescent="0.2">
      <c r="A128" t="s">
        <v>516</v>
      </c>
      <c r="B128">
        <v>778.10500000000002</v>
      </c>
      <c r="C128" t="s">
        <v>60</v>
      </c>
      <c r="D128" t="s">
        <v>61</v>
      </c>
      <c r="E128" t="s">
        <v>512</v>
      </c>
      <c r="G128" s="17">
        <v>0</v>
      </c>
      <c r="H128" s="17" t="str">
        <f t="shared" si="3"/>
        <v>180</v>
      </c>
      <c r="I128" s="17">
        <v>1.2</v>
      </c>
      <c r="J128" s="17">
        <v>2.2000000000000002</v>
      </c>
      <c r="K128" s="17">
        <f t="shared" si="4"/>
        <v>776.10500000000002</v>
      </c>
      <c r="L128" s="17">
        <f t="shared" si="5"/>
        <v>780.10500000000002</v>
      </c>
      <c r="M128" s="17">
        <v>0</v>
      </c>
      <c r="N128" s="17">
        <v>50</v>
      </c>
      <c r="O128" s="17">
        <v>0</v>
      </c>
    </row>
    <row r="129" spans="1:15" x14ac:dyDescent="0.2">
      <c r="A129" t="s">
        <v>518</v>
      </c>
      <c r="B129">
        <v>778.10500000000002</v>
      </c>
      <c r="C129" t="s">
        <v>60</v>
      </c>
      <c r="D129" t="s">
        <v>61</v>
      </c>
      <c r="E129" t="s">
        <v>512</v>
      </c>
      <c r="F129" t="s">
        <v>156</v>
      </c>
      <c r="G129" s="17">
        <v>0</v>
      </c>
      <c r="H129" s="17" t="str">
        <f t="shared" si="3"/>
        <v>180</v>
      </c>
      <c r="I129" s="17">
        <v>1.2</v>
      </c>
      <c r="J129" s="17">
        <v>2.2000000000000002</v>
      </c>
      <c r="K129" s="17">
        <f t="shared" si="4"/>
        <v>776.10500000000002</v>
      </c>
      <c r="L129" s="17">
        <f t="shared" si="5"/>
        <v>780.10500000000002</v>
      </c>
      <c r="M129" s="17">
        <v>0</v>
      </c>
      <c r="N129" s="17">
        <v>50</v>
      </c>
      <c r="O129" s="17">
        <v>0</v>
      </c>
    </row>
    <row r="130" spans="1:15" x14ac:dyDescent="0.2">
      <c r="A130" t="s">
        <v>520</v>
      </c>
      <c r="B130">
        <v>778.10500000000002</v>
      </c>
      <c r="C130" t="s">
        <v>60</v>
      </c>
      <c r="D130" t="s">
        <v>61</v>
      </c>
      <c r="E130" t="s">
        <v>512</v>
      </c>
      <c r="F130" t="s">
        <v>156</v>
      </c>
      <c r="G130" s="17">
        <v>0</v>
      </c>
      <c r="H130" s="17" t="str">
        <f t="shared" si="3"/>
        <v>180</v>
      </c>
      <c r="I130" s="17">
        <v>1.2</v>
      </c>
      <c r="J130" s="17">
        <v>2.2000000000000002</v>
      </c>
      <c r="K130" s="17">
        <f t="shared" si="4"/>
        <v>776.10500000000002</v>
      </c>
      <c r="L130" s="17">
        <f t="shared" si="5"/>
        <v>780.10500000000002</v>
      </c>
      <c r="M130" s="17">
        <v>0</v>
      </c>
      <c r="N130" s="17">
        <v>50</v>
      </c>
      <c r="O130" s="17">
        <v>0</v>
      </c>
    </row>
    <row r="131" spans="1:15" x14ac:dyDescent="0.2">
      <c r="A131" t="s">
        <v>522</v>
      </c>
      <c r="B131">
        <v>778.10500000000002</v>
      </c>
      <c r="C131" t="s">
        <v>60</v>
      </c>
      <c r="D131" t="s">
        <v>61</v>
      </c>
      <c r="E131" t="s">
        <v>512</v>
      </c>
      <c r="F131" t="s">
        <v>156</v>
      </c>
      <c r="G131" s="17">
        <v>0</v>
      </c>
      <c r="H131" s="17" t="str">
        <f t="shared" ref="H131:H194" si="6">_xlfn.TEXTAFTER(E131,"-",1)</f>
        <v>180</v>
      </c>
      <c r="I131" s="17">
        <v>1.2</v>
      </c>
      <c r="J131" s="17">
        <v>2.2000000000000002</v>
      </c>
      <c r="K131" s="17">
        <f t="shared" ref="K131:K194" si="7">B131-2</f>
        <v>776.10500000000002</v>
      </c>
      <c r="L131" s="17">
        <f t="shared" ref="L131:L194" si="8">B131+2</f>
        <v>780.10500000000002</v>
      </c>
      <c r="M131" s="17">
        <v>0</v>
      </c>
      <c r="N131" s="17">
        <v>50</v>
      </c>
      <c r="O131" s="17">
        <v>0</v>
      </c>
    </row>
    <row r="132" spans="1:15" x14ac:dyDescent="0.2">
      <c r="A132" t="s">
        <v>524</v>
      </c>
      <c r="B132">
        <v>778.10500000000002</v>
      </c>
      <c r="C132" t="s">
        <v>60</v>
      </c>
      <c r="D132" t="s">
        <v>61</v>
      </c>
      <c r="E132" t="s">
        <v>512</v>
      </c>
      <c r="F132" t="s">
        <v>156</v>
      </c>
      <c r="G132" s="17">
        <v>0</v>
      </c>
      <c r="H132" s="17" t="str">
        <f t="shared" si="6"/>
        <v>180</v>
      </c>
      <c r="I132" s="17">
        <v>1.2</v>
      </c>
      <c r="J132" s="17">
        <v>2.2000000000000002</v>
      </c>
      <c r="K132" s="17">
        <f t="shared" si="7"/>
        <v>776.10500000000002</v>
      </c>
      <c r="L132" s="17">
        <f t="shared" si="8"/>
        <v>780.10500000000002</v>
      </c>
      <c r="M132" s="17">
        <v>0</v>
      </c>
      <c r="N132" s="17">
        <v>50</v>
      </c>
      <c r="O132" s="17">
        <v>0</v>
      </c>
    </row>
    <row r="133" spans="1:15" x14ac:dyDescent="0.2">
      <c r="A133" t="s">
        <v>526</v>
      </c>
      <c r="B133">
        <v>778.10500000000002</v>
      </c>
      <c r="C133" t="s">
        <v>60</v>
      </c>
      <c r="D133" t="s">
        <v>61</v>
      </c>
      <c r="E133" t="s">
        <v>89</v>
      </c>
      <c r="F133" t="s">
        <v>111</v>
      </c>
      <c r="G133" s="17">
        <v>0</v>
      </c>
      <c r="H133" s="17" t="str">
        <f t="shared" si="6"/>
        <v>80</v>
      </c>
      <c r="I133" s="17">
        <v>1.2</v>
      </c>
      <c r="J133" s="17">
        <v>2.2000000000000002</v>
      </c>
      <c r="K133" s="17">
        <f t="shared" si="7"/>
        <v>776.10500000000002</v>
      </c>
      <c r="L133" s="17">
        <f t="shared" si="8"/>
        <v>780.10500000000002</v>
      </c>
      <c r="M133" s="17">
        <v>0</v>
      </c>
      <c r="N133" s="17">
        <v>50</v>
      </c>
      <c r="O133" s="17">
        <v>0</v>
      </c>
    </row>
    <row r="134" spans="1:15" x14ac:dyDescent="0.2">
      <c r="A134" t="s">
        <v>528</v>
      </c>
      <c r="B134">
        <v>778.10500000000002</v>
      </c>
      <c r="C134" t="s">
        <v>60</v>
      </c>
      <c r="D134" t="s">
        <v>61</v>
      </c>
      <c r="E134" t="s">
        <v>62</v>
      </c>
      <c r="F134" t="s">
        <v>111</v>
      </c>
      <c r="G134" s="17">
        <v>0</v>
      </c>
      <c r="H134" s="17" t="str">
        <f t="shared" si="6"/>
        <v>40</v>
      </c>
      <c r="I134" s="17">
        <v>1.2</v>
      </c>
      <c r="J134" s="17">
        <v>2.2000000000000002</v>
      </c>
      <c r="K134" s="17">
        <f t="shared" si="7"/>
        <v>776.10500000000002</v>
      </c>
      <c r="L134" s="17">
        <f t="shared" si="8"/>
        <v>780.10500000000002</v>
      </c>
      <c r="M134" s="17">
        <v>0</v>
      </c>
      <c r="N134" s="17">
        <v>50</v>
      </c>
      <c r="O134" s="17">
        <v>0</v>
      </c>
    </row>
    <row r="135" spans="1:15" x14ac:dyDescent="0.2">
      <c r="A135" t="s">
        <v>530</v>
      </c>
      <c r="B135">
        <v>778.10500000000002</v>
      </c>
      <c r="C135" t="s">
        <v>60</v>
      </c>
      <c r="D135" t="s">
        <v>61</v>
      </c>
      <c r="E135" t="s">
        <v>512</v>
      </c>
      <c r="F135" t="s">
        <v>111</v>
      </c>
      <c r="G135" s="17">
        <v>0</v>
      </c>
      <c r="H135" s="17" t="str">
        <f t="shared" si="6"/>
        <v>180</v>
      </c>
      <c r="I135" s="17">
        <v>1.2</v>
      </c>
      <c r="J135" s="17">
        <v>2.2000000000000002</v>
      </c>
      <c r="K135" s="17">
        <f t="shared" si="7"/>
        <v>776.10500000000002</v>
      </c>
      <c r="L135" s="17">
        <f t="shared" si="8"/>
        <v>780.10500000000002</v>
      </c>
      <c r="M135" s="17">
        <v>0</v>
      </c>
      <c r="N135" s="17">
        <v>50</v>
      </c>
      <c r="O135" s="17">
        <v>0</v>
      </c>
    </row>
    <row r="136" spans="1:15" x14ac:dyDescent="0.2">
      <c r="A136" t="s">
        <v>532</v>
      </c>
      <c r="B136">
        <v>778.10500000000002</v>
      </c>
      <c r="C136" t="s">
        <v>60</v>
      </c>
      <c r="D136" t="s">
        <v>61</v>
      </c>
      <c r="E136" t="s">
        <v>512</v>
      </c>
      <c r="F136" t="s">
        <v>111</v>
      </c>
      <c r="G136" s="17">
        <v>0</v>
      </c>
      <c r="H136" s="17" t="str">
        <f t="shared" si="6"/>
        <v>180</v>
      </c>
      <c r="I136" s="17">
        <v>1.2</v>
      </c>
      <c r="J136" s="17">
        <v>2.2000000000000002</v>
      </c>
      <c r="K136" s="17">
        <f t="shared" si="7"/>
        <v>776.10500000000002</v>
      </c>
      <c r="L136" s="17">
        <f t="shared" si="8"/>
        <v>780.10500000000002</v>
      </c>
      <c r="M136" s="17">
        <v>0</v>
      </c>
      <c r="N136" s="17">
        <v>50</v>
      </c>
      <c r="O136" s="17">
        <v>0</v>
      </c>
    </row>
    <row r="137" spans="1:15" x14ac:dyDescent="0.2">
      <c r="A137" t="s">
        <v>534</v>
      </c>
      <c r="B137">
        <v>778.10500000000002</v>
      </c>
      <c r="C137" t="s">
        <v>60</v>
      </c>
      <c r="D137" t="s">
        <v>61</v>
      </c>
      <c r="E137" t="s">
        <v>512</v>
      </c>
      <c r="F137" t="s">
        <v>111</v>
      </c>
      <c r="G137" s="17">
        <v>0</v>
      </c>
      <c r="H137" s="17" t="str">
        <f t="shared" si="6"/>
        <v>180</v>
      </c>
      <c r="I137" s="17">
        <v>1.2</v>
      </c>
      <c r="J137" s="17">
        <v>2.2000000000000002</v>
      </c>
      <c r="K137" s="17">
        <f t="shared" si="7"/>
        <v>776.10500000000002</v>
      </c>
      <c r="L137" s="17">
        <f t="shared" si="8"/>
        <v>780.10500000000002</v>
      </c>
      <c r="M137" s="17">
        <v>0</v>
      </c>
      <c r="N137" s="17">
        <v>50</v>
      </c>
      <c r="O137" s="17">
        <v>0</v>
      </c>
    </row>
    <row r="138" spans="1:15" x14ac:dyDescent="0.2">
      <c r="A138" t="s">
        <v>536</v>
      </c>
      <c r="B138">
        <v>778.10500000000002</v>
      </c>
      <c r="C138" t="s">
        <v>60</v>
      </c>
      <c r="D138" t="s">
        <v>61</v>
      </c>
      <c r="E138" t="s">
        <v>512</v>
      </c>
      <c r="F138" t="s">
        <v>111</v>
      </c>
      <c r="G138" s="17">
        <v>0</v>
      </c>
      <c r="H138" s="17" t="str">
        <f t="shared" si="6"/>
        <v>180</v>
      </c>
      <c r="I138" s="17">
        <v>1.2</v>
      </c>
      <c r="J138" s="17">
        <v>2.2000000000000002</v>
      </c>
      <c r="K138" s="17">
        <f t="shared" si="7"/>
        <v>776.10500000000002</v>
      </c>
      <c r="L138" s="17">
        <f t="shared" si="8"/>
        <v>780.10500000000002</v>
      </c>
      <c r="M138" s="17">
        <v>0</v>
      </c>
      <c r="N138" s="17">
        <v>50</v>
      </c>
      <c r="O138" s="17">
        <v>0</v>
      </c>
    </row>
    <row r="139" spans="1:15" x14ac:dyDescent="0.2">
      <c r="A139" t="s">
        <v>538</v>
      </c>
      <c r="B139">
        <v>778.10500000000002</v>
      </c>
      <c r="C139" t="s">
        <v>60</v>
      </c>
      <c r="D139" t="s">
        <v>61</v>
      </c>
      <c r="E139" t="s">
        <v>512</v>
      </c>
      <c r="F139" t="s">
        <v>306</v>
      </c>
      <c r="G139" s="17">
        <v>0</v>
      </c>
      <c r="H139" s="17" t="str">
        <f t="shared" si="6"/>
        <v>180</v>
      </c>
      <c r="I139" s="17">
        <v>1.2</v>
      </c>
      <c r="J139" s="17">
        <v>2.2000000000000002</v>
      </c>
      <c r="K139" s="17">
        <f t="shared" si="7"/>
        <v>776.10500000000002</v>
      </c>
      <c r="L139" s="17">
        <f t="shared" si="8"/>
        <v>780.10500000000002</v>
      </c>
      <c r="M139" s="17">
        <v>0</v>
      </c>
      <c r="N139" s="17">
        <v>50</v>
      </c>
      <c r="O139" s="17">
        <v>0</v>
      </c>
    </row>
    <row r="140" spans="1:15" x14ac:dyDescent="0.2">
      <c r="A140" t="s">
        <v>540</v>
      </c>
      <c r="B140">
        <v>778.10500000000002</v>
      </c>
      <c r="C140" t="s">
        <v>60</v>
      </c>
      <c r="D140" t="s">
        <v>61</v>
      </c>
      <c r="E140" t="s">
        <v>512</v>
      </c>
      <c r="F140" t="s">
        <v>306</v>
      </c>
      <c r="G140" s="17">
        <v>0</v>
      </c>
      <c r="H140" s="17" t="str">
        <f t="shared" si="6"/>
        <v>180</v>
      </c>
      <c r="I140" s="17">
        <v>1.2</v>
      </c>
      <c r="J140" s="17">
        <v>2.2000000000000002</v>
      </c>
      <c r="K140" s="17">
        <f t="shared" si="7"/>
        <v>776.10500000000002</v>
      </c>
      <c r="L140" s="17">
        <f t="shared" si="8"/>
        <v>780.10500000000002</v>
      </c>
      <c r="M140" s="17">
        <v>0</v>
      </c>
      <c r="N140" s="17">
        <v>50</v>
      </c>
      <c r="O140" s="17">
        <v>0</v>
      </c>
    </row>
    <row r="141" spans="1:15" x14ac:dyDescent="0.2">
      <c r="A141" t="s">
        <v>542</v>
      </c>
      <c r="B141">
        <v>778.10500000000002</v>
      </c>
      <c r="C141" t="s">
        <v>60</v>
      </c>
      <c r="D141" t="s">
        <v>61</v>
      </c>
      <c r="E141" t="s">
        <v>512</v>
      </c>
      <c r="F141" t="s">
        <v>306</v>
      </c>
      <c r="G141" s="17">
        <v>0</v>
      </c>
      <c r="H141" s="17" t="str">
        <f t="shared" si="6"/>
        <v>180</v>
      </c>
      <c r="I141" s="17">
        <v>1.2</v>
      </c>
      <c r="J141" s="17">
        <v>2.2000000000000002</v>
      </c>
      <c r="K141" s="17">
        <f t="shared" si="7"/>
        <v>776.10500000000002</v>
      </c>
      <c r="L141" s="17">
        <f t="shared" si="8"/>
        <v>780.10500000000002</v>
      </c>
      <c r="M141" s="17">
        <v>0</v>
      </c>
      <c r="N141" s="17">
        <v>50</v>
      </c>
      <c r="O141" s="17">
        <v>0</v>
      </c>
    </row>
    <row r="142" spans="1:15" x14ac:dyDescent="0.2">
      <c r="A142" t="s">
        <v>544</v>
      </c>
      <c r="B142">
        <v>778.10500000000002</v>
      </c>
      <c r="C142" t="s">
        <v>60</v>
      </c>
      <c r="D142" t="s">
        <v>61</v>
      </c>
      <c r="E142" t="s">
        <v>512</v>
      </c>
      <c r="F142" t="s">
        <v>306</v>
      </c>
      <c r="G142" s="17">
        <v>0</v>
      </c>
      <c r="H142" s="17" t="str">
        <f t="shared" si="6"/>
        <v>180</v>
      </c>
      <c r="I142" s="17">
        <v>1.2</v>
      </c>
      <c r="J142" s="17">
        <v>2.2000000000000002</v>
      </c>
      <c r="K142" s="17">
        <f t="shared" si="7"/>
        <v>776.10500000000002</v>
      </c>
      <c r="L142" s="17">
        <f t="shared" si="8"/>
        <v>780.10500000000002</v>
      </c>
      <c r="M142" s="17">
        <v>0</v>
      </c>
      <c r="N142" s="17">
        <v>50</v>
      </c>
      <c r="O142" s="17">
        <v>0</v>
      </c>
    </row>
    <row r="143" spans="1:15" x14ac:dyDescent="0.2">
      <c r="A143" t="s">
        <v>546</v>
      </c>
      <c r="B143">
        <v>778.10500000000002</v>
      </c>
      <c r="C143" t="s">
        <v>60</v>
      </c>
      <c r="D143" t="s">
        <v>61</v>
      </c>
      <c r="E143" t="s">
        <v>512</v>
      </c>
      <c r="G143" s="17">
        <v>0</v>
      </c>
      <c r="H143" s="17" t="str">
        <f t="shared" si="6"/>
        <v>180</v>
      </c>
      <c r="I143" s="17">
        <v>1.2</v>
      </c>
      <c r="J143" s="17">
        <v>2.2000000000000002</v>
      </c>
      <c r="K143" s="17">
        <f t="shared" si="7"/>
        <v>776.10500000000002</v>
      </c>
      <c r="L143" s="17">
        <f t="shared" si="8"/>
        <v>780.10500000000002</v>
      </c>
      <c r="M143" s="17">
        <v>0</v>
      </c>
      <c r="N143" s="17">
        <v>50</v>
      </c>
      <c r="O143" s="17">
        <v>0</v>
      </c>
    </row>
    <row r="144" spans="1:15" x14ac:dyDescent="0.2">
      <c r="A144" t="s">
        <v>548</v>
      </c>
      <c r="B144">
        <v>778.10500000000002</v>
      </c>
      <c r="C144" t="s">
        <v>60</v>
      </c>
      <c r="D144" t="s">
        <v>61</v>
      </c>
      <c r="E144" t="s">
        <v>512</v>
      </c>
      <c r="G144" s="17">
        <v>0</v>
      </c>
      <c r="H144" s="17" t="str">
        <f t="shared" si="6"/>
        <v>180</v>
      </c>
      <c r="I144" s="17">
        <v>1.2</v>
      </c>
      <c r="J144" s="17">
        <v>2.2000000000000002</v>
      </c>
      <c r="K144" s="17">
        <f t="shared" si="7"/>
        <v>776.10500000000002</v>
      </c>
      <c r="L144" s="17">
        <f t="shared" si="8"/>
        <v>780.10500000000002</v>
      </c>
      <c r="M144" s="17">
        <v>0</v>
      </c>
      <c r="N144" s="17">
        <v>50</v>
      </c>
      <c r="O144" s="17">
        <v>0</v>
      </c>
    </row>
    <row r="145" spans="1:15" x14ac:dyDescent="0.2">
      <c r="A145" t="s">
        <v>550</v>
      </c>
      <c r="B145" t="s">
        <v>551</v>
      </c>
      <c r="C145" t="s">
        <v>60</v>
      </c>
      <c r="D145" t="s">
        <v>156</v>
      </c>
      <c r="E145" t="s">
        <v>157</v>
      </c>
      <c r="F145" t="s">
        <v>159</v>
      </c>
      <c r="G145" s="17">
        <v>0</v>
      </c>
      <c r="H145" s="17" t="str">
        <f t="shared" si="6"/>
        <v>180</v>
      </c>
      <c r="I145" s="17">
        <v>1.2</v>
      </c>
      <c r="J145" s="17">
        <v>2.2000000000000002</v>
      </c>
      <c r="K145" s="17">
        <f t="shared" si="7"/>
        <v>1088</v>
      </c>
      <c r="L145" s="17">
        <f t="shared" si="8"/>
        <v>1092</v>
      </c>
      <c r="M145" s="17">
        <v>0</v>
      </c>
      <c r="N145" s="17">
        <v>50</v>
      </c>
      <c r="O145" s="17">
        <v>0</v>
      </c>
    </row>
    <row r="146" spans="1:15" x14ac:dyDescent="0.2">
      <c r="A146" t="s">
        <v>556</v>
      </c>
      <c r="B146" t="s">
        <v>557</v>
      </c>
      <c r="C146" t="s">
        <v>558</v>
      </c>
      <c r="D146" t="s">
        <v>559</v>
      </c>
      <c r="E146" t="s">
        <v>560</v>
      </c>
      <c r="G146" s="17">
        <v>0</v>
      </c>
      <c r="H146" s="17" t="str">
        <f t="shared" si="6"/>
        <v>100</v>
      </c>
      <c r="I146" s="17">
        <v>1.2</v>
      </c>
      <c r="J146" s="17">
        <v>2.2000000000000002</v>
      </c>
      <c r="K146" s="17">
        <f t="shared" si="7"/>
        <v>778</v>
      </c>
      <c r="L146" s="17">
        <f t="shared" si="8"/>
        <v>782</v>
      </c>
      <c r="M146" s="17">
        <v>0</v>
      </c>
      <c r="N146" s="17">
        <v>50</v>
      </c>
      <c r="O146" s="17">
        <v>0</v>
      </c>
    </row>
    <row r="147" spans="1:15" x14ac:dyDescent="0.2">
      <c r="A147" t="s">
        <v>571</v>
      </c>
      <c r="B147" t="s">
        <v>557</v>
      </c>
      <c r="C147" t="s">
        <v>558</v>
      </c>
      <c r="D147" t="s">
        <v>572</v>
      </c>
      <c r="E147" t="s">
        <v>560</v>
      </c>
      <c r="F147" t="s">
        <v>159</v>
      </c>
      <c r="G147" s="17">
        <v>0</v>
      </c>
      <c r="H147" s="17" t="str">
        <f t="shared" si="6"/>
        <v>100</v>
      </c>
      <c r="I147" s="17">
        <v>1.2</v>
      </c>
      <c r="J147" s="17">
        <v>2.2000000000000002</v>
      </c>
      <c r="K147" s="17">
        <f t="shared" si="7"/>
        <v>778</v>
      </c>
      <c r="L147" s="17">
        <f t="shared" si="8"/>
        <v>782</v>
      </c>
      <c r="M147" s="17">
        <v>0</v>
      </c>
      <c r="N147" s="17">
        <v>50</v>
      </c>
      <c r="O147" s="17">
        <v>0</v>
      </c>
    </row>
    <row r="148" spans="1:15" x14ac:dyDescent="0.2">
      <c r="A148" t="s">
        <v>582</v>
      </c>
      <c r="B148" t="s">
        <v>557</v>
      </c>
      <c r="C148" t="s">
        <v>558</v>
      </c>
      <c r="D148" t="s">
        <v>572</v>
      </c>
      <c r="E148" t="s">
        <v>560</v>
      </c>
      <c r="G148" s="17">
        <v>0</v>
      </c>
      <c r="H148" s="17" t="str">
        <f t="shared" si="6"/>
        <v>100</v>
      </c>
      <c r="I148" s="17">
        <v>1.2</v>
      </c>
      <c r="J148" s="17">
        <v>2.2000000000000002</v>
      </c>
      <c r="K148" s="17">
        <f t="shared" si="7"/>
        <v>778</v>
      </c>
      <c r="L148" s="17">
        <f t="shared" si="8"/>
        <v>782</v>
      </c>
      <c r="M148" s="17">
        <v>0</v>
      </c>
      <c r="N148" s="17">
        <v>50</v>
      </c>
      <c r="O148" s="17">
        <v>0</v>
      </c>
    </row>
    <row r="149" spans="1:15" x14ac:dyDescent="0.2">
      <c r="A149" t="s">
        <v>589</v>
      </c>
      <c r="B149">
        <v>780.24099999999999</v>
      </c>
      <c r="C149" t="s">
        <v>60</v>
      </c>
      <c r="D149" t="s">
        <v>61</v>
      </c>
      <c r="E149" t="s">
        <v>89</v>
      </c>
      <c r="G149" s="17">
        <v>0</v>
      </c>
      <c r="H149" s="17" t="str">
        <f t="shared" si="6"/>
        <v>80</v>
      </c>
      <c r="I149" s="17">
        <v>1.2</v>
      </c>
      <c r="J149" s="17">
        <v>2.2000000000000002</v>
      </c>
      <c r="K149" s="17">
        <f t="shared" si="7"/>
        <v>778.24099999999999</v>
      </c>
      <c r="L149" s="17">
        <f t="shared" si="8"/>
        <v>782.24099999999999</v>
      </c>
      <c r="M149" s="17">
        <v>0</v>
      </c>
      <c r="N149" s="17">
        <v>50</v>
      </c>
      <c r="O149" s="17">
        <v>0</v>
      </c>
    </row>
    <row r="150" spans="1:15" x14ac:dyDescent="0.2">
      <c r="A150" t="s">
        <v>593</v>
      </c>
      <c r="B150">
        <v>780.24099999999999</v>
      </c>
      <c r="C150" t="s">
        <v>60</v>
      </c>
      <c r="D150" t="s">
        <v>61</v>
      </c>
      <c r="E150" t="s">
        <v>62</v>
      </c>
      <c r="G150" s="17">
        <v>0</v>
      </c>
      <c r="H150" s="17" t="str">
        <f t="shared" si="6"/>
        <v>40</v>
      </c>
      <c r="I150" s="17">
        <v>1.2</v>
      </c>
      <c r="J150" s="17">
        <v>2.2000000000000002</v>
      </c>
      <c r="K150" s="17">
        <f t="shared" si="7"/>
        <v>778.24099999999999</v>
      </c>
      <c r="L150" s="17">
        <f t="shared" si="8"/>
        <v>782.24099999999999</v>
      </c>
      <c r="M150" s="17">
        <v>0</v>
      </c>
      <c r="N150" s="17">
        <v>50</v>
      </c>
      <c r="O150" s="17">
        <v>0</v>
      </c>
    </row>
    <row r="151" spans="1:15" x14ac:dyDescent="0.2">
      <c r="A151" t="s">
        <v>595</v>
      </c>
      <c r="B151">
        <v>780.24099999999999</v>
      </c>
      <c r="C151" t="s">
        <v>60</v>
      </c>
      <c r="D151" t="s">
        <v>61</v>
      </c>
      <c r="E151" t="s">
        <v>512</v>
      </c>
      <c r="G151" s="17">
        <v>0</v>
      </c>
      <c r="H151" s="17" t="str">
        <f t="shared" si="6"/>
        <v>180</v>
      </c>
      <c r="I151" s="17">
        <v>1.2</v>
      </c>
      <c r="J151" s="17">
        <v>2.2000000000000002</v>
      </c>
      <c r="K151" s="17">
        <f t="shared" si="7"/>
        <v>778.24099999999999</v>
      </c>
      <c r="L151" s="17">
        <f t="shared" si="8"/>
        <v>782.24099999999999</v>
      </c>
      <c r="M151" s="17">
        <v>0</v>
      </c>
      <c r="N151" s="17">
        <v>50</v>
      </c>
      <c r="O151" s="17">
        <v>0</v>
      </c>
    </row>
    <row r="152" spans="1:15" x14ac:dyDescent="0.2">
      <c r="A152" t="s">
        <v>597</v>
      </c>
      <c r="B152">
        <v>780.24099999999999</v>
      </c>
      <c r="C152" t="s">
        <v>60</v>
      </c>
      <c r="D152" t="s">
        <v>61</v>
      </c>
      <c r="E152" t="s">
        <v>512</v>
      </c>
      <c r="G152" s="17">
        <v>0</v>
      </c>
      <c r="H152" s="17" t="str">
        <f t="shared" si="6"/>
        <v>180</v>
      </c>
      <c r="I152" s="17">
        <v>1.2</v>
      </c>
      <c r="J152" s="17">
        <v>2.2000000000000002</v>
      </c>
      <c r="K152" s="17">
        <f t="shared" si="7"/>
        <v>778.24099999999999</v>
      </c>
      <c r="L152" s="17">
        <f t="shared" si="8"/>
        <v>782.24099999999999</v>
      </c>
      <c r="M152" s="17">
        <v>0</v>
      </c>
      <c r="N152" s="17">
        <v>50</v>
      </c>
      <c r="O152" s="17">
        <v>0</v>
      </c>
    </row>
    <row r="153" spans="1:15" x14ac:dyDescent="0.2">
      <c r="A153" t="s">
        <v>599</v>
      </c>
      <c r="B153">
        <v>780.24099999999999</v>
      </c>
      <c r="C153" t="s">
        <v>60</v>
      </c>
      <c r="D153" t="s">
        <v>61</v>
      </c>
      <c r="E153" t="s">
        <v>512</v>
      </c>
      <c r="F153" t="s">
        <v>156</v>
      </c>
      <c r="G153" s="17">
        <v>0</v>
      </c>
      <c r="H153" s="17" t="str">
        <f t="shared" si="6"/>
        <v>180</v>
      </c>
      <c r="I153" s="17">
        <v>1.2</v>
      </c>
      <c r="J153" s="17">
        <v>2.2000000000000002</v>
      </c>
      <c r="K153" s="17">
        <f t="shared" si="7"/>
        <v>778.24099999999999</v>
      </c>
      <c r="L153" s="17">
        <f t="shared" si="8"/>
        <v>782.24099999999999</v>
      </c>
      <c r="M153" s="17">
        <v>0</v>
      </c>
      <c r="N153" s="17">
        <v>50</v>
      </c>
      <c r="O153" s="17">
        <v>0</v>
      </c>
    </row>
    <row r="154" spans="1:15" x14ac:dyDescent="0.2">
      <c r="A154" t="s">
        <v>601</v>
      </c>
      <c r="B154">
        <v>780.24099999999999</v>
      </c>
      <c r="C154" t="s">
        <v>60</v>
      </c>
      <c r="D154" t="s">
        <v>61</v>
      </c>
      <c r="E154" t="s">
        <v>512</v>
      </c>
      <c r="F154" t="s">
        <v>156</v>
      </c>
      <c r="G154" s="17">
        <v>0</v>
      </c>
      <c r="H154" s="17" t="str">
        <f t="shared" si="6"/>
        <v>180</v>
      </c>
      <c r="I154" s="17">
        <v>1.2</v>
      </c>
      <c r="J154" s="17">
        <v>2.2000000000000002</v>
      </c>
      <c r="K154" s="17">
        <f t="shared" si="7"/>
        <v>778.24099999999999</v>
      </c>
      <c r="L154" s="17">
        <f t="shared" si="8"/>
        <v>782.24099999999999</v>
      </c>
      <c r="M154" s="17">
        <v>0</v>
      </c>
      <c r="N154" s="17">
        <v>50</v>
      </c>
      <c r="O154" s="17">
        <v>0</v>
      </c>
    </row>
    <row r="155" spans="1:15" x14ac:dyDescent="0.2">
      <c r="A155" t="s">
        <v>603</v>
      </c>
      <c r="B155">
        <v>780.24099999999999</v>
      </c>
      <c r="C155" t="s">
        <v>60</v>
      </c>
      <c r="D155" t="s">
        <v>61</v>
      </c>
      <c r="E155" t="s">
        <v>512</v>
      </c>
      <c r="F155" t="s">
        <v>156</v>
      </c>
      <c r="G155" s="17">
        <v>0</v>
      </c>
      <c r="H155" s="17" t="str">
        <f t="shared" si="6"/>
        <v>180</v>
      </c>
      <c r="I155" s="17">
        <v>1.2</v>
      </c>
      <c r="J155" s="17">
        <v>2.2000000000000002</v>
      </c>
      <c r="K155" s="17">
        <f t="shared" si="7"/>
        <v>778.24099999999999</v>
      </c>
      <c r="L155" s="17">
        <f t="shared" si="8"/>
        <v>782.24099999999999</v>
      </c>
      <c r="M155" s="17">
        <v>0</v>
      </c>
      <c r="N155" s="17">
        <v>50</v>
      </c>
      <c r="O155" s="17">
        <v>0</v>
      </c>
    </row>
    <row r="156" spans="1:15" x14ac:dyDescent="0.2">
      <c r="A156" t="s">
        <v>605</v>
      </c>
      <c r="B156">
        <v>780.24099999999999</v>
      </c>
      <c r="C156" t="s">
        <v>60</v>
      </c>
      <c r="D156" t="s">
        <v>156</v>
      </c>
      <c r="E156" t="s">
        <v>89</v>
      </c>
      <c r="F156" t="s">
        <v>156</v>
      </c>
      <c r="G156" s="17">
        <v>0</v>
      </c>
      <c r="H156" s="17" t="str">
        <f t="shared" si="6"/>
        <v>80</v>
      </c>
      <c r="I156" s="17">
        <v>1.2</v>
      </c>
      <c r="J156" s="17">
        <v>2.2000000000000002</v>
      </c>
      <c r="K156" s="17">
        <f t="shared" si="7"/>
        <v>778.24099999999999</v>
      </c>
      <c r="L156" s="17">
        <f t="shared" si="8"/>
        <v>782.24099999999999</v>
      </c>
      <c r="M156" s="17">
        <v>0</v>
      </c>
      <c r="N156" s="17">
        <v>50</v>
      </c>
      <c r="O156" s="17">
        <v>0</v>
      </c>
    </row>
    <row r="157" spans="1:15" x14ac:dyDescent="0.2">
      <c r="A157" t="s">
        <v>609</v>
      </c>
      <c r="B157">
        <v>780.24099999999999</v>
      </c>
      <c r="C157" t="s">
        <v>60</v>
      </c>
      <c r="D157" t="s">
        <v>61</v>
      </c>
      <c r="E157" t="s">
        <v>512</v>
      </c>
      <c r="F157" t="s">
        <v>156</v>
      </c>
      <c r="G157" s="17">
        <v>0</v>
      </c>
      <c r="H157" s="17" t="str">
        <f t="shared" si="6"/>
        <v>180</v>
      </c>
      <c r="I157" s="17">
        <v>1.2</v>
      </c>
      <c r="J157" s="17">
        <v>2.2000000000000002</v>
      </c>
      <c r="K157" s="17">
        <f t="shared" si="7"/>
        <v>778.24099999999999</v>
      </c>
      <c r="L157" s="17">
        <f t="shared" si="8"/>
        <v>782.24099999999999</v>
      </c>
      <c r="M157" s="17">
        <v>0</v>
      </c>
      <c r="N157" s="17">
        <v>50</v>
      </c>
      <c r="O157" s="17">
        <v>0</v>
      </c>
    </row>
    <row r="158" spans="1:15" x14ac:dyDescent="0.2">
      <c r="A158" t="s">
        <v>611</v>
      </c>
      <c r="B158">
        <v>780.24099999999999</v>
      </c>
      <c r="C158" t="s">
        <v>60</v>
      </c>
      <c r="D158" t="s">
        <v>612</v>
      </c>
      <c r="E158" t="s">
        <v>613</v>
      </c>
      <c r="F158" t="s">
        <v>156</v>
      </c>
      <c r="G158" s="17">
        <v>0</v>
      </c>
      <c r="H158" s="17" t="str">
        <f t="shared" si="6"/>
        <v>30</v>
      </c>
      <c r="I158" s="17">
        <v>1.2</v>
      </c>
      <c r="J158" s="17">
        <v>2.2000000000000002</v>
      </c>
      <c r="K158" s="17">
        <f t="shared" si="7"/>
        <v>778.24099999999999</v>
      </c>
      <c r="L158" s="17">
        <f t="shared" si="8"/>
        <v>782.24099999999999</v>
      </c>
      <c r="M158" s="17">
        <v>0</v>
      </c>
      <c r="N158" s="17">
        <v>50</v>
      </c>
      <c r="O158" s="17">
        <v>0</v>
      </c>
    </row>
    <row r="159" spans="1:15" x14ac:dyDescent="0.2">
      <c r="A159" t="s">
        <v>617</v>
      </c>
      <c r="B159">
        <v>780.24099999999999</v>
      </c>
      <c r="C159" t="s">
        <v>60</v>
      </c>
      <c r="D159" t="s">
        <v>61</v>
      </c>
      <c r="E159" t="s">
        <v>89</v>
      </c>
      <c r="F159" t="s">
        <v>111</v>
      </c>
      <c r="G159" s="17">
        <v>0</v>
      </c>
      <c r="H159" s="17" t="str">
        <f t="shared" si="6"/>
        <v>80</v>
      </c>
      <c r="I159" s="17">
        <v>1.2</v>
      </c>
      <c r="J159" s="17">
        <v>2.2000000000000002</v>
      </c>
      <c r="K159" s="17">
        <f t="shared" si="7"/>
        <v>778.24099999999999</v>
      </c>
      <c r="L159" s="17">
        <f t="shared" si="8"/>
        <v>782.24099999999999</v>
      </c>
      <c r="M159" s="17">
        <v>0</v>
      </c>
      <c r="N159" s="17">
        <v>50</v>
      </c>
      <c r="O159" s="17">
        <v>0</v>
      </c>
    </row>
    <row r="160" spans="1:15" x14ac:dyDescent="0.2">
      <c r="A160" t="s">
        <v>619</v>
      </c>
      <c r="B160">
        <v>780.24099999999999</v>
      </c>
      <c r="C160" t="s">
        <v>60</v>
      </c>
      <c r="D160" t="s">
        <v>61</v>
      </c>
      <c r="E160" t="s">
        <v>62</v>
      </c>
      <c r="F160" t="s">
        <v>111</v>
      </c>
      <c r="G160" s="17">
        <v>0</v>
      </c>
      <c r="H160" s="17" t="str">
        <f t="shared" si="6"/>
        <v>40</v>
      </c>
      <c r="I160" s="17">
        <v>1.2</v>
      </c>
      <c r="J160" s="17">
        <v>2.2000000000000002</v>
      </c>
      <c r="K160" s="17">
        <f t="shared" si="7"/>
        <v>778.24099999999999</v>
      </c>
      <c r="L160" s="17">
        <f t="shared" si="8"/>
        <v>782.24099999999999</v>
      </c>
      <c r="M160" s="17">
        <v>0</v>
      </c>
      <c r="N160" s="17">
        <v>50</v>
      </c>
      <c r="O160" s="17">
        <v>0</v>
      </c>
    </row>
    <row r="161" spans="1:15" x14ac:dyDescent="0.2">
      <c r="A161" t="s">
        <v>621</v>
      </c>
      <c r="B161">
        <v>780.24099999999999</v>
      </c>
      <c r="C161" t="s">
        <v>60</v>
      </c>
      <c r="D161" t="s">
        <v>61</v>
      </c>
      <c r="E161" t="s">
        <v>512</v>
      </c>
      <c r="F161" t="s">
        <v>111</v>
      </c>
      <c r="G161" s="17">
        <v>0</v>
      </c>
      <c r="H161" s="17" t="str">
        <f t="shared" si="6"/>
        <v>180</v>
      </c>
      <c r="I161" s="17">
        <v>1.2</v>
      </c>
      <c r="J161" s="17">
        <v>2.2000000000000002</v>
      </c>
      <c r="K161" s="17">
        <f t="shared" si="7"/>
        <v>778.24099999999999</v>
      </c>
      <c r="L161" s="17">
        <f t="shared" si="8"/>
        <v>782.24099999999999</v>
      </c>
      <c r="M161" s="17">
        <v>0</v>
      </c>
      <c r="N161" s="17">
        <v>50</v>
      </c>
      <c r="O161" s="17">
        <v>0</v>
      </c>
    </row>
    <row r="162" spans="1:15" x14ac:dyDescent="0.2">
      <c r="A162" t="s">
        <v>623</v>
      </c>
      <c r="B162">
        <v>780.24099999999999</v>
      </c>
      <c r="C162" t="s">
        <v>60</v>
      </c>
      <c r="D162" t="s">
        <v>61</v>
      </c>
      <c r="E162" t="s">
        <v>512</v>
      </c>
      <c r="F162" t="s">
        <v>111</v>
      </c>
      <c r="G162" s="17">
        <v>0</v>
      </c>
      <c r="H162" s="17" t="str">
        <f t="shared" si="6"/>
        <v>180</v>
      </c>
      <c r="I162" s="17">
        <v>1.2</v>
      </c>
      <c r="J162" s="17">
        <v>2.2000000000000002</v>
      </c>
      <c r="K162" s="17">
        <f t="shared" si="7"/>
        <v>778.24099999999999</v>
      </c>
      <c r="L162" s="17">
        <f t="shared" si="8"/>
        <v>782.24099999999999</v>
      </c>
      <c r="M162" s="17">
        <v>0</v>
      </c>
      <c r="N162" s="17">
        <v>50</v>
      </c>
      <c r="O162" s="17">
        <v>0</v>
      </c>
    </row>
    <row r="163" spans="1:15" x14ac:dyDescent="0.2">
      <c r="A163" t="s">
        <v>625</v>
      </c>
      <c r="B163">
        <v>780.24099999999999</v>
      </c>
      <c r="C163" t="s">
        <v>60</v>
      </c>
      <c r="D163" t="s">
        <v>61</v>
      </c>
      <c r="E163" t="s">
        <v>512</v>
      </c>
      <c r="F163" t="s">
        <v>111</v>
      </c>
      <c r="G163" s="17">
        <v>0</v>
      </c>
      <c r="H163" s="17" t="str">
        <f t="shared" si="6"/>
        <v>180</v>
      </c>
      <c r="I163" s="17">
        <v>1.2</v>
      </c>
      <c r="J163" s="17">
        <v>2.2000000000000002</v>
      </c>
      <c r="K163" s="17">
        <f t="shared" si="7"/>
        <v>778.24099999999999</v>
      </c>
      <c r="L163" s="17">
        <f t="shared" si="8"/>
        <v>782.24099999999999</v>
      </c>
      <c r="M163" s="17">
        <v>0</v>
      </c>
      <c r="N163" s="17">
        <v>50</v>
      </c>
      <c r="O163" s="17">
        <v>0</v>
      </c>
    </row>
    <row r="164" spans="1:15" x14ac:dyDescent="0.2">
      <c r="A164" t="s">
        <v>627</v>
      </c>
      <c r="B164">
        <v>780.24099999999999</v>
      </c>
      <c r="C164" t="s">
        <v>60</v>
      </c>
      <c r="D164" t="s">
        <v>156</v>
      </c>
      <c r="E164" t="s">
        <v>89</v>
      </c>
      <c r="F164" t="s">
        <v>111</v>
      </c>
      <c r="G164" s="17">
        <v>0</v>
      </c>
      <c r="H164" s="17" t="str">
        <f t="shared" si="6"/>
        <v>80</v>
      </c>
      <c r="I164" s="17">
        <v>1.2</v>
      </c>
      <c r="J164" s="17">
        <v>2.2000000000000002</v>
      </c>
      <c r="K164" s="17">
        <f t="shared" si="7"/>
        <v>778.24099999999999</v>
      </c>
      <c r="L164" s="17">
        <f t="shared" si="8"/>
        <v>782.24099999999999</v>
      </c>
      <c r="M164" s="17">
        <v>0</v>
      </c>
      <c r="N164" s="17">
        <v>50</v>
      </c>
      <c r="O164" s="17">
        <v>0</v>
      </c>
    </row>
    <row r="165" spans="1:15" x14ac:dyDescent="0.2">
      <c r="A165" t="s">
        <v>629</v>
      </c>
      <c r="B165">
        <v>780.24099999999999</v>
      </c>
      <c r="C165" t="s">
        <v>60</v>
      </c>
      <c r="D165" t="s">
        <v>61</v>
      </c>
      <c r="E165" t="s">
        <v>512</v>
      </c>
      <c r="F165" t="s">
        <v>111</v>
      </c>
      <c r="G165" s="17">
        <v>0</v>
      </c>
      <c r="H165" s="17" t="str">
        <f t="shared" si="6"/>
        <v>180</v>
      </c>
      <c r="I165" s="17">
        <v>1.2</v>
      </c>
      <c r="J165" s="17">
        <v>2.2000000000000002</v>
      </c>
      <c r="K165" s="17">
        <f t="shared" si="7"/>
        <v>778.24099999999999</v>
      </c>
      <c r="L165" s="17">
        <f t="shared" si="8"/>
        <v>782.24099999999999</v>
      </c>
      <c r="M165" s="17">
        <v>0</v>
      </c>
      <c r="N165" s="17">
        <v>50</v>
      </c>
      <c r="O165" s="17">
        <v>0</v>
      </c>
    </row>
    <row r="166" spans="1:15" x14ac:dyDescent="0.2">
      <c r="A166" t="s">
        <v>631</v>
      </c>
      <c r="B166">
        <v>780.24099999999999</v>
      </c>
      <c r="C166" t="s">
        <v>60</v>
      </c>
      <c r="D166" t="s">
        <v>61</v>
      </c>
      <c r="E166" t="s">
        <v>512</v>
      </c>
      <c r="F166" t="s">
        <v>306</v>
      </c>
      <c r="G166" s="17">
        <v>0</v>
      </c>
      <c r="H166" s="17" t="str">
        <f t="shared" si="6"/>
        <v>180</v>
      </c>
      <c r="I166" s="17">
        <v>1.2</v>
      </c>
      <c r="J166" s="17">
        <v>2.2000000000000002</v>
      </c>
      <c r="K166" s="17">
        <f t="shared" si="7"/>
        <v>778.24099999999999</v>
      </c>
      <c r="L166" s="17">
        <f t="shared" si="8"/>
        <v>782.24099999999999</v>
      </c>
      <c r="M166" s="17">
        <v>0</v>
      </c>
      <c r="N166" s="17">
        <v>50</v>
      </c>
      <c r="O166" s="17">
        <v>0</v>
      </c>
    </row>
    <row r="167" spans="1:15" x14ac:dyDescent="0.2">
      <c r="A167" t="s">
        <v>633</v>
      </c>
      <c r="B167">
        <v>780.24099999999999</v>
      </c>
      <c r="C167" t="s">
        <v>60</v>
      </c>
      <c r="D167" t="s">
        <v>61</v>
      </c>
      <c r="E167" t="s">
        <v>512</v>
      </c>
      <c r="F167" t="s">
        <v>306</v>
      </c>
      <c r="G167" s="17">
        <v>0</v>
      </c>
      <c r="H167" s="17" t="str">
        <f t="shared" si="6"/>
        <v>180</v>
      </c>
      <c r="I167" s="17">
        <v>1.2</v>
      </c>
      <c r="J167" s="17">
        <v>2.2000000000000002</v>
      </c>
      <c r="K167" s="17">
        <f t="shared" si="7"/>
        <v>778.24099999999999</v>
      </c>
      <c r="L167" s="17">
        <f t="shared" si="8"/>
        <v>782.24099999999999</v>
      </c>
      <c r="M167" s="17">
        <v>0</v>
      </c>
      <c r="N167" s="17">
        <v>50</v>
      </c>
      <c r="O167" s="17">
        <v>0</v>
      </c>
    </row>
    <row r="168" spans="1:15" x14ac:dyDescent="0.2">
      <c r="A168" t="s">
        <v>635</v>
      </c>
      <c r="B168">
        <v>780.24099999999999</v>
      </c>
      <c r="C168" t="s">
        <v>60</v>
      </c>
      <c r="D168" t="s">
        <v>61</v>
      </c>
      <c r="E168" t="s">
        <v>512</v>
      </c>
      <c r="F168" t="s">
        <v>306</v>
      </c>
      <c r="G168" s="17">
        <v>0</v>
      </c>
      <c r="H168" s="17" t="str">
        <f t="shared" si="6"/>
        <v>180</v>
      </c>
      <c r="I168" s="17">
        <v>1.2</v>
      </c>
      <c r="J168" s="17">
        <v>2.2000000000000002</v>
      </c>
      <c r="K168" s="17">
        <f t="shared" si="7"/>
        <v>778.24099999999999</v>
      </c>
      <c r="L168" s="17">
        <f t="shared" si="8"/>
        <v>782.24099999999999</v>
      </c>
      <c r="M168" s="17">
        <v>0</v>
      </c>
      <c r="N168" s="17">
        <v>50</v>
      </c>
      <c r="O168" s="17">
        <v>0</v>
      </c>
    </row>
    <row r="169" spans="1:15" x14ac:dyDescent="0.2">
      <c r="A169" t="s">
        <v>637</v>
      </c>
      <c r="B169">
        <v>780.24099999999999</v>
      </c>
      <c r="C169" t="s">
        <v>60</v>
      </c>
      <c r="D169" t="s">
        <v>156</v>
      </c>
      <c r="E169" t="s">
        <v>89</v>
      </c>
      <c r="F169" t="s">
        <v>306</v>
      </c>
      <c r="G169" s="17">
        <v>0</v>
      </c>
      <c r="H169" s="17" t="str">
        <f t="shared" si="6"/>
        <v>80</v>
      </c>
      <c r="I169" s="17">
        <v>1.2</v>
      </c>
      <c r="J169" s="17">
        <v>2.2000000000000002</v>
      </c>
      <c r="K169" s="17">
        <f t="shared" si="7"/>
        <v>778.24099999999999</v>
      </c>
      <c r="L169" s="17">
        <f t="shared" si="8"/>
        <v>782.24099999999999</v>
      </c>
      <c r="M169" s="17">
        <v>0</v>
      </c>
      <c r="N169" s="17">
        <v>50</v>
      </c>
      <c r="O169" s="17">
        <v>0</v>
      </c>
    </row>
    <row r="170" spans="1:15" x14ac:dyDescent="0.2">
      <c r="A170" t="s">
        <v>639</v>
      </c>
      <c r="B170">
        <v>780.24099999999999</v>
      </c>
      <c r="C170" t="s">
        <v>60</v>
      </c>
      <c r="D170" t="s">
        <v>61</v>
      </c>
      <c r="E170" t="s">
        <v>512</v>
      </c>
      <c r="F170" t="s">
        <v>306</v>
      </c>
      <c r="G170" s="17">
        <v>0</v>
      </c>
      <c r="H170" s="17" t="str">
        <f t="shared" si="6"/>
        <v>180</v>
      </c>
      <c r="I170" s="17">
        <v>1.2</v>
      </c>
      <c r="J170" s="17">
        <v>2.2000000000000002</v>
      </c>
      <c r="K170" s="17">
        <f t="shared" si="7"/>
        <v>778.24099999999999</v>
      </c>
      <c r="L170" s="17">
        <f t="shared" si="8"/>
        <v>782.24099999999999</v>
      </c>
      <c r="M170" s="17">
        <v>0</v>
      </c>
      <c r="N170" s="17">
        <v>50</v>
      </c>
      <c r="O170" s="17">
        <v>0</v>
      </c>
    </row>
    <row r="171" spans="1:15" x14ac:dyDescent="0.2">
      <c r="A171" t="s">
        <v>641</v>
      </c>
      <c r="B171">
        <v>780.24099999999999</v>
      </c>
      <c r="C171" t="s">
        <v>60</v>
      </c>
      <c r="D171" t="s">
        <v>612</v>
      </c>
      <c r="E171" t="s">
        <v>613</v>
      </c>
      <c r="G171" s="17">
        <v>0</v>
      </c>
      <c r="H171" s="17" t="str">
        <f t="shared" si="6"/>
        <v>30</v>
      </c>
      <c r="I171" s="17">
        <v>1.2</v>
      </c>
      <c r="J171" s="17">
        <v>2.2000000000000002</v>
      </c>
      <c r="K171" s="17">
        <f t="shared" si="7"/>
        <v>778.24099999999999</v>
      </c>
      <c r="L171" s="17">
        <f t="shared" si="8"/>
        <v>782.24099999999999</v>
      </c>
      <c r="M171" s="17">
        <v>0</v>
      </c>
      <c r="N171" s="17">
        <v>50</v>
      </c>
      <c r="O171" s="17">
        <v>0</v>
      </c>
    </row>
    <row r="172" spans="1:15" x14ac:dyDescent="0.2">
      <c r="A172" t="s">
        <v>649</v>
      </c>
      <c r="B172">
        <v>780.24099999999999</v>
      </c>
      <c r="C172" t="s">
        <v>60</v>
      </c>
      <c r="D172" t="s">
        <v>612</v>
      </c>
      <c r="E172" t="s">
        <v>650</v>
      </c>
      <c r="G172" s="17">
        <v>0</v>
      </c>
      <c r="H172" s="17" t="str">
        <f t="shared" si="6"/>
        <v>15</v>
      </c>
      <c r="I172" s="17">
        <v>1.2</v>
      </c>
      <c r="J172" s="17">
        <v>2.2000000000000002</v>
      </c>
      <c r="K172" s="17">
        <f t="shared" si="7"/>
        <v>778.24099999999999</v>
      </c>
      <c r="L172" s="17">
        <f t="shared" si="8"/>
        <v>782.24099999999999</v>
      </c>
      <c r="M172" s="17">
        <v>0</v>
      </c>
      <c r="N172" s="17">
        <v>50</v>
      </c>
      <c r="O172" s="17">
        <v>0</v>
      </c>
    </row>
    <row r="173" spans="1:15" x14ac:dyDescent="0.2">
      <c r="A173" t="s">
        <v>654</v>
      </c>
      <c r="B173">
        <v>780.24099999999999</v>
      </c>
      <c r="C173" t="s">
        <v>60</v>
      </c>
      <c r="D173" t="s">
        <v>612</v>
      </c>
      <c r="E173" t="s">
        <v>613</v>
      </c>
      <c r="G173" s="17">
        <v>0</v>
      </c>
      <c r="H173" s="17" t="str">
        <f t="shared" si="6"/>
        <v>30</v>
      </c>
      <c r="I173" s="17">
        <v>1.2</v>
      </c>
      <c r="J173" s="17">
        <v>2.2000000000000002</v>
      </c>
      <c r="K173" s="17">
        <f t="shared" si="7"/>
        <v>778.24099999999999</v>
      </c>
      <c r="L173" s="17">
        <f t="shared" si="8"/>
        <v>782.24099999999999</v>
      </c>
      <c r="M173" s="17">
        <v>0</v>
      </c>
      <c r="N173" s="17">
        <v>50</v>
      </c>
      <c r="O173" s="17">
        <v>0</v>
      </c>
    </row>
    <row r="174" spans="1:15" x14ac:dyDescent="0.2">
      <c r="A174" t="s">
        <v>656</v>
      </c>
      <c r="B174">
        <v>780.24099999999999</v>
      </c>
      <c r="C174" t="s">
        <v>60</v>
      </c>
      <c r="D174" t="s">
        <v>612</v>
      </c>
      <c r="E174" t="s">
        <v>613</v>
      </c>
      <c r="G174" s="17">
        <v>0</v>
      </c>
      <c r="H174" s="17" t="str">
        <f t="shared" si="6"/>
        <v>30</v>
      </c>
      <c r="I174" s="17">
        <v>1.2</v>
      </c>
      <c r="J174" s="17">
        <v>2.2000000000000002</v>
      </c>
      <c r="K174" s="17">
        <f t="shared" si="7"/>
        <v>778.24099999999999</v>
      </c>
      <c r="L174" s="17">
        <f t="shared" si="8"/>
        <v>782.24099999999999</v>
      </c>
      <c r="M174" s="17">
        <v>0</v>
      </c>
      <c r="N174" s="17">
        <v>50</v>
      </c>
      <c r="O174" s="17">
        <v>0</v>
      </c>
    </row>
    <row r="175" spans="1:15" x14ac:dyDescent="0.2">
      <c r="A175" t="s">
        <v>658</v>
      </c>
      <c r="B175">
        <v>780.24099999999999</v>
      </c>
      <c r="C175" t="s">
        <v>60</v>
      </c>
      <c r="D175" t="s">
        <v>612</v>
      </c>
      <c r="E175" t="s">
        <v>613</v>
      </c>
      <c r="G175" s="17">
        <v>0</v>
      </c>
      <c r="H175" s="17" t="str">
        <f t="shared" si="6"/>
        <v>30</v>
      </c>
      <c r="I175" s="17">
        <v>1.2</v>
      </c>
      <c r="J175" s="17">
        <v>2.2000000000000002</v>
      </c>
      <c r="K175" s="17">
        <f t="shared" si="7"/>
        <v>778.24099999999999</v>
      </c>
      <c r="L175" s="17">
        <f t="shared" si="8"/>
        <v>782.24099999999999</v>
      </c>
      <c r="M175" s="17">
        <v>0</v>
      </c>
      <c r="N175" s="17">
        <v>50</v>
      </c>
      <c r="O175" s="17">
        <v>0</v>
      </c>
    </row>
    <row r="176" spans="1:15" x14ac:dyDescent="0.2">
      <c r="A176" t="s">
        <v>661</v>
      </c>
      <c r="B176">
        <v>780.24099999999999</v>
      </c>
      <c r="C176" t="s">
        <v>60</v>
      </c>
      <c r="D176" t="s">
        <v>61</v>
      </c>
      <c r="E176" t="s">
        <v>512</v>
      </c>
      <c r="G176" s="17">
        <v>0</v>
      </c>
      <c r="H176" s="17" t="str">
        <f t="shared" si="6"/>
        <v>180</v>
      </c>
      <c r="I176" s="17">
        <v>1.2</v>
      </c>
      <c r="J176" s="17">
        <v>2.2000000000000002</v>
      </c>
      <c r="K176" s="17">
        <f t="shared" si="7"/>
        <v>778.24099999999999</v>
      </c>
      <c r="L176" s="17">
        <f t="shared" si="8"/>
        <v>782.24099999999999</v>
      </c>
      <c r="M176" s="17">
        <v>0</v>
      </c>
      <c r="N176" s="17">
        <v>50</v>
      </c>
      <c r="O176" s="17">
        <v>0</v>
      </c>
    </row>
    <row r="177" spans="1:15" x14ac:dyDescent="0.2">
      <c r="A177" t="s">
        <v>663</v>
      </c>
      <c r="B177">
        <v>780.24099999999999</v>
      </c>
      <c r="C177" t="s">
        <v>60</v>
      </c>
      <c r="D177" t="s">
        <v>156</v>
      </c>
      <c r="E177" t="s">
        <v>89</v>
      </c>
      <c r="G177" s="17">
        <v>0</v>
      </c>
      <c r="H177" s="17" t="str">
        <f t="shared" si="6"/>
        <v>80</v>
      </c>
      <c r="I177" s="17">
        <v>1.2</v>
      </c>
      <c r="J177" s="17">
        <v>2.2000000000000002</v>
      </c>
      <c r="K177" s="17">
        <f t="shared" si="7"/>
        <v>778.24099999999999</v>
      </c>
      <c r="L177" s="17">
        <f t="shared" si="8"/>
        <v>782.24099999999999</v>
      </c>
      <c r="M177" s="17">
        <v>0</v>
      </c>
      <c r="N177" s="17">
        <v>50</v>
      </c>
      <c r="O177" s="17">
        <v>0</v>
      </c>
    </row>
    <row r="178" spans="1:15" x14ac:dyDescent="0.2">
      <c r="A178" t="s">
        <v>666</v>
      </c>
      <c r="B178">
        <v>780.24099999999999</v>
      </c>
      <c r="C178" t="s">
        <v>60</v>
      </c>
      <c r="D178" t="s">
        <v>61</v>
      </c>
      <c r="E178" t="s">
        <v>512</v>
      </c>
      <c r="G178" s="17">
        <v>0</v>
      </c>
      <c r="H178" s="17" t="str">
        <f t="shared" si="6"/>
        <v>180</v>
      </c>
      <c r="I178" s="17">
        <v>1.2</v>
      </c>
      <c r="J178" s="17">
        <v>2.2000000000000002</v>
      </c>
      <c r="K178" s="17">
        <f t="shared" si="7"/>
        <v>778.24099999999999</v>
      </c>
      <c r="L178" s="17">
        <f t="shared" si="8"/>
        <v>782.24099999999999</v>
      </c>
      <c r="M178" s="17">
        <v>0</v>
      </c>
      <c r="N178" s="17">
        <v>50</v>
      </c>
      <c r="O178" s="17">
        <v>0</v>
      </c>
    </row>
    <row r="179" spans="1:15" x14ac:dyDescent="0.2">
      <c r="A179" t="s">
        <v>668</v>
      </c>
      <c r="B179">
        <v>780.24099999999999</v>
      </c>
      <c r="C179" t="s">
        <v>60</v>
      </c>
      <c r="D179" t="s">
        <v>612</v>
      </c>
      <c r="E179" t="s">
        <v>613</v>
      </c>
      <c r="F179" t="s">
        <v>156</v>
      </c>
      <c r="G179" s="17">
        <v>0</v>
      </c>
      <c r="H179" s="17" t="str">
        <f t="shared" si="6"/>
        <v>30</v>
      </c>
      <c r="I179" s="17">
        <v>1.2</v>
      </c>
      <c r="J179" s="17">
        <v>2.2000000000000002</v>
      </c>
      <c r="K179" s="17">
        <f t="shared" si="7"/>
        <v>778.24099999999999</v>
      </c>
      <c r="L179" s="17">
        <f t="shared" si="8"/>
        <v>782.24099999999999</v>
      </c>
      <c r="M179" s="17">
        <v>0</v>
      </c>
      <c r="N179" s="17">
        <v>50</v>
      </c>
      <c r="O179" s="17">
        <v>0</v>
      </c>
    </row>
    <row r="180" spans="1:15" x14ac:dyDescent="0.2">
      <c r="A180" t="s">
        <v>670</v>
      </c>
      <c r="B180">
        <v>780.24099999999999</v>
      </c>
      <c r="C180" t="s">
        <v>60</v>
      </c>
      <c r="D180" t="s">
        <v>612</v>
      </c>
      <c r="E180" t="s">
        <v>613</v>
      </c>
      <c r="F180" t="s">
        <v>156</v>
      </c>
      <c r="G180" s="17">
        <v>0</v>
      </c>
      <c r="H180" s="17" t="str">
        <f t="shared" si="6"/>
        <v>30</v>
      </c>
      <c r="I180" s="17">
        <v>1.2</v>
      </c>
      <c r="J180" s="17">
        <v>2.2000000000000002</v>
      </c>
      <c r="K180" s="17">
        <f t="shared" si="7"/>
        <v>778.24099999999999</v>
      </c>
      <c r="L180" s="17">
        <f t="shared" si="8"/>
        <v>782.24099999999999</v>
      </c>
      <c r="M180" s="17">
        <v>0</v>
      </c>
      <c r="N180" s="17">
        <v>50</v>
      </c>
      <c r="O180" s="17">
        <v>0</v>
      </c>
    </row>
    <row r="181" spans="1:15" x14ac:dyDescent="0.2">
      <c r="A181" t="s">
        <v>673</v>
      </c>
      <c r="B181">
        <v>780.24099999999999</v>
      </c>
      <c r="C181" t="s">
        <v>60</v>
      </c>
      <c r="D181" t="s">
        <v>612</v>
      </c>
      <c r="E181" t="s">
        <v>613</v>
      </c>
      <c r="F181" t="s">
        <v>156</v>
      </c>
      <c r="G181" s="17">
        <v>0</v>
      </c>
      <c r="H181" s="17" t="str">
        <f t="shared" si="6"/>
        <v>30</v>
      </c>
      <c r="I181" s="17">
        <v>1.2</v>
      </c>
      <c r="J181" s="17">
        <v>2.2000000000000002</v>
      </c>
      <c r="K181" s="17">
        <f t="shared" si="7"/>
        <v>778.24099999999999</v>
      </c>
      <c r="L181" s="17">
        <f t="shared" si="8"/>
        <v>782.24099999999999</v>
      </c>
      <c r="M181" s="17">
        <v>0</v>
      </c>
      <c r="N181" s="17">
        <v>50</v>
      </c>
      <c r="O181" s="17">
        <v>0</v>
      </c>
    </row>
    <row r="182" spans="1:15" x14ac:dyDescent="0.2">
      <c r="A182" t="s">
        <v>675</v>
      </c>
      <c r="B182">
        <v>780.24099999999999</v>
      </c>
      <c r="C182" t="s">
        <v>60</v>
      </c>
      <c r="D182" t="s">
        <v>612</v>
      </c>
      <c r="E182" t="s">
        <v>613</v>
      </c>
      <c r="G182" s="17">
        <v>0</v>
      </c>
      <c r="H182" s="17" t="str">
        <f t="shared" si="6"/>
        <v>30</v>
      </c>
      <c r="I182" s="17">
        <v>1.2</v>
      </c>
      <c r="J182" s="17">
        <v>2.2000000000000002</v>
      </c>
      <c r="K182" s="17">
        <f t="shared" si="7"/>
        <v>778.24099999999999</v>
      </c>
      <c r="L182" s="17">
        <f t="shared" si="8"/>
        <v>782.24099999999999</v>
      </c>
      <c r="M182" s="17">
        <v>0</v>
      </c>
      <c r="N182" s="17">
        <v>50</v>
      </c>
      <c r="O182" s="17">
        <v>0</v>
      </c>
    </row>
    <row r="183" spans="1:15" x14ac:dyDescent="0.2">
      <c r="A183" t="s">
        <v>677</v>
      </c>
      <c r="B183">
        <v>780.24099999999999</v>
      </c>
      <c r="C183" t="s">
        <v>60</v>
      </c>
      <c r="D183" t="s">
        <v>156</v>
      </c>
      <c r="E183" t="s">
        <v>89</v>
      </c>
      <c r="G183" s="17">
        <v>0</v>
      </c>
      <c r="H183" s="17" t="str">
        <f t="shared" si="6"/>
        <v>80</v>
      </c>
      <c r="I183" s="17">
        <v>1.2</v>
      </c>
      <c r="J183" s="17">
        <v>2.2000000000000002</v>
      </c>
      <c r="K183" s="17">
        <f t="shared" si="7"/>
        <v>778.24099999999999</v>
      </c>
      <c r="L183" s="17">
        <f t="shared" si="8"/>
        <v>782.24099999999999</v>
      </c>
      <c r="M183" s="17">
        <v>0</v>
      </c>
      <c r="N183" s="17">
        <v>50</v>
      </c>
      <c r="O183" s="17">
        <v>0</v>
      </c>
    </row>
    <row r="184" spans="1:15" x14ac:dyDescent="0.2">
      <c r="A184" t="s">
        <v>680</v>
      </c>
      <c r="B184">
        <v>780.24099999999999</v>
      </c>
      <c r="C184" t="s">
        <v>60</v>
      </c>
      <c r="D184" t="s">
        <v>156</v>
      </c>
      <c r="E184" t="s">
        <v>62</v>
      </c>
      <c r="G184" s="17">
        <v>0</v>
      </c>
      <c r="H184" s="17" t="str">
        <f t="shared" si="6"/>
        <v>40</v>
      </c>
      <c r="I184" s="17">
        <v>1.2</v>
      </c>
      <c r="J184" s="17">
        <v>2.2000000000000002</v>
      </c>
      <c r="K184" s="17">
        <f t="shared" si="7"/>
        <v>778.24099999999999</v>
      </c>
      <c r="L184" s="17">
        <f t="shared" si="8"/>
        <v>782.24099999999999</v>
      </c>
      <c r="M184" s="17">
        <v>0</v>
      </c>
      <c r="N184" s="17">
        <v>50</v>
      </c>
      <c r="O184" s="17">
        <v>0</v>
      </c>
    </row>
    <row r="185" spans="1:15" x14ac:dyDescent="0.2">
      <c r="A185" t="s">
        <v>685</v>
      </c>
      <c r="B185">
        <v>780.24099999999999</v>
      </c>
      <c r="C185" t="s">
        <v>60</v>
      </c>
      <c r="D185" t="s">
        <v>156</v>
      </c>
      <c r="E185" t="s">
        <v>80</v>
      </c>
      <c r="G185" s="17">
        <v>0</v>
      </c>
      <c r="H185" s="17" t="str">
        <f t="shared" si="6"/>
        <v>10</v>
      </c>
      <c r="I185" s="17">
        <v>1.2</v>
      </c>
      <c r="J185" s="17">
        <v>2.2000000000000002</v>
      </c>
      <c r="K185" s="17">
        <f t="shared" si="7"/>
        <v>778.24099999999999</v>
      </c>
      <c r="L185" s="17">
        <f t="shared" si="8"/>
        <v>782.24099999999999</v>
      </c>
      <c r="M185" s="17">
        <v>0</v>
      </c>
      <c r="N185" s="17">
        <v>50</v>
      </c>
      <c r="O185" s="17">
        <v>0</v>
      </c>
    </row>
    <row r="186" spans="1:15" x14ac:dyDescent="0.2">
      <c r="A186" t="s">
        <v>689</v>
      </c>
      <c r="B186">
        <v>780.24099999999999</v>
      </c>
      <c r="C186" t="s">
        <v>60</v>
      </c>
      <c r="D186" t="s">
        <v>156</v>
      </c>
      <c r="E186" t="s">
        <v>89</v>
      </c>
      <c r="G186" s="17">
        <v>0</v>
      </c>
      <c r="H186" s="17" t="str">
        <f t="shared" si="6"/>
        <v>80</v>
      </c>
      <c r="I186" s="17">
        <v>1.2</v>
      </c>
      <c r="J186" s="17">
        <v>2.2000000000000002</v>
      </c>
      <c r="K186" s="17">
        <f t="shared" si="7"/>
        <v>778.24099999999999</v>
      </c>
      <c r="L186" s="17">
        <f t="shared" si="8"/>
        <v>782.24099999999999</v>
      </c>
      <c r="M186" s="17">
        <v>0</v>
      </c>
      <c r="N186" s="17">
        <v>50</v>
      </c>
      <c r="O186" s="17">
        <v>0</v>
      </c>
    </row>
    <row r="187" spans="1:15" x14ac:dyDescent="0.2">
      <c r="A187" t="s">
        <v>691</v>
      </c>
      <c r="B187">
        <v>780.24099999999999</v>
      </c>
      <c r="C187" t="s">
        <v>60</v>
      </c>
      <c r="D187" t="s">
        <v>156</v>
      </c>
      <c r="E187" t="s">
        <v>89</v>
      </c>
      <c r="G187" s="17">
        <v>0</v>
      </c>
      <c r="H187" s="17" t="str">
        <f t="shared" si="6"/>
        <v>80</v>
      </c>
      <c r="I187" s="17">
        <v>1.2</v>
      </c>
      <c r="J187" s="17">
        <v>2.2000000000000002</v>
      </c>
      <c r="K187" s="17">
        <f t="shared" si="7"/>
        <v>778.24099999999999</v>
      </c>
      <c r="L187" s="17">
        <f t="shared" si="8"/>
        <v>782.24099999999999</v>
      </c>
      <c r="M187" s="17">
        <v>0</v>
      </c>
      <c r="N187" s="17">
        <v>50</v>
      </c>
      <c r="O187" s="17">
        <v>0</v>
      </c>
    </row>
    <row r="188" spans="1:15" x14ac:dyDescent="0.2">
      <c r="A188" t="s">
        <v>694</v>
      </c>
      <c r="B188">
        <v>780.24099999999999</v>
      </c>
      <c r="C188" t="s">
        <v>60</v>
      </c>
      <c r="D188" t="s">
        <v>156</v>
      </c>
      <c r="E188" t="s">
        <v>89</v>
      </c>
      <c r="F188" t="s">
        <v>156</v>
      </c>
      <c r="G188" s="17">
        <v>0</v>
      </c>
      <c r="H188" s="17" t="str">
        <f t="shared" si="6"/>
        <v>80</v>
      </c>
      <c r="I188" s="17">
        <v>1.2</v>
      </c>
      <c r="J188" s="17">
        <v>2.2000000000000002</v>
      </c>
      <c r="K188" s="17">
        <f t="shared" si="7"/>
        <v>778.24099999999999</v>
      </c>
      <c r="L188" s="17">
        <f t="shared" si="8"/>
        <v>782.24099999999999</v>
      </c>
      <c r="M188" s="17">
        <v>0</v>
      </c>
      <c r="N188" s="17">
        <v>50</v>
      </c>
      <c r="O188" s="17">
        <v>0</v>
      </c>
    </row>
    <row r="189" spans="1:15" x14ac:dyDescent="0.2">
      <c r="A189" t="s">
        <v>696</v>
      </c>
      <c r="B189">
        <v>780.24099999999999</v>
      </c>
      <c r="C189" t="s">
        <v>60</v>
      </c>
      <c r="D189" t="s">
        <v>156</v>
      </c>
      <c r="E189" t="s">
        <v>89</v>
      </c>
      <c r="F189" t="s">
        <v>156</v>
      </c>
      <c r="G189" s="17">
        <v>0</v>
      </c>
      <c r="H189" s="17" t="str">
        <f t="shared" si="6"/>
        <v>80</v>
      </c>
      <c r="I189" s="17">
        <v>1.2</v>
      </c>
      <c r="J189" s="17">
        <v>2.2000000000000002</v>
      </c>
      <c r="K189" s="17">
        <f t="shared" si="7"/>
        <v>778.24099999999999</v>
      </c>
      <c r="L189" s="17">
        <f t="shared" si="8"/>
        <v>782.24099999999999</v>
      </c>
      <c r="M189" s="17">
        <v>0</v>
      </c>
      <c r="N189" s="17">
        <v>50</v>
      </c>
      <c r="O189" s="17">
        <v>0</v>
      </c>
    </row>
    <row r="190" spans="1:15" x14ac:dyDescent="0.2">
      <c r="A190" t="s">
        <v>698</v>
      </c>
      <c r="B190">
        <v>780.24099999999999</v>
      </c>
      <c r="C190" t="s">
        <v>60</v>
      </c>
      <c r="D190" t="s">
        <v>156</v>
      </c>
      <c r="E190" t="s">
        <v>89</v>
      </c>
      <c r="F190" t="s">
        <v>156</v>
      </c>
      <c r="G190" s="17">
        <v>0</v>
      </c>
      <c r="H190" s="17" t="str">
        <f t="shared" si="6"/>
        <v>80</v>
      </c>
      <c r="I190" s="17">
        <v>1.2</v>
      </c>
      <c r="J190" s="17">
        <v>2.2000000000000002</v>
      </c>
      <c r="K190" s="17">
        <f t="shared" si="7"/>
        <v>778.24099999999999</v>
      </c>
      <c r="L190" s="17">
        <f t="shared" si="8"/>
        <v>782.24099999999999</v>
      </c>
      <c r="M190" s="17">
        <v>0</v>
      </c>
      <c r="N190" s="17">
        <v>50</v>
      </c>
      <c r="O190" s="17">
        <v>0</v>
      </c>
    </row>
    <row r="191" spans="1:15" x14ac:dyDescent="0.2">
      <c r="A191" t="s">
        <v>700</v>
      </c>
      <c r="B191">
        <v>780.24099999999999</v>
      </c>
      <c r="C191" t="s">
        <v>60</v>
      </c>
      <c r="D191" t="s">
        <v>156</v>
      </c>
      <c r="E191" t="s">
        <v>62</v>
      </c>
      <c r="F191" t="s">
        <v>111</v>
      </c>
      <c r="G191" s="17">
        <v>0</v>
      </c>
      <c r="H191" s="17" t="str">
        <f t="shared" si="6"/>
        <v>40</v>
      </c>
      <c r="I191" s="17">
        <v>1.2</v>
      </c>
      <c r="J191" s="17">
        <v>2.2000000000000002</v>
      </c>
      <c r="K191" s="17">
        <f t="shared" si="7"/>
        <v>778.24099999999999</v>
      </c>
      <c r="L191" s="17">
        <f t="shared" si="8"/>
        <v>782.24099999999999</v>
      </c>
      <c r="M191" s="17">
        <v>0</v>
      </c>
      <c r="N191" s="17">
        <v>50</v>
      </c>
      <c r="O191" s="17">
        <v>0</v>
      </c>
    </row>
    <row r="192" spans="1:15" x14ac:dyDescent="0.2">
      <c r="A192" t="s">
        <v>702</v>
      </c>
      <c r="B192">
        <v>780.24099999999999</v>
      </c>
      <c r="C192" t="s">
        <v>60</v>
      </c>
      <c r="D192" t="s">
        <v>156</v>
      </c>
      <c r="E192" t="s">
        <v>80</v>
      </c>
      <c r="F192" t="s">
        <v>111</v>
      </c>
      <c r="G192" s="17">
        <v>0</v>
      </c>
      <c r="H192" s="17" t="str">
        <f t="shared" si="6"/>
        <v>10</v>
      </c>
      <c r="I192" s="17">
        <v>1.2</v>
      </c>
      <c r="J192" s="17">
        <v>2.2000000000000002</v>
      </c>
      <c r="K192" s="17">
        <f t="shared" si="7"/>
        <v>778.24099999999999</v>
      </c>
      <c r="L192" s="17">
        <f t="shared" si="8"/>
        <v>782.24099999999999</v>
      </c>
      <c r="M192" s="17">
        <v>0</v>
      </c>
      <c r="N192" s="17">
        <v>50</v>
      </c>
      <c r="O192" s="17">
        <v>0</v>
      </c>
    </row>
    <row r="193" spans="1:15" x14ac:dyDescent="0.2">
      <c r="A193" t="s">
        <v>704</v>
      </c>
      <c r="B193">
        <v>780.24099999999999</v>
      </c>
      <c r="C193" t="s">
        <v>60</v>
      </c>
      <c r="D193" t="s">
        <v>156</v>
      </c>
      <c r="E193" t="s">
        <v>89</v>
      </c>
      <c r="F193" t="s">
        <v>111</v>
      </c>
      <c r="G193" s="17">
        <v>0</v>
      </c>
      <c r="H193" s="17" t="str">
        <f t="shared" si="6"/>
        <v>80</v>
      </c>
      <c r="I193" s="17">
        <v>1.2</v>
      </c>
      <c r="J193" s="17">
        <v>2.2000000000000002</v>
      </c>
      <c r="K193" s="17">
        <f t="shared" si="7"/>
        <v>778.24099999999999</v>
      </c>
      <c r="L193" s="17">
        <f t="shared" si="8"/>
        <v>782.24099999999999</v>
      </c>
      <c r="M193" s="17">
        <v>0</v>
      </c>
      <c r="N193" s="17">
        <v>50</v>
      </c>
      <c r="O193" s="17">
        <v>0</v>
      </c>
    </row>
    <row r="194" spans="1:15" x14ac:dyDescent="0.2">
      <c r="A194" t="s">
        <v>706</v>
      </c>
      <c r="B194">
        <v>780.24099999999999</v>
      </c>
      <c r="C194" t="s">
        <v>60</v>
      </c>
      <c r="D194" t="s">
        <v>156</v>
      </c>
      <c r="E194" t="s">
        <v>89</v>
      </c>
      <c r="F194" t="s">
        <v>111</v>
      </c>
      <c r="G194" s="17">
        <v>0</v>
      </c>
      <c r="H194" s="17" t="str">
        <f t="shared" si="6"/>
        <v>80</v>
      </c>
      <c r="I194" s="17">
        <v>1.2</v>
      </c>
      <c r="J194" s="17">
        <v>2.2000000000000002</v>
      </c>
      <c r="K194" s="17">
        <f t="shared" si="7"/>
        <v>778.24099999999999</v>
      </c>
      <c r="L194" s="17">
        <f t="shared" si="8"/>
        <v>782.24099999999999</v>
      </c>
      <c r="M194" s="17">
        <v>0</v>
      </c>
      <c r="N194" s="17">
        <v>50</v>
      </c>
      <c r="O194" s="17">
        <v>0</v>
      </c>
    </row>
    <row r="195" spans="1:15" x14ac:dyDescent="0.2">
      <c r="A195" t="s">
        <v>709</v>
      </c>
      <c r="B195">
        <v>780.24099999999999</v>
      </c>
      <c r="C195" t="s">
        <v>60</v>
      </c>
      <c r="D195" t="s">
        <v>156</v>
      </c>
      <c r="E195" t="s">
        <v>89</v>
      </c>
      <c r="F195" t="s">
        <v>111</v>
      </c>
      <c r="G195" s="17">
        <v>0</v>
      </c>
      <c r="H195" s="17" t="str">
        <f t="shared" ref="H195:H258" si="9">_xlfn.TEXTAFTER(E195,"-",1)</f>
        <v>80</v>
      </c>
      <c r="I195" s="17">
        <v>1.2</v>
      </c>
      <c r="J195" s="17">
        <v>2.2000000000000002</v>
      </c>
      <c r="K195" s="17">
        <f t="shared" ref="K195:K258" si="10">B195-2</f>
        <v>778.24099999999999</v>
      </c>
      <c r="L195" s="17">
        <f t="shared" ref="L195:L258" si="11">B195+2</f>
        <v>782.24099999999999</v>
      </c>
      <c r="M195" s="17">
        <v>0</v>
      </c>
      <c r="N195" s="17">
        <v>50</v>
      </c>
      <c r="O195" s="17">
        <v>0</v>
      </c>
    </row>
    <row r="196" spans="1:15" x14ac:dyDescent="0.2">
      <c r="A196" t="s">
        <v>711</v>
      </c>
      <c r="B196">
        <v>780.24099999999999</v>
      </c>
      <c r="C196" t="s">
        <v>60</v>
      </c>
      <c r="D196" t="s">
        <v>156</v>
      </c>
      <c r="E196" t="s">
        <v>89</v>
      </c>
      <c r="F196" t="s">
        <v>306</v>
      </c>
      <c r="G196" s="17">
        <v>0</v>
      </c>
      <c r="H196" s="17" t="str">
        <f t="shared" si="9"/>
        <v>80</v>
      </c>
      <c r="I196" s="17">
        <v>1.2</v>
      </c>
      <c r="J196" s="17">
        <v>2.2000000000000002</v>
      </c>
      <c r="K196" s="17">
        <f t="shared" si="10"/>
        <v>778.24099999999999</v>
      </c>
      <c r="L196" s="17">
        <f t="shared" si="11"/>
        <v>782.24099999999999</v>
      </c>
      <c r="M196" s="17">
        <v>0</v>
      </c>
      <c r="N196" s="17">
        <v>50</v>
      </c>
      <c r="O196" s="17">
        <v>0</v>
      </c>
    </row>
    <row r="197" spans="1:15" x14ac:dyDescent="0.2">
      <c r="A197" t="s">
        <v>713</v>
      </c>
      <c r="B197">
        <v>780.24099999999999</v>
      </c>
      <c r="C197" t="s">
        <v>60</v>
      </c>
      <c r="D197" t="s">
        <v>156</v>
      </c>
      <c r="E197" t="s">
        <v>89</v>
      </c>
      <c r="F197" t="s">
        <v>306</v>
      </c>
      <c r="G197" s="17">
        <v>0</v>
      </c>
      <c r="H197" s="17" t="str">
        <f t="shared" si="9"/>
        <v>80</v>
      </c>
      <c r="I197" s="17">
        <v>1.2</v>
      </c>
      <c r="J197" s="17">
        <v>2.2000000000000002</v>
      </c>
      <c r="K197" s="17">
        <f t="shared" si="10"/>
        <v>778.24099999999999</v>
      </c>
      <c r="L197" s="17">
        <f t="shared" si="11"/>
        <v>782.24099999999999</v>
      </c>
      <c r="M197" s="17">
        <v>0</v>
      </c>
      <c r="N197" s="17">
        <v>50</v>
      </c>
      <c r="O197" s="17">
        <v>0</v>
      </c>
    </row>
    <row r="198" spans="1:15" x14ac:dyDescent="0.2">
      <c r="A198" t="s">
        <v>716</v>
      </c>
      <c r="B198">
        <v>780.24099999999999</v>
      </c>
      <c r="C198" t="s">
        <v>60</v>
      </c>
      <c r="D198" t="s">
        <v>156</v>
      </c>
      <c r="E198" t="s">
        <v>89</v>
      </c>
      <c r="F198" t="s">
        <v>306</v>
      </c>
      <c r="G198" s="17">
        <v>0</v>
      </c>
      <c r="H198" s="17" t="str">
        <f t="shared" si="9"/>
        <v>80</v>
      </c>
      <c r="I198" s="17">
        <v>1.2</v>
      </c>
      <c r="J198" s="17">
        <v>2.2000000000000002</v>
      </c>
      <c r="K198" s="17">
        <f t="shared" si="10"/>
        <v>778.24099999999999</v>
      </c>
      <c r="L198" s="17">
        <f t="shared" si="11"/>
        <v>782.24099999999999</v>
      </c>
      <c r="M198" s="17">
        <v>0</v>
      </c>
      <c r="N198" s="17">
        <v>50</v>
      </c>
      <c r="O198" s="17">
        <v>0</v>
      </c>
    </row>
    <row r="199" spans="1:15" x14ac:dyDescent="0.2">
      <c r="A199" t="s">
        <v>718</v>
      </c>
      <c r="B199">
        <v>780.24099999999999</v>
      </c>
      <c r="C199" t="s">
        <v>60</v>
      </c>
      <c r="D199" t="s">
        <v>156</v>
      </c>
      <c r="E199" t="s">
        <v>89</v>
      </c>
      <c r="G199" s="17">
        <v>0</v>
      </c>
      <c r="H199" s="17" t="str">
        <f t="shared" si="9"/>
        <v>80</v>
      </c>
      <c r="I199" s="17">
        <v>1.2</v>
      </c>
      <c r="J199" s="17">
        <v>2.2000000000000002</v>
      </c>
      <c r="K199" s="17">
        <f t="shared" si="10"/>
        <v>778.24099999999999</v>
      </c>
      <c r="L199" s="17">
        <f t="shared" si="11"/>
        <v>782.24099999999999</v>
      </c>
      <c r="M199" s="17">
        <v>0</v>
      </c>
      <c r="N199" s="17">
        <v>50</v>
      </c>
      <c r="O199" s="17">
        <v>0</v>
      </c>
    </row>
    <row r="200" spans="1:15" x14ac:dyDescent="0.2">
      <c r="A200" t="s">
        <v>720</v>
      </c>
      <c r="B200" t="s">
        <v>721</v>
      </c>
      <c r="C200" t="s">
        <v>60</v>
      </c>
      <c r="D200" t="s">
        <v>61</v>
      </c>
      <c r="E200" t="s">
        <v>89</v>
      </c>
      <c r="F200" t="s">
        <v>159</v>
      </c>
      <c r="G200" s="17">
        <v>0</v>
      </c>
      <c r="H200" s="17" t="str">
        <f t="shared" si="9"/>
        <v>80</v>
      </c>
      <c r="I200" s="17">
        <v>1.2</v>
      </c>
      <c r="J200" s="17">
        <v>2.2000000000000002</v>
      </c>
      <c r="K200" s="17">
        <f t="shared" si="10"/>
        <v>728</v>
      </c>
      <c r="L200" s="17">
        <f t="shared" si="11"/>
        <v>732</v>
      </c>
      <c r="M200" s="17">
        <v>0</v>
      </c>
      <c r="N200" s="17">
        <v>50</v>
      </c>
      <c r="O200" s="17">
        <v>0</v>
      </c>
    </row>
    <row r="201" spans="1:15" x14ac:dyDescent="0.2">
      <c r="A201" t="s">
        <v>723</v>
      </c>
      <c r="B201" t="s">
        <v>724</v>
      </c>
      <c r="C201" t="s">
        <v>60</v>
      </c>
      <c r="D201" t="s">
        <v>61</v>
      </c>
      <c r="E201" t="s">
        <v>89</v>
      </c>
      <c r="F201" t="s">
        <v>159</v>
      </c>
      <c r="G201" s="17">
        <v>0</v>
      </c>
      <c r="H201" s="17" t="str">
        <f t="shared" si="9"/>
        <v>80</v>
      </c>
      <c r="I201" s="17">
        <v>1.2</v>
      </c>
      <c r="J201" s="17">
        <v>2.2000000000000002</v>
      </c>
      <c r="K201" s="17">
        <f t="shared" si="10"/>
        <v>735</v>
      </c>
      <c r="L201" s="17">
        <f t="shared" si="11"/>
        <v>739</v>
      </c>
      <c r="M201" s="17">
        <v>0</v>
      </c>
      <c r="N201" s="17">
        <v>50</v>
      </c>
      <c r="O201" s="17">
        <v>0</v>
      </c>
    </row>
    <row r="202" spans="1:15" x14ac:dyDescent="0.2">
      <c r="A202" t="s">
        <v>726</v>
      </c>
      <c r="B202" t="s">
        <v>727</v>
      </c>
      <c r="C202" t="s">
        <v>60</v>
      </c>
      <c r="D202" t="s">
        <v>61</v>
      </c>
      <c r="E202" t="s">
        <v>89</v>
      </c>
      <c r="F202" t="s">
        <v>159</v>
      </c>
      <c r="G202" s="17">
        <v>0</v>
      </c>
      <c r="H202" s="17" t="str">
        <f t="shared" si="9"/>
        <v>80</v>
      </c>
      <c r="I202" s="17">
        <v>1.2</v>
      </c>
      <c r="J202" s="17">
        <v>2.2000000000000002</v>
      </c>
      <c r="K202" s="17">
        <f t="shared" si="10"/>
        <v>737</v>
      </c>
      <c r="L202" s="17">
        <f t="shared" si="11"/>
        <v>741</v>
      </c>
      <c r="M202" s="17">
        <v>0</v>
      </c>
      <c r="N202" s="17">
        <v>50</v>
      </c>
      <c r="O202" s="17">
        <v>0</v>
      </c>
    </row>
    <row r="203" spans="1:15" x14ac:dyDescent="0.2">
      <c r="A203" t="s">
        <v>729</v>
      </c>
      <c r="B203">
        <v>785</v>
      </c>
      <c r="C203" t="s">
        <v>60</v>
      </c>
      <c r="D203" t="s">
        <v>61</v>
      </c>
      <c r="E203" t="s">
        <v>89</v>
      </c>
      <c r="G203" s="17">
        <v>0</v>
      </c>
      <c r="H203" s="17" t="str">
        <f t="shared" si="9"/>
        <v>80</v>
      </c>
      <c r="I203" s="17">
        <v>1.2</v>
      </c>
      <c r="J203" s="17">
        <v>2.2000000000000002</v>
      </c>
      <c r="K203" s="17">
        <f t="shared" si="10"/>
        <v>783</v>
      </c>
      <c r="L203" s="17">
        <f t="shared" si="11"/>
        <v>787</v>
      </c>
      <c r="M203" s="17">
        <v>0</v>
      </c>
      <c r="N203" s="17">
        <v>50</v>
      </c>
      <c r="O203" s="17">
        <v>0</v>
      </c>
    </row>
    <row r="204" spans="1:15" x14ac:dyDescent="0.2">
      <c r="A204" t="s">
        <v>734</v>
      </c>
      <c r="B204">
        <v>785</v>
      </c>
      <c r="C204" t="s">
        <v>60</v>
      </c>
      <c r="D204" t="s">
        <v>61</v>
      </c>
      <c r="E204" t="s">
        <v>62</v>
      </c>
      <c r="G204" s="17">
        <v>0</v>
      </c>
      <c r="H204" s="17" t="str">
        <f t="shared" si="9"/>
        <v>40</v>
      </c>
      <c r="I204" s="17">
        <v>1.2</v>
      </c>
      <c r="J204" s="17">
        <v>2.2000000000000002</v>
      </c>
      <c r="K204" s="17">
        <f t="shared" si="10"/>
        <v>783</v>
      </c>
      <c r="L204" s="17">
        <f t="shared" si="11"/>
        <v>787</v>
      </c>
      <c r="M204" s="17">
        <v>0</v>
      </c>
      <c r="N204" s="17">
        <v>50</v>
      </c>
      <c r="O204" s="17">
        <v>0</v>
      </c>
    </row>
    <row r="205" spans="1:15" x14ac:dyDescent="0.2">
      <c r="A205" t="s">
        <v>736</v>
      </c>
      <c r="B205">
        <v>785</v>
      </c>
      <c r="C205" t="s">
        <v>60</v>
      </c>
      <c r="D205" t="s">
        <v>61</v>
      </c>
      <c r="E205" t="s">
        <v>512</v>
      </c>
      <c r="G205" s="17">
        <v>0</v>
      </c>
      <c r="H205" s="17" t="str">
        <f t="shared" si="9"/>
        <v>180</v>
      </c>
      <c r="I205" s="17">
        <v>1.2</v>
      </c>
      <c r="J205" s="17">
        <v>2.2000000000000002</v>
      </c>
      <c r="K205" s="17">
        <f t="shared" si="10"/>
        <v>783</v>
      </c>
      <c r="L205" s="17">
        <f t="shared" si="11"/>
        <v>787</v>
      </c>
      <c r="M205" s="17">
        <v>0</v>
      </c>
      <c r="N205" s="17">
        <v>50</v>
      </c>
      <c r="O205" s="17">
        <v>0</v>
      </c>
    </row>
    <row r="206" spans="1:15" x14ac:dyDescent="0.2">
      <c r="A206" t="s">
        <v>738</v>
      </c>
      <c r="B206">
        <v>785</v>
      </c>
      <c r="C206" t="s">
        <v>60</v>
      </c>
      <c r="D206" t="s">
        <v>61</v>
      </c>
      <c r="E206" t="s">
        <v>512</v>
      </c>
      <c r="G206" s="17">
        <v>0</v>
      </c>
      <c r="H206" s="17" t="str">
        <f t="shared" si="9"/>
        <v>180</v>
      </c>
      <c r="I206" s="17">
        <v>1.2</v>
      </c>
      <c r="J206" s="17">
        <v>2.2000000000000002</v>
      </c>
      <c r="K206" s="17">
        <f t="shared" si="10"/>
        <v>783</v>
      </c>
      <c r="L206" s="17">
        <f t="shared" si="11"/>
        <v>787</v>
      </c>
      <c r="M206" s="17">
        <v>0</v>
      </c>
      <c r="N206" s="17">
        <v>50</v>
      </c>
      <c r="O206" s="17">
        <v>0</v>
      </c>
    </row>
    <row r="207" spans="1:15" x14ac:dyDescent="0.2">
      <c r="A207" t="s">
        <v>740</v>
      </c>
      <c r="B207">
        <v>785</v>
      </c>
      <c r="C207" t="s">
        <v>60</v>
      </c>
      <c r="D207" t="s">
        <v>61</v>
      </c>
      <c r="E207" t="s">
        <v>512</v>
      </c>
      <c r="F207" t="s">
        <v>156</v>
      </c>
      <c r="G207" s="17">
        <v>0</v>
      </c>
      <c r="H207" s="17" t="str">
        <f t="shared" si="9"/>
        <v>180</v>
      </c>
      <c r="I207" s="17">
        <v>1.2</v>
      </c>
      <c r="J207" s="17">
        <v>2.2000000000000002</v>
      </c>
      <c r="K207" s="17">
        <f t="shared" si="10"/>
        <v>783</v>
      </c>
      <c r="L207" s="17">
        <f t="shared" si="11"/>
        <v>787</v>
      </c>
      <c r="M207" s="17">
        <v>0</v>
      </c>
      <c r="N207" s="17">
        <v>50</v>
      </c>
      <c r="O207" s="17">
        <v>0</v>
      </c>
    </row>
    <row r="208" spans="1:15" x14ac:dyDescent="0.2">
      <c r="A208" t="s">
        <v>742</v>
      </c>
      <c r="B208">
        <v>785</v>
      </c>
      <c r="C208" t="s">
        <v>60</v>
      </c>
      <c r="D208" t="s">
        <v>61</v>
      </c>
      <c r="E208" t="s">
        <v>512</v>
      </c>
      <c r="F208" t="s">
        <v>156</v>
      </c>
      <c r="G208" s="17">
        <v>0</v>
      </c>
      <c r="H208" s="17" t="str">
        <f t="shared" si="9"/>
        <v>180</v>
      </c>
      <c r="I208" s="17">
        <v>1.2</v>
      </c>
      <c r="J208" s="17">
        <v>2.2000000000000002</v>
      </c>
      <c r="K208" s="17">
        <f t="shared" si="10"/>
        <v>783</v>
      </c>
      <c r="L208" s="17">
        <f t="shared" si="11"/>
        <v>787</v>
      </c>
      <c r="M208" s="17">
        <v>0</v>
      </c>
      <c r="N208" s="17">
        <v>50</v>
      </c>
      <c r="O208" s="17">
        <v>0</v>
      </c>
    </row>
    <row r="209" spans="1:15" x14ac:dyDescent="0.2">
      <c r="A209" t="s">
        <v>744</v>
      </c>
      <c r="B209">
        <v>785</v>
      </c>
      <c r="C209" t="s">
        <v>60</v>
      </c>
      <c r="D209" t="s">
        <v>61</v>
      </c>
      <c r="E209" t="s">
        <v>512</v>
      </c>
      <c r="F209" t="s">
        <v>156</v>
      </c>
      <c r="G209" s="17">
        <v>0</v>
      </c>
      <c r="H209" s="17" t="str">
        <f t="shared" si="9"/>
        <v>180</v>
      </c>
      <c r="I209" s="17">
        <v>1.2</v>
      </c>
      <c r="J209" s="17">
        <v>2.2000000000000002</v>
      </c>
      <c r="K209" s="17">
        <f t="shared" si="10"/>
        <v>783</v>
      </c>
      <c r="L209" s="17">
        <f t="shared" si="11"/>
        <v>787</v>
      </c>
      <c r="M209" s="17">
        <v>0</v>
      </c>
      <c r="N209" s="17">
        <v>50</v>
      </c>
      <c r="O209" s="17">
        <v>0</v>
      </c>
    </row>
    <row r="210" spans="1:15" x14ac:dyDescent="0.2">
      <c r="A210" t="s">
        <v>746</v>
      </c>
      <c r="B210">
        <v>785</v>
      </c>
      <c r="C210" t="s">
        <v>60</v>
      </c>
      <c r="D210" t="s">
        <v>156</v>
      </c>
      <c r="E210" t="s">
        <v>89</v>
      </c>
      <c r="F210" t="s">
        <v>156</v>
      </c>
      <c r="G210" s="17">
        <v>0</v>
      </c>
      <c r="H210" s="17" t="str">
        <f t="shared" si="9"/>
        <v>80</v>
      </c>
      <c r="I210" s="17">
        <v>1.2</v>
      </c>
      <c r="J210" s="17">
        <v>2.2000000000000002</v>
      </c>
      <c r="K210" s="17">
        <f t="shared" si="10"/>
        <v>783</v>
      </c>
      <c r="L210" s="17">
        <f t="shared" si="11"/>
        <v>787</v>
      </c>
      <c r="M210" s="17">
        <v>0</v>
      </c>
      <c r="N210" s="17">
        <v>50</v>
      </c>
      <c r="O210" s="17">
        <v>0</v>
      </c>
    </row>
    <row r="211" spans="1:15" x14ac:dyDescent="0.2">
      <c r="A211" t="s">
        <v>748</v>
      </c>
      <c r="B211">
        <v>785</v>
      </c>
      <c r="C211" t="s">
        <v>60</v>
      </c>
      <c r="D211" t="s">
        <v>61</v>
      </c>
      <c r="E211" t="s">
        <v>512</v>
      </c>
      <c r="F211" t="s">
        <v>156</v>
      </c>
      <c r="G211" s="17">
        <v>0</v>
      </c>
      <c r="H211" s="17" t="str">
        <f t="shared" si="9"/>
        <v>180</v>
      </c>
      <c r="I211" s="17">
        <v>1.2</v>
      </c>
      <c r="J211" s="17">
        <v>2.2000000000000002</v>
      </c>
      <c r="K211" s="17">
        <f t="shared" si="10"/>
        <v>783</v>
      </c>
      <c r="L211" s="17">
        <f t="shared" si="11"/>
        <v>787</v>
      </c>
      <c r="M211" s="17">
        <v>0</v>
      </c>
      <c r="N211" s="17">
        <v>50</v>
      </c>
      <c r="O211" s="17">
        <v>0</v>
      </c>
    </row>
    <row r="212" spans="1:15" x14ac:dyDescent="0.2">
      <c r="A212" t="s">
        <v>750</v>
      </c>
      <c r="B212">
        <v>785</v>
      </c>
      <c r="C212" t="s">
        <v>60</v>
      </c>
      <c r="D212" t="s">
        <v>61</v>
      </c>
      <c r="E212" t="s">
        <v>89</v>
      </c>
      <c r="F212" t="s">
        <v>111</v>
      </c>
      <c r="G212" s="17">
        <v>0</v>
      </c>
      <c r="H212" s="17" t="str">
        <f t="shared" si="9"/>
        <v>80</v>
      </c>
      <c r="I212" s="17">
        <v>1.2</v>
      </c>
      <c r="J212" s="17">
        <v>2.2000000000000002</v>
      </c>
      <c r="K212" s="17">
        <f t="shared" si="10"/>
        <v>783</v>
      </c>
      <c r="L212" s="17">
        <f t="shared" si="11"/>
        <v>787</v>
      </c>
      <c r="M212" s="17">
        <v>0</v>
      </c>
      <c r="N212" s="17">
        <v>50</v>
      </c>
      <c r="O212" s="17">
        <v>0</v>
      </c>
    </row>
    <row r="213" spans="1:15" x14ac:dyDescent="0.2">
      <c r="A213" t="s">
        <v>752</v>
      </c>
      <c r="B213">
        <v>785</v>
      </c>
      <c r="C213" t="s">
        <v>60</v>
      </c>
      <c r="D213" t="s">
        <v>61</v>
      </c>
      <c r="E213" t="s">
        <v>62</v>
      </c>
      <c r="F213" t="s">
        <v>111</v>
      </c>
      <c r="G213" s="17">
        <v>0</v>
      </c>
      <c r="H213" s="17" t="str">
        <f t="shared" si="9"/>
        <v>40</v>
      </c>
      <c r="I213" s="17">
        <v>1.2</v>
      </c>
      <c r="J213" s="17">
        <v>2.2000000000000002</v>
      </c>
      <c r="K213" s="17">
        <f t="shared" si="10"/>
        <v>783</v>
      </c>
      <c r="L213" s="17">
        <f t="shared" si="11"/>
        <v>787</v>
      </c>
      <c r="M213" s="17">
        <v>0</v>
      </c>
      <c r="N213" s="17">
        <v>50</v>
      </c>
      <c r="O213" s="17">
        <v>0</v>
      </c>
    </row>
    <row r="214" spans="1:15" x14ac:dyDescent="0.2">
      <c r="A214" t="s">
        <v>754</v>
      </c>
      <c r="B214">
        <v>785</v>
      </c>
      <c r="C214" t="s">
        <v>60</v>
      </c>
      <c r="D214" t="s">
        <v>61</v>
      </c>
      <c r="E214" t="s">
        <v>512</v>
      </c>
      <c r="F214" t="s">
        <v>111</v>
      </c>
      <c r="G214" s="17">
        <v>0</v>
      </c>
      <c r="H214" s="17" t="str">
        <f t="shared" si="9"/>
        <v>180</v>
      </c>
      <c r="I214" s="17">
        <v>1.2</v>
      </c>
      <c r="J214" s="17">
        <v>2.2000000000000002</v>
      </c>
      <c r="K214" s="17">
        <f t="shared" si="10"/>
        <v>783</v>
      </c>
      <c r="L214" s="17">
        <f t="shared" si="11"/>
        <v>787</v>
      </c>
      <c r="M214" s="17">
        <v>0</v>
      </c>
      <c r="N214" s="17">
        <v>50</v>
      </c>
      <c r="O214" s="17">
        <v>0</v>
      </c>
    </row>
    <row r="215" spans="1:15" x14ac:dyDescent="0.2">
      <c r="A215" t="s">
        <v>756</v>
      </c>
      <c r="B215">
        <v>785</v>
      </c>
      <c r="C215" t="s">
        <v>60</v>
      </c>
      <c r="D215" t="s">
        <v>61</v>
      </c>
      <c r="E215" t="s">
        <v>512</v>
      </c>
      <c r="F215" t="s">
        <v>111</v>
      </c>
      <c r="G215" s="17">
        <v>0</v>
      </c>
      <c r="H215" s="17" t="str">
        <f t="shared" si="9"/>
        <v>180</v>
      </c>
      <c r="I215" s="17">
        <v>1.2</v>
      </c>
      <c r="J215" s="17">
        <v>2.2000000000000002</v>
      </c>
      <c r="K215" s="17">
        <f t="shared" si="10"/>
        <v>783</v>
      </c>
      <c r="L215" s="17">
        <f t="shared" si="11"/>
        <v>787</v>
      </c>
      <c r="M215" s="17">
        <v>0</v>
      </c>
      <c r="N215" s="17">
        <v>50</v>
      </c>
      <c r="O215" s="17">
        <v>0</v>
      </c>
    </row>
    <row r="216" spans="1:15" x14ac:dyDescent="0.2">
      <c r="A216" t="s">
        <v>758</v>
      </c>
      <c r="B216">
        <v>785</v>
      </c>
      <c r="C216" t="s">
        <v>60</v>
      </c>
      <c r="D216" t="s">
        <v>61</v>
      </c>
      <c r="E216" t="s">
        <v>512</v>
      </c>
      <c r="F216" t="s">
        <v>111</v>
      </c>
      <c r="G216" s="17">
        <v>0</v>
      </c>
      <c r="H216" s="17" t="str">
        <f t="shared" si="9"/>
        <v>180</v>
      </c>
      <c r="I216" s="17">
        <v>1.2</v>
      </c>
      <c r="J216" s="17">
        <v>2.2000000000000002</v>
      </c>
      <c r="K216" s="17">
        <f t="shared" si="10"/>
        <v>783</v>
      </c>
      <c r="L216" s="17">
        <f t="shared" si="11"/>
        <v>787</v>
      </c>
      <c r="M216" s="17">
        <v>0</v>
      </c>
      <c r="N216" s="17">
        <v>50</v>
      </c>
      <c r="O216" s="17">
        <v>0</v>
      </c>
    </row>
    <row r="217" spans="1:15" x14ac:dyDescent="0.2">
      <c r="A217" t="s">
        <v>760</v>
      </c>
      <c r="B217">
        <v>785</v>
      </c>
      <c r="C217" t="s">
        <v>60</v>
      </c>
      <c r="D217" t="s">
        <v>156</v>
      </c>
      <c r="E217" t="s">
        <v>89</v>
      </c>
      <c r="F217" t="s">
        <v>111</v>
      </c>
      <c r="G217" s="17">
        <v>0</v>
      </c>
      <c r="H217" s="17" t="str">
        <f t="shared" si="9"/>
        <v>80</v>
      </c>
      <c r="I217" s="17">
        <v>1.2</v>
      </c>
      <c r="J217" s="17">
        <v>2.2000000000000002</v>
      </c>
      <c r="K217" s="17">
        <f t="shared" si="10"/>
        <v>783</v>
      </c>
      <c r="L217" s="17">
        <f t="shared" si="11"/>
        <v>787</v>
      </c>
      <c r="M217" s="17">
        <v>0</v>
      </c>
      <c r="N217" s="17">
        <v>50</v>
      </c>
      <c r="O217" s="17">
        <v>0</v>
      </c>
    </row>
    <row r="218" spans="1:15" x14ac:dyDescent="0.2">
      <c r="A218" t="s">
        <v>762</v>
      </c>
      <c r="B218">
        <v>785</v>
      </c>
      <c r="C218" t="s">
        <v>60</v>
      </c>
      <c r="D218" t="s">
        <v>61</v>
      </c>
      <c r="E218" t="s">
        <v>512</v>
      </c>
      <c r="F218" t="s">
        <v>111</v>
      </c>
      <c r="G218" s="17">
        <v>0</v>
      </c>
      <c r="H218" s="17" t="str">
        <f t="shared" si="9"/>
        <v>180</v>
      </c>
      <c r="I218" s="17">
        <v>1.2</v>
      </c>
      <c r="J218" s="17">
        <v>2.2000000000000002</v>
      </c>
      <c r="K218" s="17">
        <f t="shared" si="10"/>
        <v>783</v>
      </c>
      <c r="L218" s="17">
        <f t="shared" si="11"/>
        <v>787</v>
      </c>
      <c r="M218" s="17">
        <v>0</v>
      </c>
      <c r="N218" s="17">
        <v>50</v>
      </c>
      <c r="O218" s="17">
        <v>0</v>
      </c>
    </row>
    <row r="219" spans="1:15" x14ac:dyDescent="0.2">
      <c r="A219" t="s">
        <v>764</v>
      </c>
      <c r="B219">
        <v>785</v>
      </c>
      <c r="C219" t="s">
        <v>60</v>
      </c>
      <c r="D219" t="s">
        <v>61</v>
      </c>
      <c r="E219" t="s">
        <v>512</v>
      </c>
      <c r="F219" t="s">
        <v>306</v>
      </c>
      <c r="G219" s="17">
        <v>0</v>
      </c>
      <c r="H219" s="17" t="str">
        <f t="shared" si="9"/>
        <v>180</v>
      </c>
      <c r="I219" s="17">
        <v>1.2</v>
      </c>
      <c r="J219" s="17">
        <v>2.2000000000000002</v>
      </c>
      <c r="K219" s="17">
        <f t="shared" si="10"/>
        <v>783</v>
      </c>
      <c r="L219" s="17">
        <f t="shared" si="11"/>
        <v>787</v>
      </c>
      <c r="M219" s="17">
        <v>0</v>
      </c>
      <c r="N219" s="17">
        <v>50</v>
      </c>
      <c r="O219" s="17">
        <v>0</v>
      </c>
    </row>
    <row r="220" spans="1:15" x14ac:dyDescent="0.2">
      <c r="A220" t="s">
        <v>766</v>
      </c>
      <c r="B220">
        <v>785</v>
      </c>
      <c r="C220" t="s">
        <v>60</v>
      </c>
      <c r="D220" t="s">
        <v>61</v>
      </c>
      <c r="E220" t="s">
        <v>512</v>
      </c>
      <c r="F220" t="s">
        <v>306</v>
      </c>
      <c r="G220" s="17">
        <v>0</v>
      </c>
      <c r="H220" s="17" t="str">
        <f t="shared" si="9"/>
        <v>180</v>
      </c>
      <c r="I220" s="17">
        <v>1.2</v>
      </c>
      <c r="J220" s="17">
        <v>2.2000000000000002</v>
      </c>
      <c r="K220" s="17">
        <f t="shared" si="10"/>
        <v>783</v>
      </c>
      <c r="L220" s="17">
        <f t="shared" si="11"/>
        <v>787</v>
      </c>
      <c r="M220" s="17">
        <v>0</v>
      </c>
      <c r="N220" s="17">
        <v>50</v>
      </c>
      <c r="O220" s="17">
        <v>0</v>
      </c>
    </row>
    <row r="221" spans="1:15" x14ac:dyDescent="0.2">
      <c r="A221" t="s">
        <v>768</v>
      </c>
      <c r="B221">
        <v>785</v>
      </c>
      <c r="C221" t="s">
        <v>60</v>
      </c>
      <c r="D221" t="s">
        <v>61</v>
      </c>
      <c r="E221" t="s">
        <v>512</v>
      </c>
      <c r="F221" t="s">
        <v>306</v>
      </c>
      <c r="G221" s="17">
        <v>0</v>
      </c>
      <c r="H221" s="17" t="str">
        <f t="shared" si="9"/>
        <v>180</v>
      </c>
      <c r="I221" s="17">
        <v>1.2</v>
      </c>
      <c r="J221" s="17">
        <v>2.2000000000000002</v>
      </c>
      <c r="K221" s="17">
        <f t="shared" si="10"/>
        <v>783</v>
      </c>
      <c r="L221" s="17">
        <f t="shared" si="11"/>
        <v>787</v>
      </c>
      <c r="M221" s="17">
        <v>0</v>
      </c>
      <c r="N221" s="17">
        <v>50</v>
      </c>
      <c r="O221" s="17">
        <v>0</v>
      </c>
    </row>
    <row r="222" spans="1:15" x14ac:dyDescent="0.2">
      <c r="A222" t="s">
        <v>770</v>
      </c>
      <c r="B222">
        <v>785</v>
      </c>
      <c r="C222" t="s">
        <v>60</v>
      </c>
      <c r="D222" t="s">
        <v>156</v>
      </c>
      <c r="E222" t="s">
        <v>89</v>
      </c>
      <c r="F222" t="s">
        <v>306</v>
      </c>
      <c r="G222" s="17">
        <v>0</v>
      </c>
      <c r="H222" s="17" t="str">
        <f t="shared" si="9"/>
        <v>80</v>
      </c>
      <c r="I222" s="17">
        <v>1.2</v>
      </c>
      <c r="J222" s="17">
        <v>2.2000000000000002</v>
      </c>
      <c r="K222" s="17">
        <f t="shared" si="10"/>
        <v>783</v>
      </c>
      <c r="L222" s="17">
        <f t="shared" si="11"/>
        <v>787</v>
      </c>
      <c r="M222" s="17">
        <v>0</v>
      </c>
      <c r="N222" s="17">
        <v>50</v>
      </c>
      <c r="O222" s="17">
        <v>0</v>
      </c>
    </row>
    <row r="223" spans="1:15" x14ac:dyDescent="0.2">
      <c r="A223" t="s">
        <v>772</v>
      </c>
      <c r="B223">
        <v>785</v>
      </c>
      <c r="C223" t="s">
        <v>60</v>
      </c>
      <c r="D223" t="s">
        <v>61</v>
      </c>
      <c r="E223" t="s">
        <v>512</v>
      </c>
      <c r="F223" t="s">
        <v>306</v>
      </c>
      <c r="G223" s="17">
        <v>0</v>
      </c>
      <c r="H223" s="17" t="str">
        <f t="shared" si="9"/>
        <v>180</v>
      </c>
      <c r="I223" s="17">
        <v>1.2</v>
      </c>
      <c r="J223" s="17">
        <v>2.2000000000000002</v>
      </c>
      <c r="K223" s="17">
        <f t="shared" si="10"/>
        <v>783</v>
      </c>
      <c r="L223" s="17">
        <f t="shared" si="11"/>
        <v>787</v>
      </c>
      <c r="M223" s="17">
        <v>0</v>
      </c>
      <c r="N223" s="17">
        <v>50</v>
      </c>
      <c r="O223" s="17">
        <v>0</v>
      </c>
    </row>
    <row r="224" spans="1:15" x14ac:dyDescent="0.2">
      <c r="A224" t="s">
        <v>774</v>
      </c>
      <c r="B224">
        <v>785</v>
      </c>
      <c r="C224" t="s">
        <v>60</v>
      </c>
      <c r="D224" t="s">
        <v>61</v>
      </c>
      <c r="E224" t="s">
        <v>512</v>
      </c>
      <c r="G224" s="17">
        <v>0</v>
      </c>
      <c r="H224" s="17" t="str">
        <f t="shared" si="9"/>
        <v>180</v>
      </c>
      <c r="I224" s="17">
        <v>1.2</v>
      </c>
      <c r="J224" s="17">
        <v>2.2000000000000002</v>
      </c>
      <c r="K224" s="17">
        <f t="shared" si="10"/>
        <v>783</v>
      </c>
      <c r="L224" s="17">
        <f t="shared" si="11"/>
        <v>787</v>
      </c>
      <c r="M224" s="17">
        <v>0</v>
      </c>
      <c r="N224" s="17">
        <v>50</v>
      </c>
      <c r="O224" s="17">
        <v>0</v>
      </c>
    </row>
    <row r="225" spans="1:15" x14ac:dyDescent="0.2">
      <c r="A225" t="s">
        <v>776</v>
      </c>
      <c r="B225">
        <v>785</v>
      </c>
      <c r="C225" t="s">
        <v>60</v>
      </c>
      <c r="D225" t="s">
        <v>156</v>
      </c>
      <c r="E225" t="s">
        <v>89</v>
      </c>
      <c r="G225" s="17">
        <v>0</v>
      </c>
      <c r="H225" s="17" t="str">
        <f t="shared" si="9"/>
        <v>80</v>
      </c>
      <c r="I225" s="17">
        <v>1.2</v>
      </c>
      <c r="J225" s="17">
        <v>2.2000000000000002</v>
      </c>
      <c r="K225" s="17">
        <f t="shared" si="10"/>
        <v>783</v>
      </c>
      <c r="L225" s="17">
        <f t="shared" si="11"/>
        <v>787</v>
      </c>
      <c r="M225" s="17">
        <v>0</v>
      </c>
      <c r="N225" s="17">
        <v>50</v>
      </c>
      <c r="O225" s="17">
        <v>0</v>
      </c>
    </row>
    <row r="226" spans="1:15" x14ac:dyDescent="0.2">
      <c r="A226" t="s">
        <v>778</v>
      </c>
      <c r="B226">
        <v>785</v>
      </c>
      <c r="C226" t="s">
        <v>60</v>
      </c>
      <c r="D226" t="s">
        <v>61</v>
      </c>
      <c r="E226" t="s">
        <v>512</v>
      </c>
      <c r="G226" s="17">
        <v>0</v>
      </c>
      <c r="H226" s="17" t="str">
        <f t="shared" si="9"/>
        <v>180</v>
      </c>
      <c r="I226" s="17">
        <v>1.2</v>
      </c>
      <c r="J226" s="17">
        <v>2.2000000000000002</v>
      </c>
      <c r="K226" s="17">
        <f t="shared" si="10"/>
        <v>783</v>
      </c>
      <c r="L226" s="17">
        <f t="shared" si="11"/>
        <v>787</v>
      </c>
      <c r="M226" s="17">
        <v>0</v>
      </c>
      <c r="N226" s="17">
        <v>50</v>
      </c>
      <c r="O226" s="17">
        <v>0</v>
      </c>
    </row>
    <row r="227" spans="1:15" x14ac:dyDescent="0.2">
      <c r="A227" t="s">
        <v>780</v>
      </c>
      <c r="B227">
        <v>785</v>
      </c>
      <c r="C227" t="s">
        <v>60</v>
      </c>
      <c r="D227" t="s">
        <v>156</v>
      </c>
      <c r="E227" t="s">
        <v>89</v>
      </c>
      <c r="G227" s="17">
        <v>0</v>
      </c>
      <c r="H227" s="17" t="str">
        <f t="shared" si="9"/>
        <v>80</v>
      </c>
      <c r="I227" s="17">
        <v>1.2</v>
      </c>
      <c r="J227" s="17">
        <v>2.2000000000000002</v>
      </c>
      <c r="K227" s="17">
        <f t="shared" si="10"/>
        <v>783</v>
      </c>
      <c r="L227" s="17">
        <f t="shared" si="11"/>
        <v>787</v>
      </c>
      <c r="M227" s="17">
        <v>0</v>
      </c>
      <c r="N227" s="17">
        <v>50</v>
      </c>
      <c r="O227" s="17">
        <v>0</v>
      </c>
    </row>
    <row r="228" spans="1:15" x14ac:dyDescent="0.2">
      <c r="A228" t="s">
        <v>782</v>
      </c>
      <c r="B228">
        <v>785</v>
      </c>
      <c r="C228" t="s">
        <v>60</v>
      </c>
      <c r="D228" t="s">
        <v>156</v>
      </c>
      <c r="E228" t="s">
        <v>62</v>
      </c>
      <c r="G228" s="17">
        <v>0</v>
      </c>
      <c r="H228" s="17" t="str">
        <f t="shared" si="9"/>
        <v>40</v>
      </c>
      <c r="I228" s="17">
        <v>1.2</v>
      </c>
      <c r="J228" s="17">
        <v>2.2000000000000002</v>
      </c>
      <c r="K228" s="17">
        <f t="shared" si="10"/>
        <v>783</v>
      </c>
      <c r="L228" s="17">
        <f t="shared" si="11"/>
        <v>787</v>
      </c>
      <c r="M228" s="17">
        <v>0</v>
      </c>
      <c r="N228" s="17">
        <v>50</v>
      </c>
      <c r="O228" s="17">
        <v>0</v>
      </c>
    </row>
    <row r="229" spans="1:15" x14ac:dyDescent="0.2">
      <c r="A229" t="s">
        <v>784</v>
      </c>
      <c r="B229">
        <v>785</v>
      </c>
      <c r="C229" t="s">
        <v>60</v>
      </c>
      <c r="D229" t="s">
        <v>156</v>
      </c>
      <c r="E229" t="s">
        <v>80</v>
      </c>
      <c r="G229" s="17">
        <v>0</v>
      </c>
      <c r="H229" s="17" t="str">
        <f t="shared" si="9"/>
        <v>10</v>
      </c>
      <c r="I229" s="17">
        <v>1.2</v>
      </c>
      <c r="J229" s="17">
        <v>2.2000000000000002</v>
      </c>
      <c r="K229" s="17">
        <f t="shared" si="10"/>
        <v>783</v>
      </c>
      <c r="L229" s="17">
        <f t="shared" si="11"/>
        <v>787</v>
      </c>
      <c r="M229" s="17">
        <v>0</v>
      </c>
      <c r="N229" s="17">
        <v>50</v>
      </c>
      <c r="O229" s="17">
        <v>0</v>
      </c>
    </row>
    <row r="230" spans="1:15" x14ac:dyDescent="0.2">
      <c r="A230" t="s">
        <v>786</v>
      </c>
      <c r="B230">
        <v>785</v>
      </c>
      <c r="C230" t="s">
        <v>60</v>
      </c>
      <c r="D230" t="s">
        <v>156</v>
      </c>
      <c r="E230" t="s">
        <v>89</v>
      </c>
      <c r="G230" s="17">
        <v>0</v>
      </c>
      <c r="H230" s="17" t="str">
        <f t="shared" si="9"/>
        <v>80</v>
      </c>
      <c r="I230" s="17">
        <v>1.2</v>
      </c>
      <c r="J230" s="17">
        <v>2.2000000000000002</v>
      </c>
      <c r="K230" s="17">
        <f t="shared" si="10"/>
        <v>783</v>
      </c>
      <c r="L230" s="17">
        <f t="shared" si="11"/>
        <v>787</v>
      </c>
      <c r="M230" s="17">
        <v>0</v>
      </c>
      <c r="N230" s="17">
        <v>50</v>
      </c>
      <c r="O230" s="17">
        <v>0</v>
      </c>
    </row>
    <row r="231" spans="1:15" x14ac:dyDescent="0.2">
      <c r="A231" t="s">
        <v>788</v>
      </c>
      <c r="B231">
        <v>785</v>
      </c>
      <c r="C231" t="s">
        <v>60</v>
      </c>
      <c r="D231" t="s">
        <v>156</v>
      </c>
      <c r="E231" t="s">
        <v>89</v>
      </c>
      <c r="G231" s="17">
        <v>0</v>
      </c>
      <c r="H231" s="17" t="str">
        <f t="shared" si="9"/>
        <v>80</v>
      </c>
      <c r="I231" s="17">
        <v>1.2</v>
      </c>
      <c r="J231" s="17">
        <v>2.2000000000000002</v>
      </c>
      <c r="K231" s="17">
        <f t="shared" si="10"/>
        <v>783</v>
      </c>
      <c r="L231" s="17">
        <f t="shared" si="11"/>
        <v>787</v>
      </c>
      <c r="M231" s="17">
        <v>0</v>
      </c>
      <c r="N231" s="17">
        <v>50</v>
      </c>
      <c r="O231" s="17">
        <v>0</v>
      </c>
    </row>
    <row r="232" spans="1:15" x14ac:dyDescent="0.2">
      <c r="A232" t="s">
        <v>790</v>
      </c>
      <c r="B232">
        <v>785</v>
      </c>
      <c r="C232" t="s">
        <v>60</v>
      </c>
      <c r="D232" t="s">
        <v>156</v>
      </c>
      <c r="E232" t="s">
        <v>89</v>
      </c>
      <c r="F232" t="s">
        <v>156</v>
      </c>
      <c r="G232" s="17">
        <v>0</v>
      </c>
      <c r="H232" s="17" t="str">
        <f t="shared" si="9"/>
        <v>80</v>
      </c>
      <c r="I232" s="17">
        <v>1.2</v>
      </c>
      <c r="J232" s="17">
        <v>2.2000000000000002</v>
      </c>
      <c r="K232" s="17">
        <f t="shared" si="10"/>
        <v>783</v>
      </c>
      <c r="L232" s="17">
        <f t="shared" si="11"/>
        <v>787</v>
      </c>
      <c r="M232" s="17">
        <v>0</v>
      </c>
      <c r="N232" s="17">
        <v>50</v>
      </c>
      <c r="O232" s="17">
        <v>0</v>
      </c>
    </row>
    <row r="233" spans="1:15" x14ac:dyDescent="0.2">
      <c r="A233" t="s">
        <v>792</v>
      </c>
      <c r="B233">
        <v>785</v>
      </c>
      <c r="C233" t="s">
        <v>60</v>
      </c>
      <c r="D233" t="s">
        <v>156</v>
      </c>
      <c r="E233" t="s">
        <v>89</v>
      </c>
      <c r="F233" t="s">
        <v>156</v>
      </c>
      <c r="G233" s="17">
        <v>0</v>
      </c>
      <c r="H233" s="17" t="str">
        <f t="shared" si="9"/>
        <v>80</v>
      </c>
      <c r="I233" s="17">
        <v>1.2</v>
      </c>
      <c r="J233" s="17">
        <v>2.2000000000000002</v>
      </c>
      <c r="K233" s="17">
        <f t="shared" si="10"/>
        <v>783</v>
      </c>
      <c r="L233" s="17">
        <f t="shared" si="11"/>
        <v>787</v>
      </c>
      <c r="M233" s="17">
        <v>0</v>
      </c>
      <c r="N233" s="17">
        <v>50</v>
      </c>
      <c r="O233" s="17">
        <v>0</v>
      </c>
    </row>
    <row r="234" spans="1:15" x14ac:dyDescent="0.2">
      <c r="A234" t="s">
        <v>794</v>
      </c>
      <c r="B234">
        <v>785</v>
      </c>
      <c r="C234" t="s">
        <v>60</v>
      </c>
      <c r="D234" t="s">
        <v>156</v>
      </c>
      <c r="E234" t="s">
        <v>89</v>
      </c>
      <c r="F234" t="s">
        <v>156</v>
      </c>
      <c r="G234" s="17">
        <v>0</v>
      </c>
      <c r="H234" s="17" t="str">
        <f t="shared" si="9"/>
        <v>80</v>
      </c>
      <c r="I234" s="17">
        <v>1.2</v>
      </c>
      <c r="J234" s="17">
        <v>2.2000000000000002</v>
      </c>
      <c r="K234" s="17">
        <f t="shared" si="10"/>
        <v>783</v>
      </c>
      <c r="L234" s="17">
        <f t="shared" si="11"/>
        <v>787</v>
      </c>
      <c r="M234" s="17">
        <v>0</v>
      </c>
      <c r="N234" s="17">
        <v>50</v>
      </c>
      <c r="O234" s="17">
        <v>0</v>
      </c>
    </row>
    <row r="235" spans="1:15" x14ac:dyDescent="0.2">
      <c r="A235" t="s">
        <v>796</v>
      </c>
      <c r="B235">
        <v>785</v>
      </c>
      <c r="C235" t="s">
        <v>60</v>
      </c>
      <c r="D235" t="s">
        <v>156</v>
      </c>
      <c r="E235" t="s">
        <v>62</v>
      </c>
      <c r="F235" t="s">
        <v>111</v>
      </c>
      <c r="G235" s="17">
        <v>0</v>
      </c>
      <c r="H235" s="17" t="str">
        <f t="shared" si="9"/>
        <v>40</v>
      </c>
      <c r="I235" s="17">
        <v>1.2</v>
      </c>
      <c r="J235" s="17">
        <v>2.2000000000000002</v>
      </c>
      <c r="K235" s="17">
        <f t="shared" si="10"/>
        <v>783</v>
      </c>
      <c r="L235" s="17">
        <f t="shared" si="11"/>
        <v>787</v>
      </c>
      <c r="M235" s="17">
        <v>0</v>
      </c>
      <c r="N235" s="17">
        <v>50</v>
      </c>
      <c r="O235" s="17">
        <v>0</v>
      </c>
    </row>
    <row r="236" spans="1:15" x14ac:dyDescent="0.2">
      <c r="A236" t="s">
        <v>798</v>
      </c>
      <c r="B236">
        <v>785</v>
      </c>
      <c r="C236" t="s">
        <v>60</v>
      </c>
      <c r="D236" t="s">
        <v>156</v>
      </c>
      <c r="E236" t="s">
        <v>80</v>
      </c>
      <c r="F236" t="s">
        <v>111</v>
      </c>
      <c r="G236" s="17">
        <v>0</v>
      </c>
      <c r="H236" s="17" t="str">
        <f t="shared" si="9"/>
        <v>10</v>
      </c>
      <c r="I236" s="17">
        <v>1.2</v>
      </c>
      <c r="J236" s="17">
        <v>2.2000000000000002</v>
      </c>
      <c r="K236" s="17">
        <f t="shared" si="10"/>
        <v>783</v>
      </c>
      <c r="L236" s="17">
        <f t="shared" si="11"/>
        <v>787</v>
      </c>
      <c r="M236" s="17">
        <v>0</v>
      </c>
      <c r="N236" s="17">
        <v>50</v>
      </c>
      <c r="O236" s="17">
        <v>0</v>
      </c>
    </row>
    <row r="237" spans="1:15" x14ac:dyDescent="0.2">
      <c r="A237" t="s">
        <v>800</v>
      </c>
      <c r="B237">
        <v>785</v>
      </c>
      <c r="C237" t="s">
        <v>60</v>
      </c>
      <c r="D237" t="s">
        <v>156</v>
      </c>
      <c r="E237" t="s">
        <v>89</v>
      </c>
      <c r="F237" t="s">
        <v>111</v>
      </c>
      <c r="G237" s="17">
        <v>0</v>
      </c>
      <c r="H237" s="17" t="str">
        <f t="shared" si="9"/>
        <v>80</v>
      </c>
      <c r="I237" s="17">
        <v>1.2</v>
      </c>
      <c r="J237" s="17">
        <v>2.2000000000000002</v>
      </c>
      <c r="K237" s="17">
        <f t="shared" si="10"/>
        <v>783</v>
      </c>
      <c r="L237" s="17">
        <f t="shared" si="11"/>
        <v>787</v>
      </c>
      <c r="M237" s="17">
        <v>0</v>
      </c>
      <c r="N237" s="17">
        <v>50</v>
      </c>
      <c r="O237" s="17">
        <v>0</v>
      </c>
    </row>
    <row r="238" spans="1:15" x14ac:dyDescent="0.2">
      <c r="A238" t="s">
        <v>802</v>
      </c>
      <c r="B238">
        <v>785</v>
      </c>
      <c r="C238" t="s">
        <v>60</v>
      </c>
      <c r="D238" t="s">
        <v>156</v>
      </c>
      <c r="E238" t="s">
        <v>89</v>
      </c>
      <c r="F238" t="s">
        <v>111</v>
      </c>
      <c r="G238" s="17">
        <v>0</v>
      </c>
      <c r="H238" s="17" t="str">
        <f t="shared" si="9"/>
        <v>80</v>
      </c>
      <c r="I238" s="17">
        <v>1.2</v>
      </c>
      <c r="J238" s="17">
        <v>2.2000000000000002</v>
      </c>
      <c r="K238" s="17">
        <f t="shared" si="10"/>
        <v>783</v>
      </c>
      <c r="L238" s="17">
        <f t="shared" si="11"/>
        <v>787</v>
      </c>
      <c r="M238" s="17">
        <v>0</v>
      </c>
      <c r="N238" s="17">
        <v>50</v>
      </c>
      <c r="O238" s="17">
        <v>0</v>
      </c>
    </row>
    <row r="239" spans="1:15" x14ac:dyDescent="0.2">
      <c r="A239" t="s">
        <v>804</v>
      </c>
      <c r="B239">
        <v>785</v>
      </c>
      <c r="C239" t="s">
        <v>60</v>
      </c>
      <c r="D239" t="s">
        <v>156</v>
      </c>
      <c r="E239" t="s">
        <v>89</v>
      </c>
      <c r="F239" t="s">
        <v>111</v>
      </c>
      <c r="G239" s="17">
        <v>0</v>
      </c>
      <c r="H239" s="17" t="str">
        <f t="shared" si="9"/>
        <v>80</v>
      </c>
      <c r="I239" s="17">
        <v>1.2</v>
      </c>
      <c r="J239" s="17">
        <v>2.2000000000000002</v>
      </c>
      <c r="K239" s="17">
        <f t="shared" si="10"/>
        <v>783</v>
      </c>
      <c r="L239" s="17">
        <f t="shared" si="11"/>
        <v>787</v>
      </c>
      <c r="M239" s="17">
        <v>0</v>
      </c>
      <c r="N239" s="17">
        <v>50</v>
      </c>
      <c r="O239" s="17">
        <v>0</v>
      </c>
    </row>
    <row r="240" spans="1:15" x14ac:dyDescent="0.2">
      <c r="A240" t="s">
        <v>806</v>
      </c>
      <c r="B240">
        <v>785</v>
      </c>
      <c r="C240" t="s">
        <v>60</v>
      </c>
      <c r="D240" t="s">
        <v>156</v>
      </c>
      <c r="E240" t="s">
        <v>89</v>
      </c>
      <c r="F240" t="s">
        <v>306</v>
      </c>
      <c r="G240" s="17">
        <v>0</v>
      </c>
      <c r="H240" s="17" t="str">
        <f t="shared" si="9"/>
        <v>80</v>
      </c>
      <c r="I240" s="17">
        <v>1.2</v>
      </c>
      <c r="J240" s="17">
        <v>2.2000000000000002</v>
      </c>
      <c r="K240" s="17">
        <f t="shared" si="10"/>
        <v>783</v>
      </c>
      <c r="L240" s="17">
        <f t="shared" si="11"/>
        <v>787</v>
      </c>
      <c r="M240" s="17">
        <v>0</v>
      </c>
      <c r="N240" s="17">
        <v>50</v>
      </c>
      <c r="O240" s="17">
        <v>0</v>
      </c>
    </row>
    <row r="241" spans="1:15" x14ac:dyDescent="0.2">
      <c r="A241" t="s">
        <v>808</v>
      </c>
      <c r="B241">
        <v>785</v>
      </c>
      <c r="C241" t="s">
        <v>60</v>
      </c>
      <c r="D241" t="s">
        <v>156</v>
      </c>
      <c r="E241" t="s">
        <v>89</v>
      </c>
      <c r="F241" t="s">
        <v>306</v>
      </c>
      <c r="G241" s="17">
        <v>0</v>
      </c>
      <c r="H241" s="17" t="str">
        <f t="shared" si="9"/>
        <v>80</v>
      </c>
      <c r="I241" s="17">
        <v>1.2</v>
      </c>
      <c r="J241" s="17">
        <v>2.2000000000000002</v>
      </c>
      <c r="K241" s="17">
        <f t="shared" si="10"/>
        <v>783</v>
      </c>
      <c r="L241" s="17">
        <f t="shared" si="11"/>
        <v>787</v>
      </c>
      <c r="M241" s="17">
        <v>0</v>
      </c>
      <c r="N241" s="17">
        <v>50</v>
      </c>
      <c r="O241" s="17">
        <v>0</v>
      </c>
    </row>
    <row r="242" spans="1:15" x14ac:dyDescent="0.2">
      <c r="A242" t="s">
        <v>810</v>
      </c>
      <c r="B242">
        <v>785</v>
      </c>
      <c r="C242" t="s">
        <v>60</v>
      </c>
      <c r="D242" t="s">
        <v>156</v>
      </c>
      <c r="E242" t="s">
        <v>89</v>
      </c>
      <c r="F242" t="s">
        <v>306</v>
      </c>
      <c r="G242" s="17">
        <v>0</v>
      </c>
      <c r="H242" s="17" t="str">
        <f t="shared" si="9"/>
        <v>80</v>
      </c>
      <c r="I242" s="17">
        <v>1.2</v>
      </c>
      <c r="J242" s="17">
        <v>2.2000000000000002</v>
      </c>
      <c r="K242" s="17">
        <f t="shared" si="10"/>
        <v>783</v>
      </c>
      <c r="L242" s="17">
        <f t="shared" si="11"/>
        <v>787</v>
      </c>
      <c r="M242" s="17">
        <v>0</v>
      </c>
      <c r="N242" s="17">
        <v>50</v>
      </c>
      <c r="O242" s="17">
        <v>0</v>
      </c>
    </row>
    <row r="243" spans="1:15" x14ac:dyDescent="0.2">
      <c r="A243" t="s">
        <v>812</v>
      </c>
      <c r="B243">
        <v>785</v>
      </c>
      <c r="C243" t="s">
        <v>60</v>
      </c>
      <c r="D243" t="s">
        <v>156</v>
      </c>
      <c r="E243" t="s">
        <v>89</v>
      </c>
      <c r="G243" s="17">
        <v>0</v>
      </c>
      <c r="H243" s="17" t="str">
        <f t="shared" si="9"/>
        <v>80</v>
      </c>
      <c r="I243" s="17">
        <v>1.2</v>
      </c>
      <c r="J243" s="17">
        <v>2.2000000000000002</v>
      </c>
      <c r="K243" s="17">
        <f t="shared" si="10"/>
        <v>783</v>
      </c>
      <c r="L243" s="17">
        <f t="shared" si="11"/>
        <v>787</v>
      </c>
      <c r="M243" s="17">
        <v>0</v>
      </c>
      <c r="N243" s="17">
        <v>50</v>
      </c>
      <c r="O243" s="17">
        <v>0</v>
      </c>
    </row>
    <row r="244" spans="1:15" x14ac:dyDescent="0.2">
      <c r="A244" t="s">
        <v>814</v>
      </c>
      <c r="B244" t="s">
        <v>815</v>
      </c>
      <c r="C244" t="s">
        <v>60</v>
      </c>
      <c r="D244" t="s">
        <v>61</v>
      </c>
      <c r="E244" t="s">
        <v>271</v>
      </c>
      <c r="F244" t="s">
        <v>159</v>
      </c>
      <c r="G244" s="17">
        <v>0</v>
      </c>
      <c r="H244" s="17" t="str">
        <f t="shared" si="9"/>
        <v>60</v>
      </c>
      <c r="I244" s="17">
        <v>1.2</v>
      </c>
      <c r="J244" s="17">
        <v>2.2000000000000002</v>
      </c>
      <c r="K244" s="17">
        <f t="shared" si="10"/>
        <v>758</v>
      </c>
      <c r="L244" s="17">
        <f t="shared" si="11"/>
        <v>762</v>
      </c>
      <c r="M244" s="17">
        <v>0</v>
      </c>
      <c r="N244" s="17">
        <v>50</v>
      </c>
      <c r="O244" s="17">
        <v>0</v>
      </c>
    </row>
    <row r="245" spans="1:15" x14ac:dyDescent="0.2">
      <c r="A245" t="s">
        <v>817</v>
      </c>
      <c r="B245" t="s">
        <v>329</v>
      </c>
      <c r="C245" t="s">
        <v>60</v>
      </c>
      <c r="D245" t="s">
        <v>61</v>
      </c>
      <c r="E245" t="s">
        <v>89</v>
      </c>
      <c r="F245" t="s">
        <v>159</v>
      </c>
      <c r="G245" s="17">
        <v>0</v>
      </c>
      <c r="H245" s="17" t="str">
        <f t="shared" si="9"/>
        <v>80</v>
      </c>
      <c r="I245" s="17">
        <v>1.2</v>
      </c>
      <c r="J245" s="17">
        <v>2.2000000000000002</v>
      </c>
      <c r="K245" s="17">
        <f t="shared" si="10"/>
        <v>764.7</v>
      </c>
      <c r="L245" s="17">
        <f t="shared" si="11"/>
        <v>768.7</v>
      </c>
      <c r="M245" s="17">
        <v>0</v>
      </c>
      <c r="N245" s="17">
        <v>50</v>
      </c>
      <c r="O245" s="17">
        <v>0</v>
      </c>
    </row>
    <row r="246" spans="1:15" x14ac:dyDescent="0.2">
      <c r="A246" t="s">
        <v>819</v>
      </c>
      <c r="B246">
        <v>794.97799999999995</v>
      </c>
      <c r="C246" t="s">
        <v>60</v>
      </c>
      <c r="D246" t="s">
        <v>61</v>
      </c>
      <c r="E246" t="s">
        <v>89</v>
      </c>
      <c r="G246" s="17">
        <v>0</v>
      </c>
      <c r="H246" s="17" t="str">
        <f t="shared" si="9"/>
        <v>80</v>
      </c>
      <c r="I246" s="17">
        <v>1.2</v>
      </c>
      <c r="J246" s="17">
        <v>2.2000000000000002</v>
      </c>
      <c r="K246" s="17">
        <f t="shared" si="10"/>
        <v>792.97799999999995</v>
      </c>
      <c r="L246" s="17">
        <f t="shared" si="11"/>
        <v>796.97799999999995</v>
      </c>
      <c r="M246" s="17">
        <v>0</v>
      </c>
      <c r="N246" s="17">
        <v>50</v>
      </c>
      <c r="O246" s="17">
        <v>0</v>
      </c>
    </row>
    <row r="247" spans="1:15" x14ac:dyDescent="0.2">
      <c r="A247" t="s">
        <v>823</v>
      </c>
      <c r="B247">
        <v>794.97799999999995</v>
      </c>
      <c r="C247" t="s">
        <v>60</v>
      </c>
      <c r="D247" t="s">
        <v>61</v>
      </c>
      <c r="E247" t="s">
        <v>62</v>
      </c>
      <c r="G247" s="17">
        <v>0</v>
      </c>
      <c r="H247" s="17" t="str">
        <f t="shared" si="9"/>
        <v>40</v>
      </c>
      <c r="I247" s="17">
        <v>1.2</v>
      </c>
      <c r="J247" s="17">
        <v>2.2000000000000002</v>
      </c>
      <c r="K247" s="17">
        <f t="shared" si="10"/>
        <v>792.97799999999995</v>
      </c>
      <c r="L247" s="17">
        <f t="shared" si="11"/>
        <v>796.97799999999995</v>
      </c>
      <c r="M247" s="17">
        <v>0</v>
      </c>
      <c r="N247" s="17">
        <v>50</v>
      </c>
      <c r="O247" s="17">
        <v>0</v>
      </c>
    </row>
    <row r="248" spans="1:15" x14ac:dyDescent="0.2">
      <c r="A248" t="s">
        <v>825</v>
      </c>
      <c r="B248">
        <v>794.97799999999995</v>
      </c>
      <c r="C248" t="s">
        <v>60</v>
      </c>
      <c r="D248" t="s">
        <v>61</v>
      </c>
      <c r="E248" t="s">
        <v>512</v>
      </c>
      <c r="G248" s="17">
        <v>0</v>
      </c>
      <c r="H248" s="17" t="str">
        <f t="shared" si="9"/>
        <v>180</v>
      </c>
      <c r="I248" s="17">
        <v>1.2</v>
      </c>
      <c r="J248" s="17">
        <v>2.2000000000000002</v>
      </c>
      <c r="K248" s="17">
        <f t="shared" si="10"/>
        <v>792.97799999999995</v>
      </c>
      <c r="L248" s="17">
        <f t="shared" si="11"/>
        <v>796.97799999999995</v>
      </c>
      <c r="M248" s="17">
        <v>0</v>
      </c>
      <c r="N248" s="17">
        <v>50</v>
      </c>
      <c r="O248" s="17">
        <v>0</v>
      </c>
    </row>
    <row r="249" spans="1:15" x14ac:dyDescent="0.2">
      <c r="A249" t="s">
        <v>827</v>
      </c>
      <c r="B249">
        <v>794.97799999999995</v>
      </c>
      <c r="C249" t="s">
        <v>60</v>
      </c>
      <c r="D249" t="s">
        <v>61</v>
      </c>
      <c r="E249" t="s">
        <v>512</v>
      </c>
      <c r="G249" s="17">
        <v>0</v>
      </c>
      <c r="H249" s="17" t="str">
        <f t="shared" si="9"/>
        <v>180</v>
      </c>
      <c r="I249" s="17">
        <v>1.2</v>
      </c>
      <c r="J249" s="17">
        <v>2.2000000000000002</v>
      </c>
      <c r="K249" s="17">
        <f t="shared" si="10"/>
        <v>792.97799999999995</v>
      </c>
      <c r="L249" s="17">
        <f t="shared" si="11"/>
        <v>796.97799999999995</v>
      </c>
      <c r="M249" s="17">
        <v>0</v>
      </c>
      <c r="N249" s="17">
        <v>50</v>
      </c>
      <c r="O249" s="17">
        <v>0</v>
      </c>
    </row>
    <row r="250" spans="1:15" x14ac:dyDescent="0.2">
      <c r="A250" t="s">
        <v>829</v>
      </c>
      <c r="B250">
        <v>794.97799999999995</v>
      </c>
      <c r="C250" t="s">
        <v>60</v>
      </c>
      <c r="D250" t="s">
        <v>61</v>
      </c>
      <c r="E250" t="s">
        <v>512</v>
      </c>
      <c r="F250" t="s">
        <v>156</v>
      </c>
      <c r="G250" s="17">
        <v>0</v>
      </c>
      <c r="H250" s="17" t="str">
        <f t="shared" si="9"/>
        <v>180</v>
      </c>
      <c r="I250" s="17">
        <v>1.2</v>
      </c>
      <c r="J250" s="17">
        <v>2.2000000000000002</v>
      </c>
      <c r="K250" s="17">
        <f t="shared" si="10"/>
        <v>792.97799999999995</v>
      </c>
      <c r="L250" s="17">
        <f t="shared" si="11"/>
        <v>796.97799999999995</v>
      </c>
      <c r="M250" s="17">
        <v>0</v>
      </c>
      <c r="N250" s="17">
        <v>50</v>
      </c>
      <c r="O250" s="17">
        <v>0</v>
      </c>
    </row>
    <row r="251" spans="1:15" x14ac:dyDescent="0.2">
      <c r="A251" t="s">
        <v>831</v>
      </c>
      <c r="B251">
        <v>794.97799999999995</v>
      </c>
      <c r="C251" t="s">
        <v>60</v>
      </c>
      <c r="D251" t="s">
        <v>61</v>
      </c>
      <c r="E251" t="s">
        <v>512</v>
      </c>
      <c r="F251" t="s">
        <v>156</v>
      </c>
      <c r="G251" s="17">
        <v>0</v>
      </c>
      <c r="H251" s="17" t="str">
        <f t="shared" si="9"/>
        <v>180</v>
      </c>
      <c r="I251" s="17">
        <v>1.2</v>
      </c>
      <c r="J251" s="17">
        <v>2.2000000000000002</v>
      </c>
      <c r="K251" s="17">
        <f t="shared" si="10"/>
        <v>792.97799999999995</v>
      </c>
      <c r="L251" s="17">
        <f t="shared" si="11"/>
        <v>796.97799999999995</v>
      </c>
      <c r="M251" s="17">
        <v>0</v>
      </c>
      <c r="N251" s="17">
        <v>50</v>
      </c>
      <c r="O251" s="17">
        <v>0</v>
      </c>
    </row>
    <row r="252" spans="1:15" x14ac:dyDescent="0.2">
      <c r="A252" t="s">
        <v>833</v>
      </c>
      <c r="B252">
        <v>794.97799999999995</v>
      </c>
      <c r="C252" t="s">
        <v>60</v>
      </c>
      <c r="D252" t="s">
        <v>61</v>
      </c>
      <c r="E252" t="s">
        <v>512</v>
      </c>
      <c r="F252" t="s">
        <v>156</v>
      </c>
      <c r="G252" s="17">
        <v>0</v>
      </c>
      <c r="H252" s="17" t="str">
        <f t="shared" si="9"/>
        <v>180</v>
      </c>
      <c r="I252" s="17">
        <v>1.2</v>
      </c>
      <c r="J252" s="17">
        <v>2.2000000000000002</v>
      </c>
      <c r="K252" s="17">
        <f t="shared" si="10"/>
        <v>792.97799999999995</v>
      </c>
      <c r="L252" s="17">
        <f t="shared" si="11"/>
        <v>796.97799999999995</v>
      </c>
      <c r="M252" s="17">
        <v>0</v>
      </c>
      <c r="N252" s="17">
        <v>50</v>
      </c>
      <c r="O252" s="17">
        <v>0</v>
      </c>
    </row>
    <row r="253" spans="1:15" x14ac:dyDescent="0.2">
      <c r="A253" t="s">
        <v>835</v>
      </c>
      <c r="B253">
        <v>794.97799999999995</v>
      </c>
      <c r="C253" t="s">
        <v>60</v>
      </c>
      <c r="D253" t="s">
        <v>156</v>
      </c>
      <c r="E253" t="s">
        <v>89</v>
      </c>
      <c r="F253" t="s">
        <v>156</v>
      </c>
      <c r="G253" s="17">
        <v>0</v>
      </c>
      <c r="H253" s="17" t="str">
        <f t="shared" si="9"/>
        <v>80</v>
      </c>
      <c r="I253" s="17">
        <v>1.2</v>
      </c>
      <c r="J253" s="17">
        <v>2.2000000000000002</v>
      </c>
      <c r="K253" s="17">
        <f t="shared" si="10"/>
        <v>792.97799999999995</v>
      </c>
      <c r="L253" s="17">
        <f t="shared" si="11"/>
        <v>796.97799999999995</v>
      </c>
      <c r="M253" s="17">
        <v>0</v>
      </c>
      <c r="N253" s="17">
        <v>50</v>
      </c>
      <c r="O253" s="17">
        <v>0</v>
      </c>
    </row>
    <row r="254" spans="1:15" x14ac:dyDescent="0.2">
      <c r="A254" t="s">
        <v>837</v>
      </c>
      <c r="B254">
        <v>794.97799999999995</v>
      </c>
      <c r="C254" t="s">
        <v>60</v>
      </c>
      <c r="D254" t="s">
        <v>61</v>
      </c>
      <c r="E254" t="s">
        <v>512</v>
      </c>
      <c r="F254" t="s">
        <v>156</v>
      </c>
      <c r="G254" s="17">
        <v>0</v>
      </c>
      <c r="H254" s="17" t="str">
        <f t="shared" si="9"/>
        <v>180</v>
      </c>
      <c r="I254" s="17">
        <v>1.2</v>
      </c>
      <c r="J254" s="17">
        <v>2.2000000000000002</v>
      </c>
      <c r="K254" s="17">
        <f t="shared" si="10"/>
        <v>792.97799999999995</v>
      </c>
      <c r="L254" s="17">
        <f t="shared" si="11"/>
        <v>796.97799999999995</v>
      </c>
      <c r="M254" s="17">
        <v>0</v>
      </c>
      <c r="N254" s="17">
        <v>50</v>
      </c>
      <c r="O254" s="17">
        <v>0</v>
      </c>
    </row>
    <row r="255" spans="1:15" x14ac:dyDescent="0.2">
      <c r="A255" t="s">
        <v>839</v>
      </c>
      <c r="B255">
        <v>794.97799999999995</v>
      </c>
      <c r="C255" t="s">
        <v>60</v>
      </c>
      <c r="D255" t="s">
        <v>612</v>
      </c>
      <c r="E255" t="s">
        <v>613</v>
      </c>
      <c r="F255" t="s">
        <v>156</v>
      </c>
      <c r="G255" s="17">
        <v>0</v>
      </c>
      <c r="H255" s="17" t="str">
        <f t="shared" si="9"/>
        <v>30</v>
      </c>
      <c r="I255" s="17">
        <v>1.2</v>
      </c>
      <c r="J255" s="17">
        <v>2.2000000000000002</v>
      </c>
      <c r="K255" s="17">
        <f t="shared" si="10"/>
        <v>792.97799999999995</v>
      </c>
      <c r="L255" s="17">
        <f t="shared" si="11"/>
        <v>796.97799999999995</v>
      </c>
      <c r="M255" s="17">
        <v>0</v>
      </c>
      <c r="N255" s="17">
        <v>50</v>
      </c>
      <c r="O255" s="17">
        <v>0</v>
      </c>
    </row>
    <row r="256" spans="1:15" x14ac:dyDescent="0.2">
      <c r="A256" t="s">
        <v>841</v>
      </c>
      <c r="B256">
        <v>794.97799999999995</v>
      </c>
      <c r="C256" t="s">
        <v>60</v>
      </c>
      <c r="D256" t="s">
        <v>61</v>
      </c>
      <c r="E256" t="s">
        <v>89</v>
      </c>
      <c r="F256" t="s">
        <v>111</v>
      </c>
      <c r="G256" s="17">
        <v>0</v>
      </c>
      <c r="H256" s="17" t="str">
        <f t="shared" si="9"/>
        <v>80</v>
      </c>
      <c r="I256" s="17">
        <v>1.2</v>
      </c>
      <c r="J256" s="17">
        <v>2.2000000000000002</v>
      </c>
      <c r="K256" s="17">
        <f t="shared" si="10"/>
        <v>792.97799999999995</v>
      </c>
      <c r="L256" s="17">
        <f t="shared" si="11"/>
        <v>796.97799999999995</v>
      </c>
      <c r="M256" s="17">
        <v>0</v>
      </c>
      <c r="N256" s="17">
        <v>50</v>
      </c>
      <c r="O256" s="17">
        <v>0</v>
      </c>
    </row>
    <row r="257" spans="1:15" x14ac:dyDescent="0.2">
      <c r="A257" t="s">
        <v>843</v>
      </c>
      <c r="B257">
        <v>794.97799999999995</v>
      </c>
      <c r="C257" t="s">
        <v>60</v>
      </c>
      <c r="D257" t="s">
        <v>61</v>
      </c>
      <c r="E257" t="s">
        <v>62</v>
      </c>
      <c r="F257" t="s">
        <v>111</v>
      </c>
      <c r="G257" s="17">
        <v>0</v>
      </c>
      <c r="H257" s="17" t="str">
        <f t="shared" si="9"/>
        <v>40</v>
      </c>
      <c r="I257" s="17">
        <v>1.2</v>
      </c>
      <c r="J257" s="17">
        <v>2.2000000000000002</v>
      </c>
      <c r="K257" s="17">
        <f t="shared" si="10"/>
        <v>792.97799999999995</v>
      </c>
      <c r="L257" s="17">
        <f t="shared" si="11"/>
        <v>796.97799999999995</v>
      </c>
      <c r="M257" s="17">
        <v>0</v>
      </c>
      <c r="N257" s="17">
        <v>50</v>
      </c>
      <c r="O257" s="17">
        <v>0</v>
      </c>
    </row>
    <row r="258" spans="1:15" x14ac:dyDescent="0.2">
      <c r="A258" t="s">
        <v>845</v>
      </c>
      <c r="B258">
        <v>794.97799999999995</v>
      </c>
      <c r="C258" t="s">
        <v>60</v>
      </c>
      <c r="D258" t="s">
        <v>61</v>
      </c>
      <c r="E258" t="s">
        <v>512</v>
      </c>
      <c r="F258" t="s">
        <v>111</v>
      </c>
      <c r="G258" s="17">
        <v>0</v>
      </c>
      <c r="H258" s="17" t="str">
        <f t="shared" si="9"/>
        <v>180</v>
      </c>
      <c r="I258" s="17">
        <v>1.2</v>
      </c>
      <c r="J258" s="17">
        <v>2.2000000000000002</v>
      </c>
      <c r="K258" s="17">
        <f t="shared" si="10"/>
        <v>792.97799999999995</v>
      </c>
      <c r="L258" s="17">
        <f t="shared" si="11"/>
        <v>796.97799999999995</v>
      </c>
      <c r="M258" s="17">
        <v>0</v>
      </c>
      <c r="N258" s="17">
        <v>50</v>
      </c>
      <c r="O258" s="17">
        <v>0</v>
      </c>
    </row>
    <row r="259" spans="1:15" x14ac:dyDescent="0.2">
      <c r="A259" t="s">
        <v>847</v>
      </c>
      <c r="B259">
        <v>794.97799999999995</v>
      </c>
      <c r="C259" t="s">
        <v>60</v>
      </c>
      <c r="D259" t="s">
        <v>61</v>
      </c>
      <c r="E259" t="s">
        <v>512</v>
      </c>
      <c r="F259" t="s">
        <v>111</v>
      </c>
      <c r="G259" s="17">
        <v>0</v>
      </c>
      <c r="H259" s="17" t="str">
        <f t="shared" ref="H259:H322" si="12">_xlfn.TEXTAFTER(E259,"-",1)</f>
        <v>180</v>
      </c>
      <c r="I259" s="17">
        <v>1.2</v>
      </c>
      <c r="J259" s="17">
        <v>2.2000000000000002</v>
      </c>
      <c r="K259" s="17">
        <f t="shared" ref="K259:K322" si="13">B259-2</f>
        <v>792.97799999999995</v>
      </c>
      <c r="L259" s="17">
        <f t="shared" ref="L259:L322" si="14">B259+2</f>
        <v>796.97799999999995</v>
      </c>
      <c r="M259" s="17">
        <v>0</v>
      </c>
      <c r="N259" s="17">
        <v>50</v>
      </c>
      <c r="O259" s="17">
        <v>0</v>
      </c>
    </row>
    <row r="260" spans="1:15" x14ac:dyDescent="0.2">
      <c r="A260" t="s">
        <v>849</v>
      </c>
      <c r="B260">
        <v>794.97799999999995</v>
      </c>
      <c r="C260" t="s">
        <v>60</v>
      </c>
      <c r="D260" t="s">
        <v>61</v>
      </c>
      <c r="E260" t="s">
        <v>512</v>
      </c>
      <c r="F260" t="s">
        <v>111</v>
      </c>
      <c r="G260" s="17">
        <v>0</v>
      </c>
      <c r="H260" s="17" t="str">
        <f t="shared" si="12"/>
        <v>180</v>
      </c>
      <c r="I260" s="17">
        <v>1.2</v>
      </c>
      <c r="J260" s="17">
        <v>2.2000000000000002</v>
      </c>
      <c r="K260" s="17">
        <f t="shared" si="13"/>
        <v>792.97799999999995</v>
      </c>
      <c r="L260" s="17">
        <f t="shared" si="14"/>
        <v>796.97799999999995</v>
      </c>
      <c r="M260" s="17">
        <v>0</v>
      </c>
      <c r="N260" s="17">
        <v>50</v>
      </c>
      <c r="O260" s="17">
        <v>0</v>
      </c>
    </row>
    <row r="261" spans="1:15" x14ac:dyDescent="0.2">
      <c r="A261" t="s">
        <v>851</v>
      </c>
      <c r="B261">
        <v>794.97799999999995</v>
      </c>
      <c r="C261" t="s">
        <v>60</v>
      </c>
      <c r="D261" t="s">
        <v>156</v>
      </c>
      <c r="E261" t="s">
        <v>89</v>
      </c>
      <c r="F261" t="s">
        <v>111</v>
      </c>
      <c r="G261" s="17">
        <v>0</v>
      </c>
      <c r="H261" s="17" t="str">
        <f t="shared" si="12"/>
        <v>80</v>
      </c>
      <c r="I261" s="17">
        <v>1.2</v>
      </c>
      <c r="J261" s="17">
        <v>2.2000000000000002</v>
      </c>
      <c r="K261" s="17">
        <f t="shared" si="13"/>
        <v>792.97799999999995</v>
      </c>
      <c r="L261" s="17">
        <f t="shared" si="14"/>
        <v>796.97799999999995</v>
      </c>
      <c r="M261" s="17">
        <v>0</v>
      </c>
      <c r="N261" s="17">
        <v>50</v>
      </c>
      <c r="O261" s="17">
        <v>0</v>
      </c>
    </row>
    <row r="262" spans="1:15" x14ac:dyDescent="0.2">
      <c r="A262" t="s">
        <v>853</v>
      </c>
      <c r="B262">
        <v>794.97799999999995</v>
      </c>
      <c r="C262" t="s">
        <v>60</v>
      </c>
      <c r="D262" t="s">
        <v>61</v>
      </c>
      <c r="E262" t="s">
        <v>512</v>
      </c>
      <c r="F262" t="s">
        <v>111</v>
      </c>
      <c r="G262" s="17">
        <v>0</v>
      </c>
      <c r="H262" s="17" t="str">
        <f t="shared" si="12"/>
        <v>180</v>
      </c>
      <c r="I262" s="17">
        <v>1.2</v>
      </c>
      <c r="J262" s="17">
        <v>2.2000000000000002</v>
      </c>
      <c r="K262" s="17">
        <f t="shared" si="13"/>
        <v>792.97799999999995</v>
      </c>
      <c r="L262" s="17">
        <f t="shared" si="14"/>
        <v>796.97799999999995</v>
      </c>
      <c r="M262" s="17">
        <v>0</v>
      </c>
      <c r="N262" s="17">
        <v>50</v>
      </c>
      <c r="O262" s="17">
        <v>0</v>
      </c>
    </row>
    <row r="263" spans="1:15" x14ac:dyDescent="0.2">
      <c r="A263" t="s">
        <v>855</v>
      </c>
      <c r="B263">
        <v>794.97799999999995</v>
      </c>
      <c r="C263" t="s">
        <v>60</v>
      </c>
      <c r="D263" t="s">
        <v>61</v>
      </c>
      <c r="E263" t="s">
        <v>512</v>
      </c>
      <c r="F263" t="s">
        <v>306</v>
      </c>
      <c r="G263" s="17">
        <v>0</v>
      </c>
      <c r="H263" s="17" t="str">
        <f t="shared" si="12"/>
        <v>180</v>
      </c>
      <c r="I263" s="17">
        <v>1.2</v>
      </c>
      <c r="J263" s="17">
        <v>2.2000000000000002</v>
      </c>
      <c r="K263" s="17">
        <f t="shared" si="13"/>
        <v>792.97799999999995</v>
      </c>
      <c r="L263" s="17">
        <f t="shared" si="14"/>
        <v>796.97799999999995</v>
      </c>
      <c r="M263" s="17">
        <v>0</v>
      </c>
      <c r="N263" s="17">
        <v>50</v>
      </c>
      <c r="O263" s="17">
        <v>0</v>
      </c>
    </row>
    <row r="264" spans="1:15" x14ac:dyDescent="0.2">
      <c r="A264" t="s">
        <v>857</v>
      </c>
      <c r="B264">
        <v>794.97799999999995</v>
      </c>
      <c r="C264" t="s">
        <v>60</v>
      </c>
      <c r="D264" t="s">
        <v>61</v>
      </c>
      <c r="E264" t="s">
        <v>512</v>
      </c>
      <c r="F264" t="s">
        <v>306</v>
      </c>
      <c r="G264" s="17">
        <v>0</v>
      </c>
      <c r="H264" s="17" t="str">
        <f t="shared" si="12"/>
        <v>180</v>
      </c>
      <c r="I264" s="17">
        <v>1.2</v>
      </c>
      <c r="J264" s="17">
        <v>2.2000000000000002</v>
      </c>
      <c r="K264" s="17">
        <f t="shared" si="13"/>
        <v>792.97799999999995</v>
      </c>
      <c r="L264" s="17">
        <f t="shared" si="14"/>
        <v>796.97799999999995</v>
      </c>
      <c r="M264" s="17">
        <v>0</v>
      </c>
      <c r="N264" s="17">
        <v>50</v>
      </c>
      <c r="O264" s="17">
        <v>0</v>
      </c>
    </row>
    <row r="265" spans="1:15" x14ac:dyDescent="0.2">
      <c r="A265" t="s">
        <v>859</v>
      </c>
      <c r="B265">
        <v>794.97799999999995</v>
      </c>
      <c r="C265" t="s">
        <v>60</v>
      </c>
      <c r="D265" t="s">
        <v>61</v>
      </c>
      <c r="E265" t="s">
        <v>512</v>
      </c>
      <c r="F265" t="s">
        <v>306</v>
      </c>
      <c r="G265" s="17">
        <v>0</v>
      </c>
      <c r="H265" s="17" t="str">
        <f t="shared" si="12"/>
        <v>180</v>
      </c>
      <c r="I265" s="17">
        <v>1.2</v>
      </c>
      <c r="J265" s="17">
        <v>2.2000000000000002</v>
      </c>
      <c r="K265" s="17">
        <f t="shared" si="13"/>
        <v>792.97799999999995</v>
      </c>
      <c r="L265" s="17">
        <f t="shared" si="14"/>
        <v>796.97799999999995</v>
      </c>
      <c r="M265" s="17">
        <v>0</v>
      </c>
      <c r="N265" s="17">
        <v>50</v>
      </c>
      <c r="O265" s="17">
        <v>0</v>
      </c>
    </row>
    <row r="266" spans="1:15" x14ac:dyDescent="0.2">
      <c r="A266" t="s">
        <v>861</v>
      </c>
      <c r="B266">
        <v>794.97799999999995</v>
      </c>
      <c r="C266" t="s">
        <v>60</v>
      </c>
      <c r="D266" t="s">
        <v>156</v>
      </c>
      <c r="E266" t="s">
        <v>89</v>
      </c>
      <c r="F266" t="s">
        <v>306</v>
      </c>
      <c r="G266" s="17">
        <v>0</v>
      </c>
      <c r="H266" s="17" t="str">
        <f t="shared" si="12"/>
        <v>80</v>
      </c>
      <c r="I266" s="17">
        <v>1.2</v>
      </c>
      <c r="J266" s="17">
        <v>2.2000000000000002</v>
      </c>
      <c r="K266" s="17">
        <f t="shared" si="13"/>
        <v>792.97799999999995</v>
      </c>
      <c r="L266" s="17">
        <f t="shared" si="14"/>
        <v>796.97799999999995</v>
      </c>
      <c r="M266" s="17">
        <v>0</v>
      </c>
      <c r="N266" s="17">
        <v>50</v>
      </c>
      <c r="O266" s="17">
        <v>0</v>
      </c>
    </row>
    <row r="267" spans="1:15" x14ac:dyDescent="0.2">
      <c r="A267" t="s">
        <v>863</v>
      </c>
      <c r="B267">
        <v>794.97799999999995</v>
      </c>
      <c r="C267" t="s">
        <v>60</v>
      </c>
      <c r="D267" t="s">
        <v>61</v>
      </c>
      <c r="E267" t="s">
        <v>512</v>
      </c>
      <c r="F267" t="s">
        <v>306</v>
      </c>
      <c r="G267" s="17">
        <v>0</v>
      </c>
      <c r="H267" s="17" t="str">
        <f t="shared" si="12"/>
        <v>180</v>
      </c>
      <c r="I267" s="17">
        <v>1.2</v>
      </c>
      <c r="J267" s="17">
        <v>2.2000000000000002</v>
      </c>
      <c r="K267" s="17">
        <f t="shared" si="13"/>
        <v>792.97799999999995</v>
      </c>
      <c r="L267" s="17">
        <f t="shared" si="14"/>
        <v>796.97799999999995</v>
      </c>
      <c r="M267" s="17">
        <v>0</v>
      </c>
      <c r="N267" s="17">
        <v>50</v>
      </c>
      <c r="O267" s="17">
        <v>0</v>
      </c>
    </row>
    <row r="268" spans="1:15" x14ac:dyDescent="0.2">
      <c r="A268" t="s">
        <v>865</v>
      </c>
      <c r="B268">
        <v>794.97799999999995</v>
      </c>
      <c r="C268" t="s">
        <v>60</v>
      </c>
      <c r="D268" t="s">
        <v>612</v>
      </c>
      <c r="E268" t="s">
        <v>613</v>
      </c>
      <c r="G268" s="17">
        <v>0</v>
      </c>
      <c r="H268" s="17" t="str">
        <f t="shared" si="12"/>
        <v>30</v>
      </c>
      <c r="I268" s="17">
        <v>1.2</v>
      </c>
      <c r="J268" s="17">
        <v>2.2000000000000002</v>
      </c>
      <c r="K268" s="17">
        <f t="shared" si="13"/>
        <v>792.97799999999995</v>
      </c>
      <c r="L268" s="17">
        <f t="shared" si="14"/>
        <v>796.97799999999995</v>
      </c>
      <c r="M268" s="17">
        <v>0</v>
      </c>
      <c r="N268" s="17">
        <v>50</v>
      </c>
      <c r="O268" s="17">
        <v>0</v>
      </c>
    </row>
    <row r="269" spans="1:15" x14ac:dyDescent="0.2">
      <c r="A269" t="s">
        <v>867</v>
      </c>
      <c r="B269">
        <v>794.97799999999995</v>
      </c>
      <c r="C269" t="s">
        <v>60</v>
      </c>
      <c r="D269" t="s">
        <v>612</v>
      </c>
      <c r="E269" t="s">
        <v>650</v>
      </c>
      <c r="G269" s="17">
        <v>0</v>
      </c>
      <c r="H269" s="17" t="str">
        <f t="shared" si="12"/>
        <v>15</v>
      </c>
      <c r="I269" s="17">
        <v>1.2</v>
      </c>
      <c r="J269" s="17">
        <v>2.2000000000000002</v>
      </c>
      <c r="K269" s="17">
        <f t="shared" si="13"/>
        <v>792.97799999999995</v>
      </c>
      <c r="L269" s="17">
        <f t="shared" si="14"/>
        <v>796.97799999999995</v>
      </c>
      <c r="M269" s="17">
        <v>0</v>
      </c>
      <c r="N269" s="17">
        <v>50</v>
      </c>
      <c r="O269" s="17">
        <v>0</v>
      </c>
    </row>
    <row r="270" spans="1:15" x14ac:dyDescent="0.2">
      <c r="A270" t="s">
        <v>869</v>
      </c>
      <c r="B270">
        <v>794.97799999999995</v>
      </c>
      <c r="C270" t="s">
        <v>60</v>
      </c>
      <c r="D270" t="s">
        <v>612</v>
      </c>
      <c r="E270" t="s">
        <v>613</v>
      </c>
      <c r="G270" s="17">
        <v>0</v>
      </c>
      <c r="H270" s="17" t="str">
        <f t="shared" si="12"/>
        <v>30</v>
      </c>
      <c r="I270" s="17">
        <v>1.2</v>
      </c>
      <c r="J270" s="17">
        <v>2.2000000000000002</v>
      </c>
      <c r="K270" s="17">
        <f t="shared" si="13"/>
        <v>792.97799999999995</v>
      </c>
      <c r="L270" s="17">
        <f t="shared" si="14"/>
        <v>796.97799999999995</v>
      </c>
      <c r="M270" s="17">
        <v>0</v>
      </c>
      <c r="N270" s="17">
        <v>50</v>
      </c>
      <c r="O270" s="17">
        <v>0</v>
      </c>
    </row>
    <row r="271" spans="1:15" x14ac:dyDescent="0.2">
      <c r="A271" t="s">
        <v>871</v>
      </c>
      <c r="B271">
        <v>794.97799999999995</v>
      </c>
      <c r="C271" t="s">
        <v>60</v>
      </c>
      <c r="D271" t="s">
        <v>612</v>
      </c>
      <c r="E271" t="s">
        <v>613</v>
      </c>
      <c r="G271" s="17">
        <v>0</v>
      </c>
      <c r="H271" s="17" t="str">
        <f t="shared" si="12"/>
        <v>30</v>
      </c>
      <c r="I271" s="17">
        <v>1.2</v>
      </c>
      <c r="J271" s="17">
        <v>2.2000000000000002</v>
      </c>
      <c r="K271" s="17">
        <f t="shared" si="13"/>
        <v>792.97799999999995</v>
      </c>
      <c r="L271" s="17">
        <f t="shared" si="14"/>
        <v>796.97799999999995</v>
      </c>
      <c r="M271" s="17">
        <v>0</v>
      </c>
      <c r="N271" s="17">
        <v>50</v>
      </c>
      <c r="O271" s="17">
        <v>0</v>
      </c>
    </row>
    <row r="272" spans="1:15" x14ac:dyDescent="0.2">
      <c r="A272" t="s">
        <v>873</v>
      </c>
      <c r="B272">
        <v>794.97799999999995</v>
      </c>
      <c r="C272" t="s">
        <v>60</v>
      </c>
      <c r="D272" t="s">
        <v>612</v>
      </c>
      <c r="E272" t="s">
        <v>613</v>
      </c>
      <c r="G272" s="17">
        <v>0</v>
      </c>
      <c r="H272" s="17" t="str">
        <f t="shared" si="12"/>
        <v>30</v>
      </c>
      <c r="I272" s="17">
        <v>1.2</v>
      </c>
      <c r="J272" s="17">
        <v>2.2000000000000002</v>
      </c>
      <c r="K272" s="17">
        <f t="shared" si="13"/>
        <v>792.97799999999995</v>
      </c>
      <c r="L272" s="17">
        <f t="shared" si="14"/>
        <v>796.97799999999995</v>
      </c>
      <c r="M272" s="17">
        <v>0</v>
      </c>
      <c r="N272" s="17">
        <v>50</v>
      </c>
      <c r="O272" s="17">
        <v>0</v>
      </c>
    </row>
    <row r="273" spans="1:15" x14ac:dyDescent="0.2">
      <c r="A273" t="s">
        <v>875</v>
      </c>
      <c r="B273">
        <v>794.97799999999995</v>
      </c>
      <c r="C273" t="s">
        <v>60</v>
      </c>
      <c r="D273" t="s">
        <v>61</v>
      </c>
      <c r="E273" t="s">
        <v>512</v>
      </c>
      <c r="G273" s="17">
        <v>0</v>
      </c>
      <c r="H273" s="17" t="str">
        <f t="shared" si="12"/>
        <v>180</v>
      </c>
      <c r="I273" s="17">
        <v>1.2</v>
      </c>
      <c r="J273" s="17">
        <v>2.2000000000000002</v>
      </c>
      <c r="K273" s="17">
        <f t="shared" si="13"/>
        <v>792.97799999999995</v>
      </c>
      <c r="L273" s="17">
        <f t="shared" si="14"/>
        <v>796.97799999999995</v>
      </c>
      <c r="M273" s="17">
        <v>0</v>
      </c>
      <c r="N273" s="17">
        <v>50</v>
      </c>
      <c r="O273" s="17">
        <v>0</v>
      </c>
    </row>
    <row r="274" spans="1:15" x14ac:dyDescent="0.2">
      <c r="A274" t="s">
        <v>877</v>
      </c>
      <c r="B274">
        <v>794.97799999999995</v>
      </c>
      <c r="C274" t="s">
        <v>60</v>
      </c>
      <c r="D274" t="s">
        <v>156</v>
      </c>
      <c r="E274" t="s">
        <v>89</v>
      </c>
      <c r="G274" s="17">
        <v>0</v>
      </c>
      <c r="H274" s="17" t="str">
        <f t="shared" si="12"/>
        <v>80</v>
      </c>
      <c r="I274" s="17">
        <v>1.2</v>
      </c>
      <c r="J274" s="17">
        <v>2.2000000000000002</v>
      </c>
      <c r="K274" s="17">
        <f t="shared" si="13"/>
        <v>792.97799999999995</v>
      </c>
      <c r="L274" s="17">
        <f t="shared" si="14"/>
        <v>796.97799999999995</v>
      </c>
      <c r="M274" s="17">
        <v>0</v>
      </c>
      <c r="N274" s="17">
        <v>50</v>
      </c>
      <c r="O274" s="17">
        <v>0</v>
      </c>
    </row>
    <row r="275" spans="1:15" x14ac:dyDescent="0.2">
      <c r="A275" t="s">
        <v>879</v>
      </c>
      <c r="B275">
        <v>794.97799999999995</v>
      </c>
      <c r="C275" t="s">
        <v>60</v>
      </c>
      <c r="D275" t="s">
        <v>61</v>
      </c>
      <c r="E275" t="s">
        <v>512</v>
      </c>
      <c r="G275" s="17">
        <v>0</v>
      </c>
      <c r="H275" s="17" t="str">
        <f t="shared" si="12"/>
        <v>180</v>
      </c>
      <c r="I275" s="17">
        <v>1.2</v>
      </c>
      <c r="J275" s="17">
        <v>2.2000000000000002</v>
      </c>
      <c r="K275" s="17">
        <f t="shared" si="13"/>
        <v>792.97799999999995</v>
      </c>
      <c r="L275" s="17">
        <f t="shared" si="14"/>
        <v>796.97799999999995</v>
      </c>
      <c r="M275" s="17">
        <v>0</v>
      </c>
      <c r="N275" s="17">
        <v>50</v>
      </c>
      <c r="O275" s="17">
        <v>0</v>
      </c>
    </row>
    <row r="276" spans="1:15" x14ac:dyDescent="0.2">
      <c r="A276" t="s">
        <v>881</v>
      </c>
      <c r="B276">
        <v>794.97799999999995</v>
      </c>
      <c r="C276" t="s">
        <v>60</v>
      </c>
      <c r="D276" t="s">
        <v>612</v>
      </c>
      <c r="E276" t="s">
        <v>613</v>
      </c>
      <c r="F276" t="s">
        <v>156</v>
      </c>
      <c r="G276" s="17">
        <v>0</v>
      </c>
      <c r="H276" s="17" t="str">
        <f t="shared" si="12"/>
        <v>30</v>
      </c>
      <c r="I276" s="17">
        <v>1.2</v>
      </c>
      <c r="J276" s="17">
        <v>2.2000000000000002</v>
      </c>
      <c r="K276" s="17">
        <f t="shared" si="13"/>
        <v>792.97799999999995</v>
      </c>
      <c r="L276" s="17">
        <f t="shared" si="14"/>
        <v>796.97799999999995</v>
      </c>
      <c r="M276" s="17">
        <v>0</v>
      </c>
      <c r="N276" s="17">
        <v>50</v>
      </c>
      <c r="O276" s="17">
        <v>0</v>
      </c>
    </row>
    <row r="277" spans="1:15" x14ac:dyDescent="0.2">
      <c r="A277" t="s">
        <v>883</v>
      </c>
      <c r="B277">
        <v>794.97799999999995</v>
      </c>
      <c r="C277" t="s">
        <v>60</v>
      </c>
      <c r="D277" t="s">
        <v>612</v>
      </c>
      <c r="E277" t="s">
        <v>613</v>
      </c>
      <c r="F277" t="s">
        <v>156</v>
      </c>
      <c r="G277" s="17">
        <v>0</v>
      </c>
      <c r="H277" s="17" t="str">
        <f t="shared" si="12"/>
        <v>30</v>
      </c>
      <c r="I277" s="17">
        <v>1.2</v>
      </c>
      <c r="J277" s="17">
        <v>2.2000000000000002</v>
      </c>
      <c r="K277" s="17">
        <f t="shared" si="13"/>
        <v>792.97799999999995</v>
      </c>
      <c r="L277" s="17">
        <f t="shared" si="14"/>
        <v>796.97799999999995</v>
      </c>
      <c r="M277" s="17">
        <v>0</v>
      </c>
      <c r="N277" s="17">
        <v>50</v>
      </c>
      <c r="O277" s="17">
        <v>0</v>
      </c>
    </row>
    <row r="278" spans="1:15" x14ac:dyDescent="0.2">
      <c r="A278" t="s">
        <v>885</v>
      </c>
      <c r="B278">
        <v>794.97799999999995</v>
      </c>
      <c r="C278" t="s">
        <v>60</v>
      </c>
      <c r="D278" t="s">
        <v>612</v>
      </c>
      <c r="E278" t="s">
        <v>613</v>
      </c>
      <c r="F278" t="s">
        <v>156</v>
      </c>
      <c r="G278" s="17">
        <v>0</v>
      </c>
      <c r="H278" s="17" t="str">
        <f t="shared" si="12"/>
        <v>30</v>
      </c>
      <c r="I278" s="17">
        <v>1.2</v>
      </c>
      <c r="J278" s="17">
        <v>2.2000000000000002</v>
      </c>
      <c r="K278" s="17">
        <f t="shared" si="13"/>
        <v>792.97799999999995</v>
      </c>
      <c r="L278" s="17">
        <f t="shared" si="14"/>
        <v>796.97799999999995</v>
      </c>
      <c r="M278" s="17">
        <v>0</v>
      </c>
      <c r="N278" s="17">
        <v>50</v>
      </c>
      <c r="O278" s="17">
        <v>0</v>
      </c>
    </row>
    <row r="279" spans="1:15" x14ac:dyDescent="0.2">
      <c r="A279" t="s">
        <v>887</v>
      </c>
      <c r="B279">
        <v>794.97799999999995</v>
      </c>
      <c r="C279" t="s">
        <v>60</v>
      </c>
      <c r="D279" t="s">
        <v>612</v>
      </c>
      <c r="E279" t="s">
        <v>613</v>
      </c>
      <c r="G279" s="17">
        <v>0</v>
      </c>
      <c r="H279" s="17" t="str">
        <f t="shared" si="12"/>
        <v>30</v>
      </c>
      <c r="I279" s="17">
        <v>1.2</v>
      </c>
      <c r="J279" s="17">
        <v>2.2000000000000002</v>
      </c>
      <c r="K279" s="17">
        <f t="shared" si="13"/>
        <v>792.97799999999995</v>
      </c>
      <c r="L279" s="17">
        <f t="shared" si="14"/>
        <v>796.97799999999995</v>
      </c>
      <c r="M279" s="17">
        <v>0</v>
      </c>
      <c r="N279" s="17">
        <v>50</v>
      </c>
      <c r="O279" s="17">
        <v>0</v>
      </c>
    </row>
    <row r="280" spans="1:15" x14ac:dyDescent="0.2">
      <c r="A280" t="s">
        <v>889</v>
      </c>
      <c r="B280">
        <v>794.97799999999995</v>
      </c>
      <c r="C280" t="s">
        <v>60</v>
      </c>
      <c r="D280" t="s">
        <v>156</v>
      </c>
      <c r="E280" t="s">
        <v>89</v>
      </c>
      <c r="G280" s="17">
        <v>0</v>
      </c>
      <c r="H280" s="17" t="str">
        <f t="shared" si="12"/>
        <v>80</v>
      </c>
      <c r="I280" s="17">
        <v>1.2</v>
      </c>
      <c r="J280" s="17">
        <v>2.2000000000000002</v>
      </c>
      <c r="K280" s="17">
        <f t="shared" si="13"/>
        <v>792.97799999999995</v>
      </c>
      <c r="L280" s="17">
        <f t="shared" si="14"/>
        <v>796.97799999999995</v>
      </c>
      <c r="M280" s="17">
        <v>0</v>
      </c>
      <c r="N280" s="17">
        <v>50</v>
      </c>
      <c r="O280" s="17">
        <v>0</v>
      </c>
    </row>
    <row r="281" spans="1:15" x14ac:dyDescent="0.2">
      <c r="A281" t="s">
        <v>891</v>
      </c>
      <c r="B281">
        <v>794.97799999999995</v>
      </c>
      <c r="C281" t="s">
        <v>60</v>
      </c>
      <c r="D281" t="s">
        <v>156</v>
      </c>
      <c r="E281" t="s">
        <v>62</v>
      </c>
      <c r="G281" s="17">
        <v>0</v>
      </c>
      <c r="H281" s="17" t="str">
        <f t="shared" si="12"/>
        <v>40</v>
      </c>
      <c r="I281" s="17">
        <v>1.2</v>
      </c>
      <c r="J281" s="17">
        <v>2.2000000000000002</v>
      </c>
      <c r="K281" s="17">
        <f t="shared" si="13"/>
        <v>792.97799999999995</v>
      </c>
      <c r="L281" s="17">
        <f t="shared" si="14"/>
        <v>796.97799999999995</v>
      </c>
      <c r="M281" s="17">
        <v>0</v>
      </c>
      <c r="N281" s="17">
        <v>50</v>
      </c>
      <c r="O281" s="17">
        <v>0</v>
      </c>
    </row>
    <row r="282" spans="1:15" x14ac:dyDescent="0.2">
      <c r="A282" t="s">
        <v>893</v>
      </c>
      <c r="B282">
        <v>794.97799999999995</v>
      </c>
      <c r="C282" t="s">
        <v>60</v>
      </c>
      <c r="D282" t="s">
        <v>156</v>
      </c>
      <c r="E282" t="s">
        <v>80</v>
      </c>
      <c r="G282" s="17">
        <v>0</v>
      </c>
      <c r="H282" s="17" t="str">
        <f t="shared" si="12"/>
        <v>10</v>
      </c>
      <c r="I282" s="17">
        <v>1.2</v>
      </c>
      <c r="J282" s="17">
        <v>2.2000000000000002</v>
      </c>
      <c r="K282" s="17">
        <f t="shared" si="13"/>
        <v>792.97799999999995</v>
      </c>
      <c r="L282" s="17">
        <f t="shared" si="14"/>
        <v>796.97799999999995</v>
      </c>
      <c r="M282" s="17">
        <v>0</v>
      </c>
      <c r="N282" s="17">
        <v>50</v>
      </c>
      <c r="O282" s="17">
        <v>0</v>
      </c>
    </row>
    <row r="283" spans="1:15" x14ac:dyDescent="0.2">
      <c r="A283" t="s">
        <v>895</v>
      </c>
      <c r="B283">
        <v>794.97799999999995</v>
      </c>
      <c r="C283" t="s">
        <v>60</v>
      </c>
      <c r="D283" t="s">
        <v>156</v>
      </c>
      <c r="E283" t="s">
        <v>89</v>
      </c>
      <c r="G283" s="17">
        <v>0</v>
      </c>
      <c r="H283" s="17" t="str">
        <f t="shared" si="12"/>
        <v>80</v>
      </c>
      <c r="I283" s="17">
        <v>1.2</v>
      </c>
      <c r="J283" s="17">
        <v>2.2000000000000002</v>
      </c>
      <c r="K283" s="17">
        <f t="shared" si="13"/>
        <v>792.97799999999995</v>
      </c>
      <c r="L283" s="17">
        <f t="shared" si="14"/>
        <v>796.97799999999995</v>
      </c>
      <c r="M283" s="17">
        <v>0</v>
      </c>
      <c r="N283" s="17">
        <v>50</v>
      </c>
      <c r="O283" s="17">
        <v>0</v>
      </c>
    </row>
    <row r="284" spans="1:15" x14ac:dyDescent="0.2">
      <c r="A284" t="s">
        <v>897</v>
      </c>
      <c r="B284">
        <v>794.97799999999995</v>
      </c>
      <c r="C284" t="s">
        <v>60</v>
      </c>
      <c r="D284" t="s">
        <v>156</v>
      </c>
      <c r="E284" t="s">
        <v>89</v>
      </c>
      <c r="G284" s="17">
        <v>0</v>
      </c>
      <c r="H284" s="17" t="str">
        <f t="shared" si="12"/>
        <v>80</v>
      </c>
      <c r="I284" s="17">
        <v>1.2</v>
      </c>
      <c r="J284" s="17">
        <v>2.2000000000000002</v>
      </c>
      <c r="K284" s="17">
        <f t="shared" si="13"/>
        <v>792.97799999999995</v>
      </c>
      <c r="L284" s="17">
        <f t="shared" si="14"/>
        <v>796.97799999999995</v>
      </c>
      <c r="M284" s="17">
        <v>0</v>
      </c>
      <c r="N284" s="17">
        <v>50</v>
      </c>
      <c r="O284" s="17">
        <v>0</v>
      </c>
    </row>
    <row r="285" spans="1:15" x14ac:dyDescent="0.2">
      <c r="A285" t="s">
        <v>899</v>
      </c>
      <c r="B285">
        <v>794.97799999999995</v>
      </c>
      <c r="C285" t="s">
        <v>60</v>
      </c>
      <c r="D285" t="s">
        <v>156</v>
      </c>
      <c r="E285" t="s">
        <v>89</v>
      </c>
      <c r="F285" t="s">
        <v>156</v>
      </c>
      <c r="G285" s="17">
        <v>0</v>
      </c>
      <c r="H285" s="17" t="str">
        <f t="shared" si="12"/>
        <v>80</v>
      </c>
      <c r="I285" s="17">
        <v>1.2</v>
      </c>
      <c r="J285" s="17">
        <v>2.2000000000000002</v>
      </c>
      <c r="K285" s="17">
        <f t="shared" si="13"/>
        <v>792.97799999999995</v>
      </c>
      <c r="L285" s="17">
        <f t="shared" si="14"/>
        <v>796.97799999999995</v>
      </c>
      <c r="M285" s="17">
        <v>0</v>
      </c>
      <c r="N285" s="17">
        <v>50</v>
      </c>
      <c r="O285" s="17">
        <v>0</v>
      </c>
    </row>
    <row r="286" spans="1:15" x14ac:dyDescent="0.2">
      <c r="A286" t="s">
        <v>901</v>
      </c>
      <c r="B286">
        <v>794.97799999999995</v>
      </c>
      <c r="C286" t="s">
        <v>60</v>
      </c>
      <c r="D286" t="s">
        <v>156</v>
      </c>
      <c r="E286" t="s">
        <v>89</v>
      </c>
      <c r="F286" t="s">
        <v>156</v>
      </c>
      <c r="G286" s="17">
        <v>0</v>
      </c>
      <c r="H286" s="17" t="str">
        <f t="shared" si="12"/>
        <v>80</v>
      </c>
      <c r="I286" s="17">
        <v>1.2</v>
      </c>
      <c r="J286" s="17">
        <v>2.2000000000000002</v>
      </c>
      <c r="K286" s="17">
        <f t="shared" si="13"/>
        <v>792.97799999999995</v>
      </c>
      <c r="L286" s="17">
        <f t="shared" si="14"/>
        <v>796.97799999999995</v>
      </c>
      <c r="M286" s="17">
        <v>0</v>
      </c>
      <c r="N286" s="17">
        <v>50</v>
      </c>
      <c r="O286" s="17">
        <v>0</v>
      </c>
    </row>
    <row r="287" spans="1:15" x14ac:dyDescent="0.2">
      <c r="A287" t="s">
        <v>903</v>
      </c>
      <c r="B287">
        <v>794.97799999999995</v>
      </c>
      <c r="C287" t="s">
        <v>60</v>
      </c>
      <c r="D287" t="s">
        <v>156</v>
      </c>
      <c r="E287" t="s">
        <v>89</v>
      </c>
      <c r="F287" t="s">
        <v>156</v>
      </c>
      <c r="G287" s="17">
        <v>0</v>
      </c>
      <c r="H287" s="17" t="str">
        <f t="shared" si="12"/>
        <v>80</v>
      </c>
      <c r="I287" s="17">
        <v>1.2</v>
      </c>
      <c r="J287" s="17">
        <v>2.2000000000000002</v>
      </c>
      <c r="K287" s="17">
        <f t="shared" si="13"/>
        <v>792.97799999999995</v>
      </c>
      <c r="L287" s="17">
        <f t="shared" si="14"/>
        <v>796.97799999999995</v>
      </c>
      <c r="M287" s="17">
        <v>0</v>
      </c>
      <c r="N287" s="17">
        <v>50</v>
      </c>
      <c r="O287" s="17">
        <v>0</v>
      </c>
    </row>
    <row r="288" spans="1:15" x14ac:dyDescent="0.2">
      <c r="A288" t="s">
        <v>905</v>
      </c>
      <c r="B288">
        <v>794.97799999999995</v>
      </c>
      <c r="C288" t="s">
        <v>60</v>
      </c>
      <c r="D288" t="s">
        <v>156</v>
      </c>
      <c r="E288" t="s">
        <v>62</v>
      </c>
      <c r="F288" t="s">
        <v>111</v>
      </c>
      <c r="G288" s="17">
        <v>0</v>
      </c>
      <c r="H288" s="17" t="str">
        <f t="shared" si="12"/>
        <v>40</v>
      </c>
      <c r="I288" s="17">
        <v>1.2</v>
      </c>
      <c r="J288" s="17">
        <v>2.2000000000000002</v>
      </c>
      <c r="K288" s="17">
        <f t="shared" si="13"/>
        <v>792.97799999999995</v>
      </c>
      <c r="L288" s="17">
        <f t="shared" si="14"/>
        <v>796.97799999999995</v>
      </c>
      <c r="M288" s="17">
        <v>0</v>
      </c>
      <c r="N288" s="17">
        <v>50</v>
      </c>
      <c r="O288" s="17">
        <v>0</v>
      </c>
    </row>
    <row r="289" spans="1:15" x14ac:dyDescent="0.2">
      <c r="A289" t="s">
        <v>907</v>
      </c>
      <c r="B289">
        <v>794.97799999999995</v>
      </c>
      <c r="C289" t="s">
        <v>60</v>
      </c>
      <c r="D289" t="s">
        <v>156</v>
      </c>
      <c r="E289" t="s">
        <v>80</v>
      </c>
      <c r="F289" t="s">
        <v>111</v>
      </c>
      <c r="G289" s="17">
        <v>0</v>
      </c>
      <c r="H289" s="17" t="str">
        <f t="shared" si="12"/>
        <v>10</v>
      </c>
      <c r="I289" s="17">
        <v>1.2</v>
      </c>
      <c r="J289" s="17">
        <v>2.2000000000000002</v>
      </c>
      <c r="K289" s="17">
        <f t="shared" si="13"/>
        <v>792.97799999999995</v>
      </c>
      <c r="L289" s="17">
        <f t="shared" si="14"/>
        <v>796.97799999999995</v>
      </c>
      <c r="M289" s="17">
        <v>0</v>
      </c>
      <c r="N289" s="17">
        <v>50</v>
      </c>
      <c r="O289" s="17">
        <v>0</v>
      </c>
    </row>
    <row r="290" spans="1:15" x14ac:dyDescent="0.2">
      <c r="A290" t="s">
        <v>909</v>
      </c>
      <c r="B290">
        <v>794.97799999999995</v>
      </c>
      <c r="C290" t="s">
        <v>60</v>
      </c>
      <c r="D290" t="s">
        <v>156</v>
      </c>
      <c r="E290" t="s">
        <v>89</v>
      </c>
      <c r="F290" t="s">
        <v>111</v>
      </c>
      <c r="G290" s="17">
        <v>0</v>
      </c>
      <c r="H290" s="17" t="str">
        <f t="shared" si="12"/>
        <v>80</v>
      </c>
      <c r="I290" s="17">
        <v>1.2</v>
      </c>
      <c r="J290" s="17">
        <v>2.2000000000000002</v>
      </c>
      <c r="K290" s="17">
        <f t="shared" si="13"/>
        <v>792.97799999999995</v>
      </c>
      <c r="L290" s="17">
        <f t="shared" si="14"/>
        <v>796.97799999999995</v>
      </c>
      <c r="M290" s="17">
        <v>0</v>
      </c>
      <c r="N290" s="17">
        <v>50</v>
      </c>
      <c r="O290" s="17">
        <v>0</v>
      </c>
    </row>
    <row r="291" spans="1:15" x14ac:dyDescent="0.2">
      <c r="A291" t="s">
        <v>911</v>
      </c>
      <c r="B291">
        <v>794.97799999999995</v>
      </c>
      <c r="C291" t="s">
        <v>60</v>
      </c>
      <c r="D291" t="s">
        <v>156</v>
      </c>
      <c r="E291" t="s">
        <v>89</v>
      </c>
      <c r="F291" t="s">
        <v>111</v>
      </c>
      <c r="G291" s="17">
        <v>0</v>
      </c>
      <c r="H291" s="17" t="str">
        <f t="shared" si="12"/>
        <v>80</v>
      </c>
      <c r="I291" s="17">
        <v>1.2</v>
      </c>
      <c r="J291" s="17">
        <v>2.2000000000000002</v>
      </c>
      <c r="K291" s="17">
        <f t="shared" si="13"/>
        <v>792.97799999999995</v>
      </c>
      <c r="L291" s="17">
        <f t="shared" si="14"/>
        <v>796.97799999999995</v>
      </c>
      <c r="M291" s="17">
        <v>0</v>
      </c>
      <c r="N291" s="17">
        <v>50</v>
      </c>
      <c r="O291" s="17">
        <v>0</v>
      </c>
    </row>
    <row r="292" spans="1:15" x14ac:dyDescent="0.2">
      <c r="A292" t="s">
        <v>913</v>
      </c>
      <c r="B292">
        <v>794.97799999999995</v>
      </c>
      <c r="C292" t="s">
        <v>60</v>
      </c>
      <c r="D292" t="s">
        <v>156</v>
      </c>
      <c r="E292" t="s">
        <v>89</v>
      </c>
      <c r="F292" t="s">
        <v>111</v>
      </c>
      <c r="G292" s="17">
        <v>0</v>
      </c>
      <c r="H292" s="17" t="str">
        <f t="shared" si="12"/>
        <v>80</v>
      </c>
      <c r="I292" s="17">
        <v>1.2</v>
      </c>
      <c r="J292" s="17">
        <v>2.2000000000000002</v>
      </c>
      <c r="K292" s="17">
        <f t="shared" si="13"/>
        <v>792.97799999999995</v>
      </c>
      <c r="L292" s="17">
        <f t="shared" si="14"/>
        <v>796.97799999999995</v>
      </c>
      <c r="M292" s="17">
        <v>0</v>
      </c>
      <c r="N292" s="17">
        <v>50</v>
      </c>
      <c r="O292" s="17">
        <v>0</v>
      </c>
    </row>
    <row r="293" spans="1:15" x14ac:dyDescent="0.2">
      <c r="A293" t="s">
        <v>915</v>
      </c>
      <c r="B293">
        <v>794.97799999999995</v>
      </c>
      <c r="C293" t="s">
        <v>60</v>
      </c>
      <c r="D293" t="s">
        <v>156</v>
      </c>
      <c r="E293" t="s">
        <v>89</v>
      </c>
      <c r="F293" t="s">
        <v>306</v>
      </c>
      <c r="G293" s="17">
        <v>0</v>
      </c>
      <c r="H293" s="17" t="str">
        <f t="shared" si="12"/>
        <v>80</v>
      </c>
      <c r="I293" s="17">
        <v>1.2</v>
      </c>
      <c r="J293" s="17">
        <v>2.2000000000000002</v>
      </c>
      <c r="K293" s="17">
        <f t="shared" si="13"/>
        <v>792.97799999999995</v>
      </c>
      <c r="L293" s="17">
        <f t="shared" si="14"/>
        <v>796.97799999999995</v>
      </c>
      <c r="M293" s="17">
        <v>0</v>
      </c>
      <c r="N293" s="17">
        <v>50</v>
      </c>
      <c r="O293" s="17">
        <v>0</v>
      </c>
    </row>
    <row r="294" spans="1:15" x14ac:dyDescent="0.2">
      <c r="A294" t="s">
        <v>917</v>
      </c>
      <c r="B294">
        <v>794.97799999999995</v>
      </c>
      <c r="C294" t="s">
        <v>60</v>
      </c>
      <c r="D294" t="s">
        <v>156</v>
      </c>
      <c r="E294" t="s">
        <v>89</v>
      </c>
      <c r="F294" t="s">
        <v>306</v>
      </c>
      <c r="G294" s="17">
        <v>0</v>
      </c>
      <c r="H294" s="17" t="str">
        <f t="shared" si="12"/>
        <v>80</v>
      </c>
      <c r="I294" s="17">
        <v>1.2</v>
      </c>
      <c r="J294" s="17">
        <v>2.2000000000000002</v>
      </c>
      <c r="K294" s="17">
        <f t="shared" si="13"/>
        <v>792.97799999999995</v>
      </c>
      <c r="L294" s="17">
        <f t="shared" si="14"/>
        <v>796.97799999999995</v>
      </c>
      <c r="M294" s="17">
        <v>0</v>
      </c>
      <c r="N294" s="17">
        <v>50</v>
      </c>
      <c r="O294" s="17">
        <v>0</v>
      </c>
    </row>
    <row r="295" spans="1:15" x14ac:dyDescent="0.2">
      <c r="A295" t="s">
        <v>919</v>
      </c>
      <c r="B295">
        <v>794.97799999999995</v>
      </c>
      <c r="C295" t="s">
        <v>60</v>
      </c>
      <c r="D295" t="s">
        <v>156</v>
      </c>
      <c r="E295" t="s">
        <v>89</v>
      </c>
      <c r="F295" t="s">
        <v>306</v>
      </c>
      <c r="G295" s="17">
        <v>0</v>
      </c>
      <c r="H295" s="17" t="str">
        <f t="shared" si="12"/>
        <v>80</v>
      </c>
      <c r="I295" s="17">
        <v>1.2</v>
      </c>
      <c r="J295" s="17">
        <v>2.2000000000000002</v>
      </c>
      <c r="K295" s="17">
        <f t="shared" si="13"/>
        <v>792.97799999999995</v>
      </c>
      <c r="L295" s="17">
        <f t="shared" si="14"/>
        <v>796.97799999999995</v>
      </c>
      <c r="M295" s="17">
        <v>0</v>
      </c>
      <c r="N295" s="17">
        <v>50</v>
      </c>
      <c r="O295" s="17">
        <v>0</v>
      </c>
    </row>
    <row r="296" spans="1:15" x14ac:dyDescent="0.2">
      <c r="A296" t="s">
        <v>921</v>
      </c>
      <c r="B296">
        <v>794.97799999999995</v>
      </c>
      <c r="C296" t="s">
        <v>60</v>
      </c>
      <c r="D296" t="s">
        <v>156</v>
      </c>
      <c r="E296" t="s">
        <v>89</v>
      </c>
      <c r="G296" s="17">
        <v>0</v>
      </c>
      <c r="H296" s="17" t="str">
        <f t="shared" si="12"/>
        <v>80</v>
      </c>
      <c r="I296" s="17">
        <v>1.2</v>
      </c>
      <c r="J296" s="17">
        <v>2.2000000000000002</v>
      </c>
      <c r="K296" s="17">
        <f t="shared" si="13"/>
        <v>792.97799999999995</v>
      </c>
      <c r="L296" s="17">
        <f t="shared" si="14"/>
        <v>796.97799999999995</v>
      </c>
      <c r="M296" s="17">
        <v>0</v>
      </c>
      <c r="N296" s="17">
        <v>50</v>
      </c>
      <c r="O296" s="17">
        <v>0</v>
      </c>
    </row>
    <row r="297" spans="1:15" x14ac:dyDescent="0.2">
      <c r="A297" t="s">
        <v>923</v>
      </c>
      <c r="B297" t="s">
        <v>924</v>
      </c>
      <c r="C297" t="s">
        <v>60</v>
      </c>
      <c r="D297" t="s">
        <v>61</v>
      </c>
      <c r="E297" t="s">
        <v>391</v>
      </c>
      <c r="F297" t="s">
        <v>159</v>
      </c>
      <c r="G297" s="17">
        <v>0</v>
      </c>
      <c r="H297" s="17" t="str">
        <f t="shared" si="12"/>
        <v>100</v>
      </c>
      <c r="I297" s="17">
        <v>1.2</v>
      </c>
      <c r="J297" s="17">
        <v>2.2000000000000002</v>
      </c>
      <c r="K297" s="17">
        <f t="shared" si="13"/>
        <v>768.10799999999995</v>
      </c>
      <c r="L297" s="17">
        <f t="shared" si="14"/>
        <v>772.10799999999995</v>
      </c>
      <c r="M297" s="17">
        <v>0</v>
      </c>
      <c r="N297" s="17">
        <v>50</v>
      </c>
      <c r="O297" s="17">
        <v>0</v>
      </c>
    </row>
    <row r="298" spans="1:15" x14ac:dyDescent="0.2">
      <c r="A298" t="s">
        <v>926</v>
      </c>
      <c r="B298" t="s">
        <v>927</v>
      </c>
      <c r="C298" t="s">
        <v>60</v>
      </c>
      <c r="D298" t="s">
        <v>61</v>
      </c>
      <c r="E298" t="s">
        <v>445</v>
      </c>
      <c r="F298" t="s">
        <v>159</v>
      </c>
      <c r="G298" s="17">
        <v>0</v>
      </c>
      <c r="H298" s="17" t="str">
        <f t="shared" si="12"/>
        <v>120</v>
      </c>
      <c r="I298" s="17">
        <v>1.2</v>
      </c>
      <c r="J298" s="17">
        <v>2.2000000000000002</v>
      </c>
      <c r="K298" s="17">
        <f t="shared" si="13"/>
        <v>774.06100000000004</v>
      </c>
      <c r="L298" s="17">
        <f t="shared" si="14"/>
        <v>778.06100000000004</v>
      </c>
      <c r="M298" s="17">
        <v>0</v>
      </c>
      <c r="N298" s="17">
        <v>50</v>
      </c>
      <c r="O298" s="17">
        <v>0</v>
      </c>
    </row>
    <row r="299" spans="1:15" x14ac:dyDescent="0.2">
      <c r="A299" t="s">
        <v>930</v>
      </c>
      <c r="B299" t="s">
        <v>931</v>
      </c>
      <c r="C299" t="s">
        <v>60</v>
      </c>
      <c r="D299" t="s">
        <v>61</v>
      </c>
      <c r="E299" t="s">
        <v>512</v>
      </c>
      <c r="F299" t="s">
        <v>159</v>
      </c>
      <c r="G299" s="17">
        <v>0</v>
      </c>
      <c r="H299" s="17" t="str">
        <f t="shared" si="12"/>
        <v>180</v>
      </c>
      <c r="I299" s="17">
        <v>1.2</v>
      </c>
      <c r="J299" s="17">
        <v>2.2000000000000002</v>
      </c>
      <c r="K299" s="17">
        <f t="shared" si="13"/>
        <v>776.10500000000002</v>
      </c>
      <c r="L299" s="17">
        <f t="shared" si="14"/>
        <v>780.10500000000002</v>
      </c>
      <c r="M299" s="17">
        <v>0</v>
      </c>
      <c r="N299" s="17">
        <v>50</v>
      </c>
      <c r="O299" s="17">
        <v>0</v>
      </c>
    </row>
    <row r="300" spans="1:15" x14ac:dyDescent="0.2">
      <c r="A300" t="s">
        <v>933</v>
      </c>
      <c r="B300" t="s">
        <v>934</v>
      </c>
      <c r="C300" t="s">
        <v>558</v>
      </c>
      <c r="D300" t="s">
        <v>559</v>
      </c>
      <c r="E300" t="s">
        <v>560</v>
      </c>
      <c r="G300" s="17">
        <v>0</v>
      </c>
      <c r="H300" s="17" t="str">
        <f t="shared" si="12"/>
        <v>100</v>
      </c>
      <c r="I300" s="17">
        <v>1.2</v>
      </c>
      <c r="J300" s="17">
        <v>2.2000000000000002</v>
      </c>
      <c r="K300" s="17">
        <f t="shared" si="13"/>
        <v>793</v>
      </c>
      <c r="L300" s="17">
        <f t="shared" si="14"/>
        <v>797</v>
      </c>
      <c r="M300" s="17">
        <v>0</v>
      </c>
      <c r="N300" s="17">
        <v>50</v>
      </c>
      <c r="O300" s="17">
        <v>0</v>
      </c>
    </row>
    <row r="301" spans="1:15" x14ac:dyDescent="0.2">
      <c r="A301" t="s">
        <v>938</v>
      </c>
      <c r="B301" t="s">
        <v>934</v>
      </c>
      <c r="C301" t="s">
        <v>558</v>
      </c>
      <c r="D301" t="s">
        <v>572</v>
      </c>
      <c r="E301" t="s">
        <v>560</v>
      </c>
      <c r="F301" t="s">
        <v>159</v>
      </c>
      <c r="G301" s="17">
        <v>0</v>
      </c>
      <c r="H301" s="17" t="str">
        <f t="shared" si="12"/>
        <v>100</v>
      </c>
      <c r="I301" s="17">
        <v>1.2</v>
      </c>
      <c r="J301" s="17">
        <v>2.2000000000000002</v>
      </c>
      <c r="K301" s="17">
        <f t="shared" si="13"/>
        <v>793</v>
      </c>
      <c r="L301" s="17">
        <f t="shared" si="14"/>
        <v>797</v>
      </c>
      <c r="M301" s="17">
        <v>0</v>
      </c>
      <c r="N301" s="17">
        <v>50</v>
      </c>
      <c r="O301" s="17">
        <v>0</v>
      </c>
    </row>
    <row r="302" spans="1:15" x14ac:dyDescent="0.2">
      <c r="A302" t="s">
        <v>942</v>
      </c>
      <c r="B302" t="s">
        <v>934</v>
      </c>
      <c r="C302" t="s">
        <v>558</v>
      </c>
      <c r="D302" t="s">
        <v>572</v>
      </c>
      <c r="E302" t="s">
        <v>560</v>
      </c>
      <c r="G302" s="17">
        <v>0</v>
      </c>
      <c r="H302" s="17" t="str">
        <f t="shared" si="12"/>
        <v>100</v>
      </c>
      <c r="I302" s="17">
        <v>1.2</v>
      </c>
      <c r="J302" s="17">
        <v>2.2000000000000002</v>
      </c>
      <c r="K302" s="17">
        <f t="shared" si="13"/>
        <v>793</v>
      </c>
      <c r="L302" s="17">
        <f t="shared" si="14"/>
        <v>797</v>
      </c>
      <c r="M302" s="17">
        <v>0</v>
      </c>
      <c r="N302" s="17">
        <v>50</v>
      </c>
      <c r="O302" s="17">
        <v>0</v>
      </c>
    </row>
    <row r="303" spans="1:15" x14ac:dyDescent="0.2">
      <c r="A303" t="s">
        <v>944</v>
      </c>
      <c r="B303">
        <v>800</v>
      </c>
      <c r="C303" t="s">
        <v>60</v>
      </c>
      <c r="D303" t="s">
        <v>61</v>
      </c>
      <c r="E303" t="s">
        <v>89</v>
      </c>
      <c r="G303" s="17">
        <v>0</v>
      </c>
      <c r="H303" s="17" t="str">
        <f t="shared" si="12"/>
        <v>80</v>
      </c>
      <c r="I303" s="17">
        <v>1.2</v>
      </c>
      <c r="J303" s="17">
        <v>2.2000000000000002</v>
      </c>
      <c r="K303" s="17">
        <f t="shared" si="13"/>
        <v>798</v>
      </c>
      <c r="L303" s="17">
        <f t="shared" si="14"/>
        <v>802</v>
      </c>
      <c r="M303" s="17">
        <v>0</v>
      </c>
      <c r="N303" s="17">
        <v>50</v>
      </c>
      <c r="O303" s="17">
        <v>0</v>
      </c>
    </row>
    <row r="304" spans="1:15" x14ac:dyDescent="0.2">
      <c r="A304" t="s">
        <v>949</v>
      </c>
      <c r="B304">
        <v>800</v>
      </c>
      <c r="C304" t="s">
        <v>60</v>
      </c>
      <c r="D304" t="s">
        <v>61</v>
      </c>
      <c r="E304" t="s">
        <v>62</v>
      </c>
      <c r="G304" s="17">
        <v>0</v>
      </c>
      <c r="H304" s="17" t="str">
        <f t="shared" si="12"/>
        <v>40</v>
      </c>
      <c r="I304" s="17">
        <v>1.2</v>
      </c>
      <c r="J304" s="17">
        <v>2.2000000000000002</v>
      </c>
      <c r="K304" s="17">
        <f t="shared" si="13"/>
        <v>798</v>
      </c>
      <c r="L304" s="17">
        <f t="shared" si="14"/>
        <v>802</v>
      </c>
      <c r="M304" s="17">
        <v>0</v>
      </c>
      <c r="N304" s="17">
        <v>50</v>
      </c>
      <c r="O304" s="17">
        <v>0</v>
      </c>
    </row>
    <row r="305" spans="1:15" x14ac:dyDescent="0.2">
      <c r="A305" t="s">
        <v>951</v>
      </c>
      <c r="B305">
        <v>800</v>
      </c>
      <c r="C305" t="s">
        <v>60</v>
      </c>
      <c r="D305" t="s">
        <v>61</v>
      </c>
      <c r="E305" t="s">
        <v>512</v>
      </c>
      <c r="G305" s="17">
        <v>0</v>
      </c>
      <c r="H305" s="17" t="str">
        <f t="shared" si="12"/>
        <v>180</v>
      </c>
      <c r="I305" s="17">
        <v>1.2</v>
      </c>
      <c r="J305" s="17">
        <v>2.2000000000000002</v>
      </c>
      <c r="K305" s="17">
        <f t="shared" si="13"/>
        <v>798</v>
      </c>
      <c r="L305" s="17">
        <f t="shared" si="14"/>
        <v>802</v>
      </c>
      <c r="M305" s="17">
        <v>0</v>
      </c>
      <c r="N305" s="17">
        <v>50</v>
      </c>
      <c r="O305" s="17">
        <v>0</v>
      </c>
    </row>
    <row r="306" spans="1:15" x14ac:dyDescent="0.2">
      <c r="A306" t="s">
        <v>953</v>
      </c>
      <c r="B306">
        <v>800</v>
      </c>
      <c r="C306" t="s">
        <v>60</v>
      </c>
      <c r="D306" t="s">
        <v>61</v>
      </c>
      <c r="E306" t="s">
        <v>512</v>
      </c>
      <c r="G306" s="17">
        <v>0</v>
      </c>
      <c r="H306" s="17" t="str">
        <f t="shared" si="12"/>
        <v>180</v>
      </c>
      <c r="I306" s="17">
        <v>1.2</v>
      </c>
      <c r="J306" s="17">
        <v>2.2000000000000002</v>
      </c>
      <c r="K306" s="17">
        <f t="shared" si="13"/>
        <v>798</v>
      </c>
      <c r="L306" s="17">
        <f t="shared" si="14"/>
        <v>802</v>
      </c>
      <c r="M306" s="17">
        <v>0</v>
      </c>
      <c r="N306" s="17">
        <v>50</v>
      </c>
      <c r="O306" s="17">
        <v>0</v>
      </c>
    </row>
    <row r="307" spans="1:15" x14ac:dyDescent="0.2">
      <c r="A307" t="s">
        <v>955</v>
      </c>
      <c r="B307">
        <v>800</v>
      </c>
      <c r="C307" t="s">
        <v>60</v>
      </c>
      <c r="D307" t="s">
        <v>61</v>
      </c>
      <c r="E307" t="s">
        <v>512</v>
      </c>
      <c r="F307" t="s">
        <v>156</v>
      </c>
      <c r="G307" s="17">
        <v>0</v>
      </c>
      <c r="H307" s="17" t="str">
        <f t="shared" si="12"/>
        <v>180</v>
      </c>
      <c r="I307" s="17">
        <v>1.2</v>
      </c>
      <c r="J307" s="17">
        <v>2.2000000000000002</v>
      </c>
      <c r="K307" s="17">
        <f t="shared" si="13"/>
        <v>798</v>
      </c>
      <c r="L307" s="17">
        <f t="shared" si="14"/>
        <v>802</v>
      </c>
      <c r="M307" s="17">
        <v>0</v>
      </c>
      <c r="N307" s="17">
        <v>50</v>
      </c>
      <c r="O307" s="17">
        <v>0</v>
      </c>
    </row>
    <row r="308" spans="1:15" x14ac:dyDescent="0.2">
      <c r="A308" t="s">
        <v>957</v>
      </c>
      <c r="B308">
        <v>800</v>
      </c>
      <c r="C308" t="s">
        <v>60</v>
      </c>
      <c r="D308" t="s">
        <v>61</v>
      </c>
      <c r="E308" t="s">
        <v>512</v>
      </c>
      <c r="F308" t="s">
        <v>156</v>
      </c>
      <c r="G308" s="17">
        <v>0</v>
      </c>
      <c r="H308" s="17" t="str">
        <f t="shared" si="12"/>
        <v>180</v>
      </c>
      <c r="I308" s="17">
        <v>1.2</v>
      </c>
      <c r="J308" s="17">
        <v>2.2000000000000002</v>
      </c>
      <c r="K308" s="17">
        <f t="shared" si="13"/>
        <v>798</v>
      </c>
      <c r="L308" s="17">
        <f t="shared" si="14"/>
        <v>802</v>
      </c>
      <c r="M308" s="17">
        <v>0</v>
      </c>
      <c r="N308" s="17">
        <v>50</v>
      </c>
      <c r="O308" s="17">
        <v>0</v>
      </c>
    </row>
    <row r="309" spans="1:15" x14ac:dyDescent="0.2">
      <c r="A309" t="s">
        <v>959</v>
      </c>
      <c r="B309">
        <v>800</v>
      </c>
      <c r="C309" t="s">
        <v>60</v>
      </c>
      <c r="D309" t="s">
        <v>61</v>
      </c>
      <c r="E309" t="s">
        <v>512</v>
      </c>
      <c r="F309" t="s">
        <v>156</v>
      </c>
      <c r="G309" s="17">
        <v>0</v>
      </c>
      <c r="H309" s="17" t="str">
        <f t="shared" si="12"/>
        <v>180</v>
      </c>
      <c r="I309" s="17">
        <v>1.2</v>
      </c>
      <c r="J309" s="17">
        <v>2.2000000000000002</v>
      </c>
      <c r="K309" s="17">
        <f t="shared" si="13"/>
        <v>798</v>
      </c>
      <c r="L309" s="17">
        <f t="shared" si="14"/>
        <v>802</v>
      </c>
      <c r="M309" s="17">
        <v>0</v>
      </c>
      <c r="N309" s="17">
        <v>50</v>
      </c>
      <c r="O309" s="17">
        <v>0</v>
      </c>
    </row>
    <row r="310" spans="1:15" x14ac:dyDescent="0.2">
      <c r="A310" t="s">
        <v>961</v>
      </c>
      <c r="B310">
        <v>800</v>
      </c>
      <c r="C310" t="s">
        <v>60</v>
      </c>
      <c r="D310" t="s">
        <v>61</v>
      </c>
      <c r="E310" t="s">
        <v>512</v>
      </c>
      <c r="F310" t="s">
        <v>156</v>
      </c>
      <c r="G310" s="17">
        <v>0</v>
      </c>
      <c r="H310" s="17" t="str">
        <f t="shared" si="12"/>
        <v>180</v>
      </c>
      <c r="I310" s="17">
        <v>1.2</v>
      </c>
      <c r="J310" s="17">
        <v>2.2000000000000002</v>
      </c>
      <c r="K310" s="17">
        <f t="shared" si="13"/>
        <v>798</v>
      </c>
      <c r="L310" s="17">
        <f t="shared" si="14"/>
        <v>802</v>
      </c>
      <c r="M310" s="17">
        <v>0</v>
      </c>
      <c r="N310" s="17">
        <v>50</v>
      </c>
      <c r="O310" s="17">
        <v>0</v>
      </c>
    </row>
    <row r="311" spans="1:15" x14ac:dyDescent="0.2">
      <c r="A311" t="s">
        <v>963</v>
      </c>
      <c r="B311">
        <v>800</v>
      </c>
      <c r="C311" t="s">
        <v>60</v>
      </c>
      <c r="D311" t="s">
        <v>61</v>
      </c>
      <c r="E311" t="s">
        <v>89</v>
      </c>
      <c r="F311" t="s">
        <v>111</v>
      </c>
      <c r="G311" s="17">
        <v>0</v>
      </c>
      <c r="H311" s="17" t="str">
        <f t="shared" si="12"/>
        <v>80</v>
      </c>
      <c r="I311" s="17">
        <v>1.2</v>
      </c>
      <c r="J311" s="17">
        <v>2.2000000000000002</v>
      </c>
      <c r="K311" s="17">
        <f t="shared" si="13"/>
        <v>798</v>
      </c>
      <c r="L311" s="17">
        <f t="shared" si="14"/>
        <v>802</v>
      </c>
      <c r="M311" s="17">
        <v>0</v>
      </c>
      <c r="N311" s="17">
        <v>50</v>
      </c>
      <c r="O311" s="17">
        <v>0</v>
      </c>
    </row>
    <row r="312" spans="1:15" x14ac:dyDescent="0.2">
      <c r="A312" t="s">
        <v>965</v>
      </c>
      <c r="B312">
        <v>800</v>
      </c>
      <c r="C312" t="s">
        <v>60</v>
      </c>
      <c r="D312" t="s">
        <v>61</v>
      </c>
      <c r="E312" t="s">
        <v>62</v>
      </c>
      <c r="F312" t="s">
        <v>111</v>
      </c>
      <c r="G312" s="17">
        <v>0</v>
      </c>
      <c r="H312" s="17" t="str">
        <f t="shared" si="12"/>
        <v>40</v>
      </c>
      <c r="I312" s="17">
        <v>1.2</v>
      </c>
      <c r="J312" s="17">
        <v>2.2000000000000002</v>
      </c>
      <c r="K312" s="17">
        <f t="shared" si="13"/>
        <v>798</v>
      </c>
      <c r="L312" s="17">
        <f t="shared" si="14"/>
        <v>802</v>
      </c>
      <c r="M312" s="17">
        <v>0</v>
      </c>
      <c r="N312" s="17">
        <v>50</v>
      </c>
      <c r="O312" s="17">
        <v>0</v>
      </c>
    </row>
    <row r="313" spans="1:15" x14ac:dyDescent="0.2">
      <c r="A313" t="s">
        <v>967</v>
      </c>
      <c r="B313">
        <v>800</v>
      </c>
      <c r="C313" t="s">
        <v>60</v>
      </c>
      <c r="D313" t="s">
        <v>61</v>
      </c>
      <c r="E313" t="s">
        <v>512</v>
      </c>
      <c r="F313" t="s">
        <v>111</v>
      </c>
      <c r="G313" s="17">
        <v>0</v>
      </c>
      <c r="H313" s="17" t="str">
        <f t="shared" si="12"/>
        <v>180</v>
      </c>
      <c r="I313" s="17">
        <v>1.2</v>
      </c>
      <c r="J313" s="17">
        <v>2.2000000000000002</v>
      </c>
      <c r="K313" s="17">
        <f t="shared" si="13"/>
        <v>798</v>
      </c>
      <c r="L313" s="17">
        <f t="shared" si="14"/>
        <v>802</v>
      </c>
      <c r="M313" s="17">
        <v>0</v>
      </c>
      <c r="N313" s="17">
        <v>50</v>
      </c>
      <c r="O313" s="17">
        <v>0</v>
      </c>
    </row>
    <row r="314" spans="1:15" x14ac:dyDescent="0.2">
      <c r="A314" t="s">
        <v>969</v>
      </c>
      <c r="B314">
        <v>800</v>
      </c>
      <c r="C314" t="s">
        <v>60</v>
      </c>
      <c r="D314" t="s">
        <v>61</v>
      </c>
      <c r="E314" t="s">
        <v>512</v>
      </c>
      <c r="F314" t="s">
        <v>111</v>
      </c>
      <c r="G314" s="17">
        <v>0</v>
      </c>
      <c r="H314" s="17" t="str">
        <f t="shared" si="12"/>
        <v>180</v>
      </c>
      <c r="I314" s="17">
        <v>1.2</v>
      </c>
      <c r="J314" s="17">
        <v>2.2000000000000002</v>
      </c>
      <c r="K314" s="17">
        <f t="shared" si="13"/>
        <v>798</v>
      </c>
      <c r="L314" s="17">
        <f t="shared" si="14"/>
        <v>802</v>
      </c>
      <c r="M314" s="17">
        <v>0</v>
      </c>
      <c r="N314" s="17">
        <v>50</v>
      </c>
      <c r="O314" s="17">
        <v>0</v>
      </c>
    </row>
    <row r="315" spans="1:15" x14ac:dyDescent="0.2">
      <c r="A315" t="s">
        <v>971</v>
      </c>
      <c r="B315">
        <v>800</v>
      </c>
      <c r="C315" t="s">
        <v>60</v>
      </c>
      <c r="D315" t="s">
        <v>61</v>
      </c>
      <c r="E315" t="s">
        <v>512</v>
      </c>
      <c r="F315" t="s">
        <v>111</v>
      </c>
      <c r="G315" s="17">
        <v>0</v>
      </c>
      <c r="H315" s="17" t="str">
        <f t="shared" si="12"/>
        <v>180</v>
      </c>
      <c r="I315" s="17">
        <v>1.2</v>
      </c>
      <c r="J315" s="17">
        <v>2.2000000000000002</v>
      </c>
      <c r="K315" s="17">
        <f t="shared" si="13"/>
        <v>798</v>
      </c>
      <c r="L315" s="17">
        <f t="shared" si="14"/>
        <v>802</v>
      </c>
      <c r="M315" s="17">
        <v>0</v>
      </c>
      <c r="N315" s="17">
        <v>50</v>
      </c>
      <c r="O315" s="17">
        <v>0</v>
      </c>
    </row>
    <row r="316" spans="1:15" x14ac:dyDescent="0.2">
      <c r="A316" t="s">
        <v>973</v>
      </c>
      <c r="B316">
        <v>800</v>
      </c>
      <c r="C316" t="s">
        <v>60</v>
      </c>
      <c r="D316" t="s">
        <v>61</v>
      </c>
      <c r="E316" t="s">
        <v>512</v>
      </c>
      <c r="F316" t="s">
        <v>111</v>
      </c>
      <c r="G316" s="17">
        <v>0</v>
      </c>
      <c r="H316" s="17" t="str">
        <f t="shared" si="12"/>
        <v>180</v>
      </c>
      <c r="I316" s="17">
        <v>1.2</v>
      </c>
      <c r="J316" s="17">
        <v>2.2000000000000002</v>
      </c>
      <c r="K316" s="17">
        <f t="shared" si="13"/>
        <v>798</v>
      </c>
      <c r="L316" s="17">
        <f t="shared" si="14"/>
        <v>802</v>
      </c>
      <c r="M316" s="17">
        <v>0</v>
      </c>
      <c r="N316" s="17">
        <v>50</v>
      </c>
      <c r="O316" s="17">
        <v>0</v>
      </c>
    </row>
    <row r="317" spans="1:15" x14ac:dyDescent="0.2">
      <c r="A317" t="s">
        <v>975</v>
      </c>
      <c r="B317">
        <v>800</v>
      </c>
      <c r="C317" t="s">
        <v>60</v>
      </c>
      <c r="D317" t="s">
        <v>61</v>
      </c>
      <c r="E317" t="s">
        <v>512</v>
      </c>
      <c r="F317" t="s">
        <v>306</v>
      </c>
      <c r="G317" s="17">
        <v>0</v>
      </c>
      <c r="H317" s="17" t="str">
        <f t="shared" si="12"/>
        <v>180</v>
      </c>
      <c r="I317" s="17">
        <v>1.2</v>
      </c>
      <c r="J317" s="17">
        <v>2.2000000000000002</v>
      </c>
      <c r="K317" s="17">
        <f t="shared" si="13"/>
        <v>798</v>
      </c>
      <c r="L317" s="17">
        <f t="shared" si="14"/>
        <v>802</v>
      </c>
      <c r="M317" s="17">
        <v>0</v>
      </c>
      <c r="N317" s="17">
        <v>50</v>
      </c>
      <c r="O317" s="17">
        <v>0</v>
      </c>
    </row>
    <row r="318" spans="1:15" x14ac:dyDescent="0.2">
      <c r="A318" t="s">
        <v>977</v>
      </c>
      <c r="B318">
        <v>800</v>
      </c>
      <c r="C318" t="s">
        <v>60</v>
      </c>
      <c r="D318" t="s">
        <v>61</v>
      </c>
      <c r="E318" t="s">
        <v>512</v>
      </c>
      <c r="F318" t="s">
        <v>306</v>
      </c>
      <c r="G318" s="17">
        <v>0</v>
      </c>
      <c r="H318" s="17" t="str">
        <f t="shared" si="12"/>
        <v>180</v>
      </c>
      <c r="I318" s="17">
        <v>1.2</v>
      </c>
      <c r="J318" s="17">
        <v>2.2000000000000002</v>
      </c>
      <c r="K318" s="17">
        <f t="shared" si="13"/>
        <v>798</v>
      </c>
      <c r="L318" s="17">
        <f t="shared" si="14"/>
        <v>802</v>
      </c>
      <c r="M318" s="17">
        <v>0</v>
      </c>
      <c r="N318" s="17">
        <v>50</v>
      </c>
      <c r="O318" s="17">
        <v>0</v>
      </c>
    </row>
    <row r="319" spans="1:15" x14ac:dyDescent="0.2">
      <c r="A319" t="s">
        <v>979</v>
      </c>
      <c r="B319">
        <v>800</v>
      </c>
      <c r="C319" t="s">
        <v>60</v>
      </c>
      <c r="D319" t="s">
        <v>61</v>
      </c>
      <c r="E319" t="s">
        <v>512</v>
      </c>
      <c r="F319" t="s">
        <v>306</v>
      </c>
      <c r="G319" s="17">
        <v>0</v>
      </c>
      <c r="H319" s="17" t="str">
        <f t="shared" si="12"/>
        <v>180</v>
      </c>
      <c r="I319" s="17">
        <v>1.2</v>
      </c>
      <c r="J319" s="17">
        <v>2.2000000000000002</v>
      </c>
      <c r="K319" s="17">
        <f t="shared" si="13"/>
        <v>798</v>
      </c>
      <c r="L319" s="17">
        <f t="shared" si="14"/>
        <v>802</v>
      </c>
      <c r="M319" s="17">
        <v>0</v>
      </c>
      <c r="N319" s="17">
        <v>50</v>
      </c>
      <c r="O319" s="17">
        <v>0</v>
      </c>
    </row>
    <row r="320" spans="1:15" x14ac:dyDescent="0.2">
      <c r="A320" t="s">
        <v>981</v>
      </c>
      <c r="B320">
        <v>800</v>
      </c>
      <c r="C320" t="s">
        <v>60</v>
      </c>
      <c r="D320" t="s">
        <v>61</v>
      </c>
      <c r="E320" t="s">
        <v>512</v>
      </c>
      <c r="F320" t="s">
        <v>306</v>
      </c>
      <c r="G320" s="17">
        <v>0</v>
      </c>
      <c r="H320" s="17" t="str">
        <f t="shared" si="12"/>
        <v>180</v>
      </c>
      <c r="I320" s="17">
        <v>1.2</v>
      </c>
      <c r="J320" s="17">
        <v>2.2000000000000002</v>
      </c>
      <c r="K320" s="17">
        <f t="shared" si="13"/>
        <v>798</v>
      </c>
      <c r="L320" s="17">
        <f t="shared" si="14"/>
        <v>802</v>
      </c>
      <c r="M320" s="17">
        <v>0</v>
      </c>
      <c r="N320" s="17">
        <v>50</v>
      </c>
      <c r="O320" s="17">
        <v>0</v>
      </c>
    </row>
    <row r="321" spans="1:15" x14ac:dyDescent="0.2">
      <c r="A321" t="s">
        <v>983</v>
      </c>
      <c r="B321">
        <v>800</v>
      </c>
      <c r="C321" t="s">
        <v>60</v>
      </c>
      <c r="D321" t="s">
        <v>61</v>
      </c>
      <c r="E321" t="s">
        <v>512</v>
      </c>
      <c r="G321" s="17">
        <v>0</v>
      </c>
      <c r="H321" s="17" t="str">
        <f t="shared" si="12"/>
        <v>180</v>
      </c>
      <c r="I321" s="17">
        <v>1.2</v>
      </c>
      <c r="J321" s="17">
        <v>2.2000000000000002</v>
      </c>
      <c r="K321" s="17">
        <f t="shared" si="13"/>
        <v>798</v>
      </c>
      <c r="L321" s="17">
        <f t="shared" si="14"/>
        <v>802</v>
      </c>
      <c r="M321" s="17">
        <v>0</v>
      </c>
      <c r="N321" s="17">
        <v>50</v>
      </c>
      <c r="O321" s="17">
        <v>0</v>
      </c>
    </row>
    <row r="322" spans="1:15" x14ac:dyDescent="0.2">
      <c r="A322" t="s">
        <v>985</v>
      </c>
      <c r="B322">
        <v>800</v>
      </c>
      <c r="C322" t="s">
        <v>60</v>
      </c>
      <c r="D322" t="s">
        <v>61</v>
      </c>
      <c r="E322" t="s">
        <v>512</v>
      </c>
      <c r="G322" s="17">
        <v>0</v>
      </c>
      <c r="H322" s="17" t="str">
        <f t="shared" si="12"/>
        <v>180</v>
      </c>
      <c r="I322" s="17">
        <v>1.2</v>
      </c>
      <c r="J322" s="17">
        <v>2.2000000000000002</v>
      </c>
      <c r="K322" s="17">
        <f t="shared" si="13"/>
        <v>798</v>
      </c>
      <c r="L322" s="17">
        <f t="shared" si="14"/>
        <v>802</v>
      </c>
      <c r="M322" s="17">
        <v>0</v>
      </c>
      <c r="N322" s="17">
        <v>50</v>
      </c>
      <c r="O322" s="17">
        <v>0</v>
      </c>
    </row>
    <row r="323" spans="1:15" x14ac:dyDescent="0.2">
      <c r="A323" t="s">
        <v>987</v>
      </c>
      <c r="B323" t="s">
        <v>988</v>
      </c>
      <c r="C323" t="s">
        <v>60</v>
      </c>
      <c r="D323" t="s">
        <v>61</v>
      </c>
      <c r="E323" t="s">
        <v>512</v>
      </c>
      <c r="F323" t="s">
        <v>159</v>
      </c>
      <c r="G323" s="17">
        <v>0</v>
      </c>
      <c r="H323" s="17" t="str">
        <f t="shared" ref="H323:H386" si="15">_xlfn.TEXTAFTER(E323,"-",1)</f>
        <v>180</v>
      </c>
      <c r="I323" s="17">
        <v>1.2</v>
      </c>
      <c r="J323" s="17">
        <v>2.2000000000000002</v>
      </c>
      <c r="K323" s="17">
        <f t="shared" ref="K323:K386" si="16">B323-2</f>
        <v>778.24099999999999</v>
      </c>
      <c r="L323" s="17">
        <f t="shared" ref="L323:L386" si="17">B323+2</f>
        <v>782.24099999999999</v>
      </c>
      <c r="M323" s="17">
        <v>0</v>
      </c>
      <c r="N323" s="17">
        <v>50</v>
      </c>
      <c r="O323" s="17">
        <v>0</v>
      </c>
    </row>
    <row r="324" spans="1:15" x14ac:dyDescent="0.2">
      <c r="A324" t="s">
        <v>990</v>
      </c>
      <c r="B324">
        <v>808</v>
      </c>
      <c r="C324" t="s">
        <v>60</v>
      </c>
      <c r="D324" t="s">
        <v>61</v>
      </c>
      <c r="E324" t="s">
        <v>89</v>
      </c>
      <c r="G324" s="17">
        <v>0</v>
      </c>
      <c r="H324" s="17" t="str">
        <f t="shared" si="15"/>
        <v>80</v>
      </c>
      <c r="I324" s="17">
        <v>1.2</v>
      </c>
      <c r="J324" s="17">
        <v>2.2000000000000002</v>
      </c>
      <c r="K324" s="17">
        <f t="shared" si="16"/>
        <v>806</v>
      </c>
      <c r="L324" s="17">
        <f t="shared" si="17"/>
        <v>810</v>
      </c>
      <c r="M324" s="17">
        <v>0</v>
      </c>
      <c r="N324" s="17">
        <v>50</v>
      </c>
      <c r="O324" s="17">
        <v>0</v>
      </c>
    </row>
    <row r="325" spans="1:15" x14ac:dyDescent="0.2">
      <c r="A325" t="s">
        <v>994</v>
      </c>
      <c r="B325">
        <v>808</v>
      </c>
      <c r="C325" t="s">
        <v>60</v>
      </c>
      <c r="D325" t="s">
        <v>61</v>
      </c>
      <c r="E325" t="s">
        <v>62</v>
      </c>
      <c r="G325" s="17">
        <v>0</v>
      </c>
      <c r="H325" s="17" t="str">
        <f t="shared" si="15"/>
        <v>40</v>
      </c>
      <c r="I325" s="17">
        <v>1.2</v>
      </c>
      <c r="J325" s="17">
        <v>2.2000000000000002</v>
      </c>
      <c r="K325" s="17">
        <f t="shared" si="16"/>
        <v>806</v>
      </c>
      <c r="L325" s="17">
        <f t="shared" si="17"/>
        <v>810</v>
      </c>
      <c r="M325" s="17">
        <v>0</v>
      </c>
      <c r="N325" s="17">
        <v>50</v>
      </c>
      <c r="O325" s="17">
        <v>0</v>
      </c>
    </row>
    <row r="326" spans="1:15" x14ac:dyDescent="0.2">
      <c r="A326" t="s">
        <v>996</v>
      </c>
      <c r="B326">
        <v>808</v>
      </c>
      <c r="C326" t="s">
        <v>60</v>
      </c>
      <c r="D326" t="s">
        <v>61</v>
      </c>
      <c r="E326" t="s">
        <v>512</v>
      </c>
      <c r="G326" s="17">
        <v>0</v>
      </c>
      <c r="H326" s="17" t="str">
        <f t="shared" si="15"/>
        <v>180</v>
      </c>
      <c r="I326" s="17">
        <v>1.2</v>
      </c>
      <c r="J326" s="17">
        <v>2.2000000000000002</v>
      </c>
      <c r="K326" s="17">
        <f t="shared" si="16"/>
        <v>806</v>
      </c>
      <c r="L326" s="17">
        <f t="shared" si="17"/>
        <v>810</v>
      </c>
      <c r="M326" s="17">
        <v>0</v>
      </c>
      <c r="N326" s="17">
        <v>50</v>
      </c>
      <c r="O326" s="17">
        <v>0</v>
      </c>
    </row>
    <row r="327" spans="1:15" x14ac:dyDescent="0.2">
      <c r="A327" t="s">
        <v>998</v>
      </c>
      <c r="B327">
        <v>808</v>
      </c>
      <c r="C327" t="s">
        <v>60</v>
      </c>
      <c r="D327" t="s">
        <v>61</v>
      </c>
      <c r="E327" t="s">
        <v>512</v>
      </c>
      <c r="G327" s="17">
        <v>0</v>
      </c>
      <c r="H327" s="17" t="str">
        <f t="shared" si="15"/>
        <v>180</v>
      </c>
      <c r="I327" s="17">
        <v>1.2</v>
      </c>
      <c r="J327" s="17">
        <v>2.2000000000000002</v>
      </c>
      <c r="K327" s="17">
        <f t="shared" si="16"/>
        <v>806</v>
      </c>
      <c r="L327" s="17">
        <f t="shared" si="17"/>
        <v>810</v>
      </c>
      <c r="M327" s="17">
        <v>0</v>
      </c>
      <c r="N327" s="17">
        <v>50</v>
      </c>
      <c r="O327" s="17">
        <v>0</v>
      </c>
    </row>
    <row r="328" spans="1:15" x14ac:dyDescent="0.2">
      <c r="A328" t="s">
        <v>1000</v>
      </c>
      <c r="B328">
        <v>808</v>
      </c>
      <c r="C328" t="s">
        <v>60</v>
      </c>
      <c r="D328" t="s">
        <v>61</v>
      </c>
      <c r="E328" t="s">
        <v>89</v>
      </c>
      <c r="F328" t="s">
        <v>111</v>
      </c>
      <c r="G328" s="17">
        <v>0</v>
      </c>
      <c r="H328" s="17" t="str">
        <f t="shared" si="15"/>
        <v>80</v>
      </c>
      <c r="I328" s="17">
        <v>1.2</v>
      </c>
      <c r="J328" s="17">
        <v>2.2000000000000002</v>
      </c>
      <c r="K328" s="17">
        <f t="shared" si="16"/>
        <v>806</v>
      </c>
      <c r="L328" s="17">
        <f t="shared" si="17"/>
        <v>810</v>
      </c>
      <c r="M328" s="17">
        <v>0</v>
      </c>
      <c r="N328" s="17">
        <v>50</v>
      </c>
      <c r="O328" s="17">
        <v>0</v>
      </c>
    </row>
    <row r="329" spans="1:15" x14ac:dyDescent="0.2">
      <c r="A329" t="s">
        <v>1002</v>
      </c>
      <c r="B329">
        <v>808</v>
      </c>
      <c r="C329" t="s">
        <v>60</v>
      </c>
      <c r="D329" t="s">
        <v>61</v>
      </c>
      <c r="E329" t="s">
        <v>62</v>
      </c>
      <c r="F329" t="s">
        <v>111</v>
      </c>
      <c r="G329" s="17">
        <v>0</v>
      </c>
      <c r="H329" s="17" t="str">
        <f t="shared" si="15"/>
        <v>40</v>
      </c>
      <c r="I329" s="17">
        <v>1.2</v>
      </c>
      <c r="J329" s="17">
        <v>2.2000000000000002</v>
      </c>
      <c r="K329" s="17">
        <f t="shared" si="16"/>
        <v>806</v>
      </c>
      <c r="L329" s="17">
        <f t="shared" si="17"/>
        <v>810</v>
      </c>
      <c r="M329" s="17">
        <v>0</v>
      </c>
      <c r="N329" s="17">
        <v>50</v>
      </c>
      <c r="O329" s="17">
        <v>0</v>
      </c>
    </row>
    <row r="330" spans="1:15" x14ac:dyDescent="0.2">
      <c r="A330" t="s">
        <v>1004</v>
      </c>
      <c r="B330">
        <v>808</v>
      </c>
      <c r="C330" t="s">
        <v>60</v>
      </c>
      <c r="D330" t="s">
        <v>61</v>
      </c>
      <c r="E330" t="s">
        <v>512</v>
      </c>
      <c r="F330" t="s">
        <v>111</v>
      </c>
      <c r="G330" s="17">
        <v>0</v>
      </c>
      <c r="H330" s="17" t="str">
        <f t="shared" si="15"/>
        <v>180</v>
      </c>
      <c r="I330" s="17">
        <v>1.2</v>
      </c>
      <c r="J330" s="17">
        <v>2.2000000000000002</v>
      </c>
      <c r="K330" s="17">
        <f t="shared" si="16"/>
        <v>806</v>
      </c>
      <c r="L330" s="17">
        <f t="shared" si="17"/>
        <v>810</v>
      </c>
      <c r="M330" s="17">
        <v>0</v>
      </c>
      <c r="N330" s="17">
        <v>50</v>
      </c>
      <c r="O330" s="17">
        <v>0</v>
      </c>
    </row>
    <row r="331" spans="1:15" x14ac:dyDescent="0.2">
      <c r="A331" t="s">
        <v>1006</v>
      </c>
      <c r="B331">
        <v>808</v>
      </c>
      <c r="C331" t="s">
        <v>60</v>
      </c>
      <c r="D331" t="s">
        <v>61</v>
      </c>
      <c r="E331" t="s">
        <v>512</v>
      </c>
      <c r="F331" t="s">
        <v>111</v>
      </c>
      <c r="G331" s="17">
        <v>0</v>
      </c>
      <c r="H331" s="17" t="str">
        <f t="shared" si="15"/>
        <v>180</v>
      </c>
      <c r="I331" s="17">
        <v>1.2</v>
      </c>
      <c r="J331" s="17">
        <v>2.2000000000000002</v>
      </c>
      <c r="K331" s="17">
        <f t="shared" si="16"/>
        <v>806</v>
      </c>
      <c r="L331" s="17">
        <f t="shared" si="17"/>
        <v>810</v>
      </c>
      <c r="M331" s="17">
        <v>0</v>
      </c>
      <c r="N331" s="17">
        <v>50</v>
      </c>
      <c r="O331" s="17">
        <v>0</v>
      </c>
    </row>
    <row r="332" spans="1:15" x14ac:dyDescent="0.2">
      <c r="A332" t="s">
        <v>1008</v>
      </c>
      <c r="B332">
        <v>808</v>
      </c>
      <c r="C332" t="s">
        <v>60</v>
      </c>
      <c r="D332" t="s">
        <v>61</v>
      </c>
      <c r="E332" t="s">
        <v>512</v>
      </c>
      <c r="F332" t="s">
        <v>111</v>
      </c>
      <c r="G332" s="17">
        <v>0</v>
      </c>
      <c r="H332" s="17" t="str">
        <f t="shared" si="15"/>
        <v>180</v>
      </c>
      <c r="I332" s="17">
        <v>1.2</v>
      </c>
      <c r="J332" s="17">
        <v>2.2000000000000002</v>
      </c>
      <c r="K332" s="17">
        <f t="shared" si="16"/>
        <v>806</v>
      </c>
      <c r="L332" s="17">
        <f t="shared" si="17"/>
        <v>810</v>
      </c>
      <c r="M332" s="17">
        <v>0</v>
      </c>
      <c r="N332" s="17">
        <v>50</v>
      </c>
      <c r="O332" s="17">
        <v>0</v>
      </c>
    </row>
    <row r="333" spans="1:15" x14ac:dyDescent="0.2">
      <c r="A333" t="s">
        <v>1010</v>
      </c>
      <c r="B333">
        <v>808</v>
      </c>
      <c r="C333" t="s">
        <v>60</v>
      </c>
      <c r="D333" t="s">
        <v>61</v>
      </c>
      <c r="E333" t="s">
        <v>512</v>
      </c>
      <c r="F333" t="s">
        <v>111</v>
      </c>
      <c r="G333" s="17">
        <v>0</v>
      </c>
      <c r="H333" s="17" t="str">
        <f t="shared" si="15"/>
        <v>180</v>
      </c>
      <c r="I333" s="17">
        <v>1.2</v>
      </c>
      <c r="J333" s="17">
        <v>2.2000000000000002</v>
      </c>
      <c r="K333" s="17">
        <f t="shared" si="16"/>
        <v>806</v>
      </c>
      <c r="L333" s="17">
        <f t="shared" si="17"/>
        <v>810</v>
      </c>
      <c r="M333" s="17">
        <v>0</v>
      </c>
      <c r="N333" s="17">
        <v>50</v>
      </c>
      <c r="O333" s="17">
        <v>0</v>
      </c>
    </row>
    <row r="334" spans="1:15" x14ac:dyDescent="0.2">
      <c r="A334" t="s">
        <v>1012</v>
      </c>
      <c r="B334">
        <v>808</v>
      </c>
      <c r="C334" t="s">
        <v>60</v>
      </c>
      <c r="D334" t="s">
        <v>61</v>
      </c>
      <c r="E334" t="s">
        <v>512</v>
      </c>
      <c r="G334" s="17">
        <v>0</v>
      </c>
      <c r="H334" s="17" t="str">
        <f t="shared" si="15"/>
        <v>180</v>
      </c>
      <c r="I334" s="17">
        <v>1.2</v>
      </c>
      <c r="J334" s="17">
        <v>2.2000000000000002</v>
      </c>
      <c r="K334" s="17">
        <f t="shared" si="16"/>
        <v>806</v>
      </c>
      <c r="L334" s="17">
        <f t="shared" si="17"/>
        <v>810</v>
      </c>
      <c r="M334" s="17">
        <v>0</v>
      </c>
      <c r="N334" s="17">
        <v>50</v>
      </c>
      <c r="O334" s="17">
        <v>0</v>
      </c>
    </row>
    <row r="335" spans="1:15" x14ac:dyDescent="0.2">
      <c r="A335" t="s">
        <v>1014</v>
      </c>
      <c r="B335">
        <v>808</v>
      </c>
      <c r="C335" t="s">
        <v>60</v>
      </c>
      <c r="D335" t="s">
        <v>61</v>
      </c>
      <c r="E335" t="s">
        <v>512</v>
      </c>
      <c r="G335" s="17">
        <v>0</v>
      </c>
      <c r="H335" s="17" t="str">
        <f t="shared" si="15"/>
        <v>180</v>
      </c>
      <c r="I335" s="17">
        <v>1.2</v>
      </c>
      <c r="J335" s="17">
        <v>2.2000000000000002</v>
      </c>
      <c r="K335" s="17">
        <f t="shared" si="16"/>
        <v>806</v>
      </c>
      <c r="L335" s="17">
        <f t="shared" si="17"/>
        <v>810</v>
      </c>
      <c r="M335" s="17">
        <v>0</v>
      </c>
      <c r="N335" s="17">
        <v>50</v>
      </c>
      <c r="O335" s="17">
        <v>0</v>
      </c>
    </row>
    <row r="336" spans="1:15" x14ac:dyDescent="0.2">
      <c r="A336" t="s">
        <v>1016</v>
      </c>
      <c r="B336" t="s">
        <v>988</v>
      </c>
      <c r="C336" t="s">
        <v>60</v>
      </c>
      <c r="D336" t="s">
        <v>612</v>
      </c>
      <c r="E336" t="s">
        <v>613</v>
      </c>
      <c r="F336" t="s">
        <v>159</v>
      </c>
      <c r="G336" s="17">
        <v>0</v>
      </c>
      <c r="H336" s="17" t="str">
        <f t="shared" si="15"/>
        <v>30</v>
      </c>
      <c r="I336" s="17">
        <v>1.2</v>
      </c>
      <c r="J336" s="17">
        <v>2.2000000000000002</v>
      </c>
      <c r="K336" s="17">
        <f t="shared" si="16"/>
        <v>778.24099999999999</v>
      </c>
      <c r="L336" s="17">
        <f t="shared" si="17"/>
        <v>782.24099999999999</v>
      </c>
      <c r="M336" s="17">
        <v>0</v>
      </c>
      <c r="N336" s="17">
        <v>50</v>
      </c>
      <c r="O336" s="17">
        <v>0</v>
      </c>
    </row>
    <row r="337" spans="1:15" x14ac:dyDescent="0.2">
      <c r="A337" t="s">
        <v>1018</v>
      </c>
      <c r="B337">
        <v>810</v>
      </c>
      <c r="C337" t="s">
        <v>60</v>
      </c>
      <c r="D337" t="s">
        <v>61</v>
      </c>
      <c r="E337" t="s">
        <v>89</v>
      </c>
      <c r="G337" s="17">
        <v>0</v>
      </c>
      <c r="H337" s="17" t="str">
        <f t="shared" si="15"/>
        <v>80</v>
      </c>
      <c r="I337" s="17">
        <v>1.2</v>
      </c>
      <c r="J337" s="17">
        <v>2.2000000000000002</v>
      </c>
      <c r="K337" s="17">
        <f t="shared" si="16"/>
        <v>808</v>
      </c>
      <c r="L337" s="17">
        <f t="shared" si="17"/>
        <v>812</v>
      </c>
      <c r="M337" s="17">
        <v>0</v>
      </c>
      <c r="N337" s="17">
        <v>50</v>
      </c>
      <c r="O337" s="17">
        <v>0</v>
      </c>
    </row>
    <row r="338" spans="1:15" x14ac:dyDescent="0.2">
      <c r="A338" t="s">
        <v>1022</v>
      </c>
      <c r="B338">
        <v>810</v>
      </c>
      <c r="C338" t="s">
        <v>60</v>
      </c>
      <c r="D338" t="s">
        <v>61</v>
      </c>
      <c r="E338" t="s">
        <v>62</v>
      </c>
      <c r="G338" s="17">
        <v>0</v>
      </c>
      <c r="H338" s="17" t="str">
        <f t="shared" si="15"/>
        <v>40</v>
      </c>
      <c r="I338" s="17">
        <v>1.2</v>
      </c>
      <c r="J338" s="17">
        <v>2.2000000000000002</v>
      </c>
      <c r="K338" s="17">
        <f t="shared" si="16"/>
        <v>808</v>
      </c>
      <c r="L338" s="17">
        <f t="shared" si="17"/>
        <v>812</v>
      </c>
      <c r="M338" s="17">
        <v>0</v>
      </c>
      <c r="N338" s="17">
        <v>50</v>
      </c>
      <c r="O338" s="17">
        <v>0</v>
      </c>
    </row>
    <row r="339" spans="1:15" x14ac:dyDescent="0.2">
      <c r="A339" t="s">
        <v>1024</v>
      </c>
      <c r="B339">
        <v>810</v>
      </c>
      <c r="C339" t="s">
        <v>60</v>
      </c>
      <c r="D339" t="s">
        <v>61</v>
      </c>
      <c r="E339" t="s">
        <v>512</v>
      </c>
      <c r="G339" s="17">
        <v>0</v>
      </c>
      <c r="H339" s="17" t="str">
        <f t="shared" si="15"/>
        <v>180</v>
      </c>
      <c r="I339" s="17">
        <v>1.2</v>
      </c>
      <c r="J339" s="17">
        <v>2.2000000000000002</v>
      </c>
      <c r="K339" s="17">
        <f t="shared" si="16"/>
        <v>808</v>
      </c>
      <c r="L339" s="17">
        <f t="shared" si="17"/>
        <v>812</v>
      </c>
      <c r="M339" s="17">
        <v>0</v>
      </c>
      <c r="N339" s="17">
        <v>50</v>
      </c>
      <c r="O339" s="17">
        <v>0</v>
      </c>
    </row>
    <row r="340" spans="1:15" x14ac:dyDescent="0.2">
      <c r="A340" t="s">
        <v>1026</v>
      </c>
      <c r="B340">
        <v>810</v>
      </c>
      <c r="C340" t="s">
        <v>60</v>
      </c>
      <c r="D340" t="s">
        <v>61</v>
      </c>
      <c r="E340" t="s">
        <v>512</v>
      </c>
      <c r="G340" s="17">
        <v>0</v>
      </c>
      <c r="H340" s="17" t="str">
        <f t="shared" si="15"/>
        <v>180</v>
      </c>
      <c r="I340" s="17">
        <v>1.2</v>
      </c>
      <c r="J340" s="17">
        <v>2.2000000000000002</v>
      </c>
      <c r="K340" s="17">
        <f t="shared" si="16"/>
        <v>808</v>
      </c>
      <c r="L340" s="17">
        <f t="shared" si="17"/>
        <v>812</v>
      </c>
      <c r="M340" s="17">
        <v>0</v>
      </c>
      <c r="N340" s="17">
        <v>50</v>
      </c>
      <c r="O340" s="17">
        <v>0</v>
      </c>
    </row>
    <row r="341" spans="1:15" x14ac:dyDescent="0.2">
      <c r="A341" t="s">
        <v>1028</v>
      </c>
      <c r="B341">
        <v>810</v>
      </c>
      <c r="C341" t="s">
        <v>60</v>
      </c>
      <c r="D341" t="s">
        <v>61</v>
      </c>
      <c r="E341" t="s">
        <v>89</v>
      </c>
      <c r="F341" t="s">
        <v>111</v>
      </c>
      <c r="G341" s="17">
        <v>0</v>
      </c>
      <c r="H341" s="17" t="str">
        <f t="shared" si="15"/>
        <v>80</v>
      </c>
      <c r="I341" s="17">
        <v>1.2</v>
      </c>
      <c r="J341" s="17">
        <v>2.2000000000000002</v>
      </c>
      <c r="K341" s="17">
        <f t="shared" si="16"/>
        <v>808</v>
      </c>
      <c r="L341" s="17">
        <f t="shared" si="17"/>
        <v>812</v>
      </c>
      <c r="M341" s="17">
        <v>0</v>
      </c>
      <c r="N341" s="17">
        <v>50</v>
      </c>
      <c r="O341" s="17">
        <v>0</v>
      </c>
    </row>
    <row r="342" spans="1:15" x14ac:dyDescent="0.2">
      <c r="A342" t="s">
        <v>1030</v>
      </c>
      <c r="B342">
        <v>810</v>
      </c>
      <c r="C342" t="s">
        <v>60</v>
      </c>
      <c r="D342" t="s">
        <v>61</v>
      </c>
      <c r="E342" t="s">
        <v>62</v>
      </c>
      <c r="F342" t="s">
        <v>111</v>
      </c>
      <c r="G342" s="17">
        <v>0</v>
      </c>
      <c r="H342" s="17" t="str">
        <f t="shared" si="15"/>
        <v>40</v>
      </c>
      <c r="I342" s="17">
        <v>1.2</v>
      </c>
      <c r="J342" s="17">
        <v>2.2000000000000002</v>
      </c>
      <c r="K342" s="17">
        <f t="shared" si="16"/>
        <v>808</v>
      </c>
      <c r="L342" s="17">
        <f t="shared" si="17"/>
        <v>812</v>
      </c>
      <c r="M342" s="17">
        <v>0</v>
      </c>
      <c r="N342" s="17">
        <v>50</v>
      </c>
      <c r="O342" s="17">
        <v>0</v>
      </c>
    </row>
    <row r="343" spans="1:15" x14ac:dyDescent="0.2">
      <c r="A343" t="s">
        <v>1032</v>
      </c>
      <c r="B343">
        <v>810</v>
      </c>
      <c r="C343" t="s">
        <v>60</v>
      </c>
      <c r="D343" t="s">
        <v>61</v>
      </c>
      <c r="E343" t="s">
        <v>512</v>
      </c>
      <c r="F343" t="s">
        <v>111</v>
      </c>
      <c r="G343" s="17">
        <v>0</v>
      </c>
      <c r="H343" s="17" t="str">
        <f t="shared" si="15"/>
        <v>180</v>
      </c>
      <c r="I343" s="17">
        <v>1.2</v>
      </c>
      <c r="J343" s="17">
        <v>2.2000000000000002</v>
      </c>
      <c r="K343" s="17">
        <f t="shared" si="16"/>
        <v>808</v>
      </c>
      <c r="L343" s="17">
        <f t="shared" si="17"/>
        <v>812</v>
      </c>
      <c r="M343" s="17">
        <v>0</v>
      </c>
      <c r="N343" s="17">
        <v>50</v>
      </c>
      <c r="O343" s="17">
        <v>0</v>
      </c>
    </row>
    <row r="344" spans="1:15" x14ac:dyDescent="0.2">
      <c r="A344" t="s">
        <v>1034</v>
      </c>
      <c r="B344">
        <v>810</v>
      </c>
      <c r="C344" t="s">
        <v>60</v>
      </c>
      <c r="D344" t="s">
        <v>61</v>
      </c>
      <c r="E344" t="s">
        <v>512</v>
      </c>
      <c r="F344" t="s">
        <v>111</v>
      </c>
      <c r="G344" s="17">
        <v>0</v>
      </c>
      <c r="H344" s="17" t="str">
        <f t="shared" si="15"/>
        <v>180</v>
      </c>
      <c r="I344" s="17">
        <v>1.2</v>
      </c>
      <c r="J344" s="17">
        <v>2.2000000000000002</v>
      </c>
      <c r="K344" s="17">
        <f t="shared" si="16"/>
        <v>808</v>
      </c>
      <c r="L344" s="17">
        <f t="shared" si="17"/>
        <v>812</v>
      </c>
      <c r="M344" s="17">
        <v>0</v>
      </c>
      <c r="N344" s="17">
        <v>50</v>
      </c>
      <c r="O344" s="17">
        <v>0</v>
      </c>
    </row>
    <row r="345" spans="1:15" x14ac:dyDescent="0.2">
      <c r="A345" t="s">
        <v>1036</v>
      </c>
      <c r="B345">
        <v>810</v>
      </c>
      <c r="C345" t="s">
        <v>60</v>
      </c>
      <c r="D345" t="s">
        <v>61</v>
      </c>
      <c r="E345" t="s">
        <v>512</v>
      </c>
      <c r="F345" t="s">
        <v>111</v>
      </c>
      <c r="G345" s="17">
        <v>0</v>
      </c>
      <c r="H345" s="17" t="str">
        <f t="shared" si="15"/>
        <v>180</v>
      </c>
      <c r="I345" s="17">
        <v>1.2</v>
      </c>
      <c r="J345" s="17">
        <v>2.2000000000000002</v>
      </c>
      <c r="K345" s="17">
        <f t="shared" si="16"/>
        <v>808</v>
      </c>
      <c r="L345" s="17">
        <f t="shared" si="17"/>
        <v>812</v>
      </c>
      <c r="M345" s="17">
        <v>0</v>
      </c>
      <c r="N345" s="17">
        <v>50</v>
      </c>
      <c r="O345" s="17">
        <v>0</v>
      </c>
    </row>
    <row r="346" spans="1:15" x14ac:dyDescent="0.2">
      <c r="A346" t="s">
        <v>1038</v>
      </c>
      <c r="B346">
        <v>810</v>
      </c>
      <c r="C346" t="s">
        <v>60</v>
      </c>
      <c r="D346" t="s">
        <v>61</v>
      </c>
      <c r="E346" t="s">
        <v>512</v>
      </c>
      <c r="F346" t="s">
        <v>111</v>
      </c>
      <c r="G346" s="17">
        <v>0</v>
      </c>
      <c r="H346" s="17" t="str">
        <f t="shared" si="15"/>
        <v>180</v>
      </c>
      <c r="I346" s="17">
        <v>1.2</v>
      </c>
      <c r="J346" s="17">
        <v>2.2000000000000002</v>
      </c>
      <c r="K346" s="17">
        <f t="shared" si="16"/>
        <v>808</v>
      </c>
      <c r="L346" s="17">
        <f t="shared" si="17"/>
        <v>812</v>
      </c>
      <c r="M346" s="17">
        <v>0</v>
      </c>
      <c r="N346" s="17">
        <v>50</v>
      </c>
      <c r="O346" s="17">
        <v>0</v>
      </c>
    </row>
    <row r="347" spans="1:15" x14ac:dyDescent="0.2">
      <c r="A347" t="s">
        <v>1040</v>
      </c>
      <c r="B347">
        <v>810</v>
      </c>
      <c r="C347" t="s">
        <v>60</v>
      </c>
      <c r="D347" t="s">
        <v>61</v>
      </c>
      <c r="E347" t="s">
        <v>512</v>
      </c>
      <c r="G347" s="17">
        <v>0</v>
      </c>
      <c r="H347" s="17" t="str">
        <f t="shared" si="15"/>
        <v>180</v>
      </c>
      <c r="I347" s="17">
        <v>1.2</v>
      </c>
      <c r="J347" s="17">
        <v>2.2000000000000002</v>
      </c>
      <c r="K347" s="17">
        <f t="shared" si="16"/>
        <v>808</v>
      </c>
      <c r="L347" s="17">
        <f t="shared" si="17"/>
        <v>812</v>
      </c>
      <c r="M347" s="17">
        <v>0</v>
      </c>
      <c r="N347" s="17">
        <v>50</v>
      </c>
      <c r="O347" s="17">
        <v>0</v>
      </c>
    </row>
    <row r="348" spans="1:15" x14ac:dyDescent="0.2">
      <c r="A348" t="s">
        <v>1042</v>
      </c>
      <c r="B348">
        <v>810</v>
      </c>
      <c r="C348" t="s">
        <v>60</v>
      </c>
      <c r="D348" t="s">
        <v>61</v>
      </c>
      <c r="E348" t="s">
        <v>512</v>
      </c>
      <c r="G348" s="17">
        <v>0</v>
      </c>
      <c r="H348" s="17" t="str">
        <f t="shared" si="15"/>
        <v>180</v>
      </c>
      <c r="I348" s="17">
        <v>1.2</v>
      </c>
      <c r="J348" s="17">
        <v>2.2000000000000002</v>
      </c>
      <c r="K348" s="17">
        <f t="shared" si="16"/>
        <v>808</v>
      </c>
      <c r="L348" s="17">
        <f t="shared" si="17"/>
        <v>812</v>
      </c>
      <c r="M348" s="17">
        <v>0</v>
      </c>
      <c r="N348" s="17">
        <v>50</v>
      </c>
      <c r="O348" s="17">
        <v>0</v>
      </c>
    </row>
    <row r="349" spans="1:15" x14ac:dyDescent="0.2">
      <c r="A349" t="s">
        <v>1044</v>
      </c>
      <c r="B349" t="s">
        <v>988</v>
      </c>
      <c r="C349" t="s">
        <v>60</v>
      </c>
      <c r="D349" t="s">
        <v>156</v>
      </c>
      <c r="E349" t="s">
        <v>89</v>
      </c>
      <c r="F349" t="s">
        <v>159</v>
      </c>
      <c r="G349" s="17">
        <v>0</v>
      </c>
      <c r="H349" s="17" t="str">
        <f t="shared" si="15"/>
        <v>80</v>
      </c>
      <c r="I349" s="17">
        <v>1.2</v>
      </c>
      <c r="J349" s="17">
        <v>2.2000000000000002</v>
      </c>
      <c r="K349" s="17">
        <f t="shared" si="16"/>
        <v>778.24099999999999</v>
      </c>
      <c r="L349" s="17">
        <f t="shared" si="17"/>
        <v>782.24099999999999</v>
      </c>
      <c r="M349" s="17">
        <v>0</v>
      </c>
      <c r="N349" s="17">
        <v>50</v>
      </c>
      <c r="O349" s="17">
        <v>0</v>
      </c>
    </row>
    <row r="350" spans="1:15" x14ac:dyDescent="0.2">
      <c r="A350" t="s">
        <v>1046</v>
      </c>
      <c r="B350">
        <v>816</v>
      </c>
      <c r="C350" t="s">
        <v>60</v>
      </c>
      <c r="D350" t="s">
        <v>61</v>
      </c>
      <c r="E350" t="s">
        <v>1047</v>
      </c>
      <c r="G350" s="17">
        <v>0</v>
      </c>
      <c r="H350" s="17" t="str">
        <f t="shared" si="15"/>
        <v>70</v>
      </c>
      <c r="I350" s="17">
        <v>1.2</v>
      </c>
      <c r="J350" s="17">
        <v>2.2000000000000002</v>
      </c>
      <c r="K350" s="17">
        <f t="shared" si="16"/>
        <v>814</v>
      </c>
      <c r="L350" s="17">
        <f t="shared" si="17"/>
        <v>818</v>
      </c>
      <c r="M350" s="17">
        <v>0</v>
      </c>
      <c r="N350" s="17">
        <v>50</v>
      </c>
      <c r="O350" s="17">
        <v>0</v>
      </c>
    </row>
    <row r="351" spans="1:15" x14ac:dyDescent="0.2">
      <c r="A351" t="s">
        <v>1053</v>
      </c>
      <c r="B351">
        <v>816</v>
      </c>
      <c r="C351" t="s">
        <v>60</v>
      </c>
      <c r="D351" t="s">
        <v>61</v>
      </c>
      <c r="E351" t="s">
        <v>1054</v>
      </c>
      <c r="G351" s="17">
        <v>0</v>
      </c>
      <c r="H351" s="17" t="str">
        <f t="shared" si="15"/>
        <v>35</v>
      </c>
      <c r="I351" s="17">
        <v>1.2</v>
      </c>
      <c r="J351" s="17">
        <v>2.2000000000000002</v>
      </c>
      <c r="K351" s="17">
        <f t="shared" si="16"/>
        <v>814</v>
      </c>
      <c r="L351" s="17">
        <f t="shared" si="17"/>
        <v>818</v>
      </c>
      <c r="M351" s="17">
        <v>0</v>
      </c>
      <c r="N351" s="17">
        <v>50</v>
      </c>
      <c r="O351" s="17">
        <v>0</v>
      </c>
    </row>
    <row r="352" spans="1:15" x14ac:dyDescent="0.2">
      <c r="A352" t="s">
        <v>1058</v>
      </c>
      <c r="B352">
        <v>816</v>
      </c>
      <c r="C352" t="s">
        <v>60</v>
      </c>
      <c r="D352" t="s">
        <v>61</v>
      </c>
      <c r="E352" t="s">
        <v>512</v>
      </c>
      <c r="G352" s="17">
        <v>0</v>
      </c>
      <c r="H352" s="17" t="str">
        <f t="shared" si="15"/>
        <v>180</v>
      </c>
      <c r="I352" s="17">
        <v>1.2</v>
      </c>
      <c r="J352" s="17">
        <v>2.2000000000000002</v>
      </c>
      <c r="K352" s="17">
        <f t="shared" si="16"/>
        <v>814</v>
      </c>
      <c r="L352" s="17">
        <f t="shared" si="17"/>
        <v>818</v>
      </c>
      <c r="M352" s="17">
        <v>0</v>
      </c>
      <c r="N352" s="17">
        <v>50</v>
      </c>
      <c r="O352" s="17">
        <v>0</v>
      </c>
    </row>
    <row r="353" spans="1:15" x14ac:dyDescent="0.2">
      <c r="A353" t="s">
        <v>1060</v>
      </c>
      <c r="B353">
        <v>816</v>
      </c>
      <c r="C353" t="s">
        <v>60</v>
      </c>
      <c r="D353" t="s">
        <v>61</v>
      </c>
      <c r="E353" t="s">
        <v>512</v>
      </c>
      <c r="G353" s="17">
        <v>0</v>
      </c>
      <c r="H353" s="17" t="str">
        <f t="shared" si="15"/>
        <v>180</v>
      </c>
      <c r="I353" s="17">
        <v>1.2</v>
      </c>
      <c r="J353" s="17">
        <v>2.2000000000000002</v>
      </c>
      <c r="K353" s="17">
        <f t="shared" si="16"/>
        <v>814</v>
      </c>
      <c r="L353" s="17">
        <f t="shared" si="17"/>
        <v>818</v>
      </c>
      <c r="M353" s="17">
        <v>0</v>
      </c>
      <c r="N353" s="17">
        <v>50</v>
      </c>
      <c r="O353" s="17">
        <v>0</v>
      </c>
    </row>
    <row r="354" spans="1:15" x14ac:dyDescent="0.2">
      <c r="A354" t="s">
        <v>1062</v>
      </c>
      <c r="B354">
        <v>816</v>
      </c>
      <c r="C354" t="s">
        <v>60</v>
      </c>
      <c r="D354" t="s">
        <v>61</v>
      </c>
      <c r="E354" t="s">
        <v>1047</v>
      </c>
      <c r="F354" t="s">
        <v>111</v>
      </c>
      <c r="G354" s="17">
        <v>0</v>
      </c>
      <c r="H354" s="17" t="str">
        <f t="shared" si="15"/>
        <v>70</v>
      </c>
      <c r="I354" s="17">
        <v>1.2</v>
      </c>
      <c r="J354" s="17">
        <v>2.2000000000000002</v>
      </c>
      <c r="K354" s="17">
        <f t="shared" si="16"/>
        <v>814</v>
      </c>
      <c r="L354" s="17">
        <f t="shared" si="17"/>
        <v>818</v>
      </c>
      <c r="M354" s="17">
        <v>0</v>
      </c>
      <c r="N354" s="17">
        <v>50</v>
      </c>
      <c r="O354" s="17">
        <v>0</v>
      </c>
    </row>
    <row r="355" spans="1:15" x14ac:dyDescent="0.2">
      <c r="A355" t="s">
        <v>1064</v>
      </c>
      <c r="B355">
        <v>816</v>
      </c>
      <c r="C355" t="s">
        <v>60</v>
      </c>
      <c r="D355" t="s">
        <v>61</v>
      </c>
      <c r="E355" t="s">
        <v>1054</v>
      </c>
      <c r="F355" t="s">
        <v>111</v>
      </c>
      <c r="G355" s="17">
        <v>0</v>
      </c>
      <c r="H355" s="17" t="str">
        <f t="shared" si="15"/>
        <v>35</v>
      </c>
      <c r="I355" s="17">
        <v>1.2</v>
      </c>
      <c r="J355" s="17">
        <v>2.2000000000000002</v>
      </c>
      <c r="K355" s="17">
        <f t="shared" si="16"/>
        <v>814</v>
      </c>
      <c r="L355" s="17">
        <f t="shared" si="17"/>
        <v>818</v>
      </c>
      <c r="M355" s="17">
        <v>0</v>
      </c>
      <c r="N355" s="17">
        <v>50</v>
      </c>
      <c r="O355" s="17">
        <v>0</v>
      </c>
    </row>
    <row r="356" spans="1:15" x14ac:dyDescent="0.2">
      <c r="A356" t="s">
        <v>1066</v>
      </c>
      <c r="B356">
        <v>816</v>
      </c>
      <c r="C356" t="s">
        <v>60</v>
      </c>
      <c r="D356" t="s">
        <v>61</v>
      </c>
      <c r="E356" t="s">
        <v>512</v>
      </c>
      <c r="F356" t="s">
        <v>111</v>
      </c>
      <c r="G356" s="17">
        <v>0</v>
      </c>
      <c r="H356" s="17" t="str">
        <f t="shared" si="15"/>
        <v>180</v>
      </c>
      <c r="I356" s="17">
        <v>1.2</v>
      </c>
      <c r="J356" s="17">
        <v>2.2000000000000002</v>
      </c>
      <c r="K356" s="17">
        <f t="shared" si="16"/>
        <v>814</v>
      </c>
      <c r="L356" s="17">
        <f t="shared" si="17"/>
        <v>818</v>
      </c>
      <c r="M356" s="17">
        <v>0</v>
      </c>
      <c r="N356" s="17">
        <v>50</v>
      </c>
      <c r="O356" s="17">
        <v>0</v>
      </c>
    </row>
    <row r="357" spans="1:15" x14ac:dyDescent="0.2">
      <c r="A357" t="s">
        <v>1068</v>
      </c>
      <c r="B357">
        <v>816</v>
      </c>
      <c r="C357" t="s">
        <v>60</v>
      </c>
      <c r="D357" t="s">
        <v>61</v>
      </c>
      <c r="E357" t="s">
        <v>512</v>
      </c>
      <c r="F357" t="s">
        <v>111</v>
      </c>
      <c r="G357" s="17">
        <v>0</v>
      </c>
      <c r="H357" s="17" t="str">
        <f t="shared" si="15"/>
        <v>180</v>
      </c>
      <c r="I357" s="17">
        <v>1.2</v>
      </c>
      <c r="J357" s="17">
        <v>2.2000000000000002</v>
      </c>
      <c r="K357" s="17">
        <f t="shared" si="16"/>
        <v>814</v>
      </c>
      <c r="L357" s="17">
        <f t="shared" si="17"/>
        <v>818</v>
      </c>
      <c r="M357" s="17">
        <v>0</v>
      </c>
      <c r="N357" s="17">
        <v>50</v>
      </c>
      <c r="O357" s="17">
        <v>0</v>
      </c>
    </row>
    <row r="358" spans="1:15" x14ac:dyDescent="0.2">
      <c r="A358" t="s">
        <v>1070</v>
      </c>
      <c r="B358">
        <v>816</v>
      </c>
      <c r="C358" t="s">
        <v>60</v>
      </c>
      <c r="D358" t="s">
        <v>61</v>
      </c>
      <c r="E358" t="s">
        <v>512</v>
      </c>
      <c r="F358" t="s">
        <v>111</v>
      </c>
      <c r="G358" s="17">
        <v>0</v>
      </c>
      <c r="H358" s="17" t="str">
        <f t="shared" si="15"/>
        <v>180</v>
      </c>
      <c r="I358" s="17">
        <v>1.2</v>
      </c>
      <c r="J358" s="17">
        <v>2.2000000000000002</v>
      </c>
      <c r="K358" s="17">
        <f t="shared" si="16"/>
        <v>814</v>
      </c>
      <c r="L358" s="17">
        <f t="shared" si="17"/>
        <v>818</v>
      </c>
      <c r="M358" s="17">
        <v>0</v>
      </c>
      <c r="N358" s="17">
        <v>50</v>
      </c>
      <c r="O358" s="17">
        <v>0</v>
      </c>
    </row>
    <row r="359" spans="1:15" x14ac:dyDescent="0.2">
      <c r="A359" t="s">
        <v>1072</v>
      </c>
      <c r="B359">
        <v>816</v>
      </c>
      <c r="C359" t="s">
        <v>60</v>
      </c>
      <c r="D359" t="s">
        <v>61</v>
      </c>
      <c r="E359" t="s">
        <v>512</v>
      </c>
      <c r="F359" t="s">
        <v>111</v>
      </c>
      <c r="G359" s="17">
        <v>0</v>
      </c>
      <c r="H359" s="17" t="str">
        <f t="shared" si="15"/>
        <v>180</v>
      </c>
      <c r="I359" s="17">
        <v>1.2</v>
      </c>
      <c r="J359" s="17">
        <v>2.2000000000000002</v>
      </c>
      <c r="K359" s="17">
        <f t="shared" si="16"/>
        <v>814</v>
      </c>
      <c r="L359" s="17">
        <f t="shared" si="17"/>
        <v>818</v>
      </c>
      <c r="M359" s="17">
        <v>0</v>
      </c>
      <c r="N359" s="17">
        <v>50</v>
      </c>
      <c r="O359" s="17">
        <v>0</v>
      </c>
    </row>
    <row r="360" spans="1:15" x14ac:dyDescent="0.2">
      <c r="A360" t="s">
        <v>1074</v>
      </c>
      <c r="B360">
        <v>816</v>
      </c>
      <c r="C360" t="s">
        <v>60</v>
      </c>
      <c r="D360" t="s">
        <v>61</v>
      </c>
      <c r="E360" t="s">
        <v>512</v>
      </c>
      <c r="G360" s="17">
        <v>0</v>
      </c>
      <c r="H360" s="17" t="str">
        <f t="shared" si="15"/>
        <v>180</v>
      </c>
      <c r="I360" s="17">
        <v>1.2</v>
      </c>
      <c r="J360" s="17">
        <v>2.2000000000000002</v>
      </c>
      <c r="K360" s="17">
        <f t="shared" si="16"/>
        <v>814</v>
      </c>
      <c r="L360" s="17">
        <f t="shared" si="17"/>
        <v>818</v>
      </c>
      <c r="M360" s="17">
        <v>0</v>
      </c>
      <c r="N360" s="17">
        <v>50</v>
      </c>
      <c r="O360" s="17">
        <v>0</v>
      </c>
    </row>
    <row r="361" spans="1:15" x14ac:dyDescent="0.2">
      <c r="A361" t="s">
        <v>1076</v>
      </c>
      <c r="B361">
        <v>816</v>
      </c>
      <c r="C361" t="s">
        <v>60</v>
      </c>
      <c r="D361" t="s">
        <v>61</v>
      </c>
      <c r="E361" t="s">
        <v>512</v>
      </c>
      <c r="G361" s="17">
        <v>0</v>
      </c>
      <c r="H361" s="17" t="str">
        <f t="shared" si="15"/>
        <v>180</v>
      </c>
      <c r="I361" s="17">
        <v>1.2</v>
      </c>
      <c r="J361" s="17">
        <v>2.2000000000000002</v>
      </c>
      <c r="K361" s="17">
        <f t="shared" si="16"/>
        <v>814</v>
      </c>
      <c r="L361" s="17">
        <f t="shared" si="17"/>
        <v>818</v>
      </c>
      <c r="M361" s="17">
        <v>0</v>
      </c>
      <c r="N361" s="17">
        <v>50</v>
      </c>
      <c r="O361" s="17">
        <v>0</v>
      </c>
    </row>
    <row r="362" spans="1:15" x14ac:dyDescent="0.2">
      <c r="A362" t="s">
        <v>1078</v>
      </c>
      <c r="B362" t="s">
        <v>1079</v>
      </c>
      <c r="C362" t="s">
        <v>60</v>
      </c>
      <c r="D362" t="s">
        <v>61</v>
      </c>
      <c r="E362" t="s">
        <v>512</v>
      </c>
      <c r="F362" t="s">
        <v>159</v>
      </c>
      <c r="G362" s="17">
        <v>0</v>
      </c>
      <c r="H362" s="17" t="str">
        <f t="shared" si="15"/>
        <v>180</v>
      </c>
      <c r="I362" s="17">
        <v>1.2</v>
      </c>
      <c r="J362" s="17">
        <v>2.2000000000000002</v>
      </c>
      <c r="K362" s="17">
        <f t="shared" si="16"/>
        <v>783</v>
      </c>
      <c r="L362" s="17">
        <f t="shared" si="17"/>
        <v>787</v>
      </c>
      <c r="M362" s="17">
        <v>0</v>
      </c>
      <c r="N362" s="17">
        <v>50</v>
      </c>
      <c r="O362" s="17">
        <v>0</v>
      </c>
    </row>
    <row r="363" spans="1:15" x14ac:dyDescent="0.2">
      <c r="A363" t="s">
        <v>1081</v>
      </c>
      <c r="B363">
        <v>823</v>
      </c>
      <c r="C363" t="s">
        <v>60</v>
      </c>
      <c r="D363" t="s">
        <v>61</v>
      </c>
      <c r="E363" t="s">
        <v>1047</v>
      </c>
      <c r="G363" s="17">
        <v>0</v>
      </c>
      <c r="H363" s="17" t="str">
        <f t="shared" si="15"/>
        <v>70</v>
      </c>
      <c r="I363" s="17">
        <v>1.2</v>
      </c>
      <c r="J363" s="17">
        <v>2.2000000000000002</v>
      </c>
      <c r="K363" s="17">
        <f t="shared" si="16"/>
        <v>821</v>
      </c>
      <c r="L363" s="17">
        <f t="shared" si="17"/>
        <v>825</v>
      </c>
      <c r="M363" s="17">
        <v>0</v>
      </c>
      <c r="N363" s="17">
        <v>50</v>
      </c>
      <c r="O363" s="17">
        <v>0</v>
      </c>
    </row>
    <row r="364" spans="1:15" x14ac:dyDescent="0.2">
      <c r="A364" t="s">
        <v>1085</v>
      </c>
      <c r="B364">
        <v>823</v>
      </c>
      <c r="C364" t="s">
        <v>60</v>
      </c>
      <c r="D364" t="s">
        <v>61</v>
      </c>
      <c r="E364" t="s">
        <v>1054</v>
      </c>
      <c r="G364" s="17">
        <v>0</v>
      </c>
      <c r="H364" s="17" t="str">
        <f t="shared" si="15"/>
        <v>35</v>
      </c>
      <c r="I364" s="17">
        <v>1.2</v>
      </c>
      <c r="J364" s="17">
        <v>2.2000000000000002</v>
      </c>
      <c r="K364" s="17">
        <f t="shared" si="16"/>
        <v>821</v>
      </c>
      <c r="L364" s="17">
        <f t="shared" si="17"/>
        <v>825</v>
      </c>
      <c r="M364" s="17">
        <v>0</v>
      </c>
      <c r="N364" s="17">
        <v>50</v>
      </c>
      <c r="O364" s="17">
        <v>0</v>
      </c>
    </row>
    <row r="365" spans="1:15" x14ac:dyDescent="0.2">
      <c r="A365" t="s">
        <v>1087</v>
      </c>
      <c r="B365">
        <v>823</v>
      </c>
      <c r="C365" t="s">
        <v>60</v>
      </c>
      <c r="D365" t="s">
        <v>61</v>
      </c>
      <c r="E365" t="s">
        <v>512</v>
      </c>
      <c r="G365" s="17">
        <v>0</v>
      </c>
      <c r="H365" s="17" t="str">
        <f t="shared" si="15"/>
        <v>180</v>
      </c>
      <c r="I365" s="17">
        <v>1.2</v>
      </c>
      <c r="J365" s="17">
        <v>2.2000000000000002</v>
      </c>
      <c r="K365" s="17">
        <f t="shared" si="16"/>
        <v>821</v>
      </c>
      <c r="L365" s="17">
        <f t="shared" si="17"/>
        <v>825</v>
      </c>
      <c r="M365" s="17">
        <v>0</v>
      </c>
      <c r="N365" s="17">
        <v>50</v>
      </c>
      <c r="O365" s="17">
        <v>0</v>
      </c>
    </row>
    <row r="366" spans="1:15" x14ac:dyDescent="0.2">
      <c r="A366" t="s">
        <v>1089</v>
      </c>
      <c r="B366">
        <v>823</v>
      </c>
      <c r="C366" t="s">
        <v>60</v>
      </c>
      <c r="D366" t="s">
        <v>61</v>
      </c>
      <c r="E366" t="s">
        <v>512</v>
      </c>
      <c r="G366" s="17">
        <v>0</v>
      </c>
      <c r="H366" s="17" t="str">
        <f t="shared" si="15"/>
        <v>180</v>
      </c>
      <c r="I366" s="17">
        <v>1.2</v>
      </c>
      <c r="J366" s="17">
        <v>2.2000000000000002</v>
      </c>
      <c r="K366" s="17">
        <f t="shared" si="16"/>
        <v>821</v>
      </c>
      <c r="L366" s="17">
        <f t="shared" si="17"/>
        <v>825</v>
      </c>
      <c r="M366" s="17">
        <v>0</v>
      </c>
      <c r="N366" s="17">
        <v>50</v>
      </c>
      <c r="O366" s="17">
        <v>0</v>
      </c>
    </row>
    <row r="367" spans="1:15" x14ac:dyDescent="0.2">
      <c r="A367" t="s">
        <v>1091</v>
      </c>
      <c r="B367">
        <v>823</v>
      </c>
      <c r="C367" t="s">
        <v>60</v>
      </c>
      <c r="D367" t="s">
        <v>61</v>
      </c>
      <c r="E367" t="s">
        <v>1047</v>
      </c>
      <c r="F367" t="s">
        <v>111</v>
      </c>
      <c r="G367" s="17">
        <v>0</v>
      </c>
      <c r="H367" s="17" t="str">
        <f t="shared" si="15"/>
        <v>70</v>
      </c>
      <c r="I367" s="17">
        <v>1.2</v>
      </c>
      <c r="J367" s="17">
        <v>2.2000000000000002</v>
      </c>
      <c r="K367" s="17">
        <f t="shared" si="16"/>
        <v>821</v>
      </c>
      <c r="L367" s="17">
        <f t="shared" si="17"/>
        <v>825</v>
      </c>
      <c r="M367" s="17">
        <v>0</v>
      </c>
      <c r="N367" s="17">
        <v>50</v>
      </c>
      <c r="O367" s="17">
        <v>0</v>
      </c>
    </row>
    <row r="368" spans="1:15" x14ac:dyDescent="0.2">
      <c r="A368" t="s">
        <v>1093</v>
      </c>
      <c r="B368">
        <v>823</v>
      </c>
      <c r="C368" t="s">
        <v>60</v>
      </c>
      <c r="D368" t="s">
        <v>61</v>
      </c>
      <c r="E368" t="s">
        <v>1054</v>
      </c>
      <c r="F368" t="s">
        <v>111</v>
      </c>
      <c r="G368" s="17">
        <v>0</v>
      </c>
      <c r="H368" s="17" t="str">
        <f t="shared" si="15"/>
        <v>35</v>
      </c>
      <c r="I368" s="17">
        <v>1.2</v>
      </c>
      <c r="J368" s="17">
        <v>2.2000000000000002</v>
      </c>
      <c r="K368" s="17">
        <f t="shared" si="16"/>
        <v>821</v>
      </c>
      <c r="L368" s="17">
        <f t="shared" si="17"/>
        <v>825</v>
      </c>
      <c r="M368" s="17">
        <v>0</v>
      </c>
      <c r="N368" s="17">
        <v>50</v>
      </c>
      <c r="O368" s="17">
        <v>0</v>
      </c>
    </row>
    <row r="369" spans="1:15" x14ac:dyDescent="0.2">
      <c r="A369" t="s">
        <v>1095</v>
      </c>
      <c r="B369">
        <v>823</v>
      </c>
      <c r="C369" t="s">
        <v>60</v>
      </c>
      <c r="D369" t="s">
        <v>61</v>
      </c>
      <c r="E369" t="s">
        <v>512</v>
      </c>
      <c r="F369" t="s">
        <v>111</v>
      </c>
      <c r="G369" s="17">
        <v>0</v>
      </c>
      <c r="H369" s="17" t="str">
        <f t="shared" si="15"/>
        <v>180</v>
      </c>
      <c r="I369" s="17">
        <v>1.2</v>
      </c>
      <c r="J369" s="17">
        <v>2.2000000000000002</v>
      </c>
      <c r="K369" s="17">
        <f t="shared" si="16"/>
        <v>821</v>
      </c>
      <c r="L369" s="17">
        <f t="shared" si="17"/>
        <v>825</v>
      </c>
      <c r="M369" s="17">
        <v>0</v>
      </c>
      <c r="N369" s="17">
        <v>50</v>
      </c>
      <c r="O369" s="17">
        <v>0</v>
      </c>
    </row>
    <row r="370" spans="1:15" x14ac:dyDescent="0.2">
      <c r="A370" t="s">
        <v>1097</v>
      </c>
      <c r="B370">
        <v>823</v>
      </c>
      <c r="C370" t="s">
        <v>60</v>
      </c>
      <c r="D370" t="s">
        <v>61</v>
      </c>
      <c r="E370" t="s">
        <v>512</v>
      </c>
      <c r="F370" t="s">
        <v>111</v>
      </c>
      <c r="G370" s="17">
        <v>0</v>
      </c>
      <c r="H370" s="17" t="str">
        <f t="shared" si="15"/>
        <v>180</v>
      </c>
      <c r="I370" s="17">
        <v>1.2</v>
      </c>
      <c r="J370" s="17">
        <v>2.2000000000000002</v>
      </c>
      <c r="K370" s="17">
        <f t="shared" si="16"/>
        <v>821</v>
      </c>
      <c r="L370" s="17">
        <f t="shared" si="17"/>
        <v>825</v>
      </c>
      <c r="M370" s="17">
        <v>0</v>
      </c>
      <c r="N370" s="17">
        <v>50</v>
      </c>
      <c r="O370" s="17">
        <v>0</v>
      </c>
    </row>
    <row r="371" spans="1:15" x14ac:dyDescent="0.2">
      <c r="A371" t="s">
        <v>1099</v>
      </c>
      <c r="B371">
        <v>823</v>
      </c>
      <c r="C371" t="s">
        <v>60</v>
      </c>
      <c r="D371" t="s">
        <v>61</v>
      </c>
      <c r="E371" t="s">
        <v>512</v>
      </c>
      <c r="F371" t="s">
        <v>111</v>
      </c>
      <c r="G371" s="17">
        <v>0</v>
      </c>
      <c r="H371" s="17" t="str">
        <f t="shared" si="15"/>
        <v>180</v>
      </c>
      <c r="I371" s="17">
        <v>1.2</v>
      </c>
      <c r="J371" s="17">
        <v>2.2000000000000002</v>
      </c>
      <c r="K371" s="17">
        <f t="shared" si="16"/>
        <v>821</v>
      </c>
      <c r="L371" s="17">
        <f t="shared" si="17"/>
        <v>825</v>
      </c>
      <c r="M371" s="17">
        <v>0</v>
      </c>
      <c r="N371" s="17">
        <v>50</v>
      </c>
      <c r="O371" s="17">
        <v>0</v>
      </c>
    </row>
    <row r="372" spans="1:15" x14ac:dyDescent="0.2">
      <c r="A372" t="s">
        <v>1101</v>
      </c>
      <c r="B372">
        <v>823</v>
      </c>
      <c r="C372" t="s">
        <v>60</v>
      </c>
      <c r="D372" t="s">
        <v>61</v>
      </c>
      <c r="E372" t="s">
        <v>512</v>
      </c>
      <c r="F372" t="s">
        <v>111</v>
      </c>
      <c r="G372" s="17">
        <v>0</v>
      </c>
      <c r="H372" s="17" t="str">
        <f t="shared" si="15"/>
        <v>180</v>
      </c>
      <c r="I372" s="17">
        <v>1.2</v>
      </c>
      <c r="J372" s="17">
        <v>2.2000000000000002</v>
      </c>
      <c r="K372" s="17">
        <f t="shared" si="16"/>
        <v>821</v>
      </c>
      <c r="L372" s="17">
        <f t="shared" si="17"/>
        <v>825</v>
      </c>
      <c r="M372" s="17">
        <v>0</v>
      </c>
      <c r="N372" s="17">
        <v>50</v>
      </c>
      <c r="O372" s="17">
        <v>0</v>
      </c>
    </row>
    <row r="373" spans="1:15" x14ac:dyDescent="0.2">
      <c r="A373" t="s">
        <v>1103</v>
      </c>
      <c r="B373">
        <v>823</v>
      </c>
      <c r="C373" t="s">
        <v>60</v>
      </c>
      <c r="D373" t="s">
        <v>61</v>
      </c>
      <c r="E373" t="s">
        <v>512</v>
      </c>
      <c r="G373" s="17">
        <v>0</v>
      </c>
      <c r="H373" s="17" t="str">
        <f t="shared" si="15"/>
        <v>180</v>
      </c>
      <c r="I373" s="17">
        <v>1.2</v>
      </c>
      <c r="J373" s="17">
        <v>2.2000000000000002</v>
      </c>
      <c r="K373" s="17">
        <f t="shared" si="16"/>
        <v>821</v>
      </c>
      <c r="L373" s="17">
        <f t="shared" si="17"/>
        <v>825</v>
      </c>
      <c r="M373" s="17">
        <v>0</v>
      </c>
      <c r="N373" s="17">
        <v>50</v>
      </c>
      <c r="O373" s="17">
        <v>0</v>
      </c>
    </row>
    <row r="374" spans="1:15" x14ac:dyDescent="0.2">
      <c r="A374" t="s">
        <v>1105</v>
      </c>
      <c r="B374">
        <v>823</v>
      </c>
      <c r="C374" t="s">
        <v>60</v>
      </c>
      <c r="D374" t="s">
        <v>61</v>
      </c>
      <c r="E374" t="s">
        <v>512</v>
      </c>
      <c r="G374" s="17">
        <v>0</v>
      </c>
      <c r="H374" s="17" t="str">
        <f t="shared" si="15"/>
        <v>180</v>
      </c>
      <c r="I374" s="17">
        <v>1.2</v>
      </c>
      <c r="J374" s="17">
        <v>2.2000000000000002</v>
      </c>
      <c r="K374" s="17">
        <f t="shared" si="16"/>
        <v>821</v>
      </c>
      <c r="L374" s="17">
        <f t="shared" si="17"/>
        <v>825</v>
      </c>
      <c r="M374" s="17">
        <v>0</v>
      </c>
      <c r="N374" s="17">
        <v>50</v>
      </c>
      <c r="O374" s="17">
        <v>0</v>
      </c>
    </row>
    <row r="375" spans="1:15" x14ac:dyDescent="0.2">
      <c r="A375" t="s">
        <v>1107</v>
      </c>
      <c r="B375" t="s">
        <v>1079</v>
      </c>
      <c r="C375" t="s">
        <v>60</v>
      </c>
      <c r="D375" t="s">
        <v>156</v>
      </c>
      <c r="E375" t="s">
        <v>89</v>
      </c>
      <c r="F375" t="s">
        <v>159</v>
      </c>
      <c r="G375" s="17">
        <v>0</v>
      </c>
      <c r="H375" s="17" t="str">
        <f t="shared" si="15"/>
        <v>80</v>
      </c>
      <c r="I375" s="17">
        <v>1.2</v>
      </c>
      <c r="J375" s="17">
        <v>2.2000000000000002</v>
      </c>
      <c r="K375" s="17">
        <f t="shared" si="16"/>
        <v>783</v>
      </c>
      <c r="L375" s="17">
        <f t="shared" si="17"/>
        <v>787</v>
      </c>
      <c r="M375" s="17">
        <v>0</v>
      </c>
      <c r="N375" s="17">
        <v>50</v>
      </c>
      <c r="O375" s="17">
        <v>0</v>
      </c>
    </row>
    <row r="376" spans="1:15" x14ac:dyDescent="0.2">
      <c r="A376" t="s">
        <v>1109</v>
      </c>
      <c r="B376">
        <v>828</v>
      </c>
      <c r="C376" t="s">
        <v>60</v>
      </c>
      <c r="D376" t="s">
        <v>61</v>
      </c>
      <c r="E376" t="s">
        <v>89</v>
      </c>
      <c r="G376" s="17">
        <v>0</v>
      </c>
      <c r="H376" s="17" t="str">
        <f t="shared" si="15"/>
        <v>80</v>
      </c>
      <c r="I376" s="17">
        <v>1.2</v>
      </c>
      <c r="J376" s="17">
        <v>2.2000000000000002</v>
      </c>
      <c r="K376" s="17">
        <f t="shared" si="16"/>
        <v>826</v>
      </c>
      <c r="L376" s="17">
        <f t="shared" si="17"/>
        <v>830</v>
      </c>
      <c r="M376" s="17">
        <v>0</v>
      </c>
      <c r="N376" s="17">
        <v>50</v>
      </c>
      <c r="O376" s="17">
        <v>0</v>
      </c>
    </row>
    <row r="377" spans="1:15" x14ac:dyDescent="0.2">
      <c r="A377" t="s">
        <v>1114</v>
      </c>
      <c r="B377">
        <v>828</v>
      </c>
      <c r="C377" t="s">
        <v>60</v>
      </c>
      <c r="D377" t="s">
        <v>61</v>
      </c>
      <c r="E377" t="s">
        <v>336</v>
      </c>
      <c r="G377" s="17">
        <v>0</v>
      </c>
      <c r="H377" s="17" t="str">
        <f t="shared" si="15"/>
        <v>20</v>
      </c>
      <c r="I377" s="17">
        <v>1.2</v>
      </c>
      <c r="J377" s="17">
        <v>2.2000000000000002</v>
      </c>
      <c r="K377" s="17">
        <f t="shared" si="16"/>
        <v>826</v>
      </c>
      <c r="L377" s="17">
        <f t="shared" si="17"/>
        <v>830</v>
      </c>
      <c r="M377" s="17">
        <v>0</v>
      </c>
      <c r="N377" s="17">
        <v>50</v>
      </c>
      <c r="O377" s="17">
        <v>0</v>
      </c>
    </row>
    <row r="378" spans="1:15" x14ac:dyDescent="0.2">
      <c r="A378" t="s">
        <v>1116</v>
      </c>
      <c r="B378">
        <v>828</v>
      </c>
      <c r="C378" t="s">
        <v>60</v>
      </c>
      <c r="D378" t="s">
        <v>61</v>
      </c>
      <c r="E378" t="s">
        <v>512</v>
      </c>
      <c r="G378" s="17">
        <v>0</v>
      </c>
      <c r="H378" s="17" t="str">
        <f t="shared" si="15"/>
        <v>180</v>
      </c>
      <c r="I378" s="17">
        <v>1.2</v>
      </c>
      <c r="J378" s="17">
        <v>2.2000000000000002</v>
      </c>
      <c r="K378" s="17">
        <f t="shared" si="16"/>
        <v>826</v>
      </c>
      <c r="L378" s="17">
        <f t="shared" si="17"/>
        <v>830</v>
      </c>
      <c r="M378" s="17">
        <v>0</v>
      </c>
      <c r="N378" s="17">
        <v>50</v>
      </c>
      <c r="O378" s="17">
        <v>0</v>
      </c>
    </row>
    <row r="379" spans="1:15" x14ac:dyDescent="0.2">
      <c r="A379" t="s">
        <v>1118</v>
      </c>
      <c r="B379">
        <v>828</v>
      </c>
      <c r="C379" t="s">
        <v>60</v>
      </c>
      <c r="D379" t="s">
        <v>61</v>
      </c>
      <c r="E379" t="s">
        <v>512</v>
      </c>
      <c r="G379" s="17">
        <v>0</v>
      </c>
      <c r="H379" s="17" t="str">
        <f t="shared" si="15"/>
        <v>180</v>
      </c>
      <c r="I379" s="17">
        <v>1.2</v>
      </c>
      <c r="J379" s="17">
        <v>2.2000000000000002</v>
      </c>
      <c r="K379" s="17">
        <f t="shared" si="16"/>
        <v>826</v>
      </c>
      <c r="L379" s="17">
        <f t="shared" si="17"/>
        <v>830</v>
      </c>
      <c r="M379" s="17">
        <v>0</v>
      </c>
      <c r="N379" s="17">
        <v>50</v>
      </c>
      <c r="O379" s="17">
        <v>0</v>
      </c>
    </row>
    <row r="380" spans="1:15" x14ac:dyDescent="0.2">
      <c r="A380" t="s">
        <v>1120</v>
      </c>
      <c r="B380">
        <v>828</v>
      </c>
      <c r="C380" t="s">
        <v>60</v>
      </c>
      <c r="D380" t="s">
        <v>61</v>
      </c>
      <c r="E380" t="s">
        <v>512</v>
      </c>
      <c r="F380" t="s">
        <v>156</v>
      </c>
      <c r="G380" s="17">
        <v>0</v>
      </c>
      <c r="H380" s="17" t="str">
        <f t="shared" si="15"/>
        <v>180</v>
      </c>
      <c r="I380" s="17">
        <v>1.2</v>
      </c>
      <c r="J380" s="17">
        <v>2.2000000000000002</v>
      </c>
      <c r="K380" s="17">
        <f t="shared" si="16"/>
        <v>826</v>
      </c>
      <c r="L380" s="17">
        <f t="shared" si="17"/>
        <v>830</v>
      </c>
      <c r="M380" s="17">
        <v>0</v>
      </c>
      <c r="N380" s="17">
        <v>50</v>
      </c>
      <c r="O380" s="17">
        <v>0</v>
      </c>
    </row>
    <row r="381" spans="1:15" x14ac:dyDescent="0.2">
      <c r="A381" t="s">
        <v>1122</v>
      </c>
      <c r="B381">
        <v>828</v>
      </c>
      <c r="C381" t="s">
        <v>60</v>
      </c>
      <c r="D381" t="s">
        <v>61</v>
      </c>
      <c r="E381" t="s">
        <v>512</v>
      </c>
      <c r="F381" t="s">
        <v>156</v>
      </c>
      <c r="G381" s="17">
        <v>0</v>
      </c>
      <c r="H381" s="17" t="str">
        <f t="shared" si="15"/>
        <v>180</v>
      </c>
      <c r="I381" s="17">
        <v>1.2</v>
      </c>
      <c r="J381" s="17">
        <v>2.2000000000000002</v>
      </c>
      <c r="K381" s="17">
        <f t="shared" si="16"/>
        <v>826</v>
      </c>
      <c r="L381" s="17">
        <f t="shared" si="17"/>
        <v>830</v>
      </c>
      <c r="M381" s="17">
        <v>0</v>
      </c>
      <c r="N381" s="17">
        <v>50</v>
      </c>
      <c r="O381" s="17">
        <v>0</v>
      </c>
    </row>
    <row r="382" spans="1:15" x14ac:dyDescent="0.2">
      <c r="A382" t="s">
        <v>1124</v>
      </c>
      <c r="B382">
        <v>828</v>
      </c>
      <c r="C382" t="s">
        <v>60</v>
      </c>
      <c r="D382" t="s">
        <v>61</v>
      </c>
      <c r="E382" t="s">
        <v>512</v>
      </c>
      <c r="F382" t="s">
        <v>156</v>
      </c>
      <c r="G382" s="17">
        <v>0</v>
      </c>
      <c r="H382" s="17" t="str">
        <f t="shared" si="15"/>
        <v>180</v>
      </c>
      <c r="I382" s="17">
        <v>1.2</v>
      </c>
      <c r="J382" s="17">
        <v>2.2000000000000002</v>
      </c>
      <c r="K382" s="17">
        <f t="shared" si="16"/>
        <v>826</v>
      </c>
      <c r="L382" s="17">
        <f t="shared" si="17"/>
        <v>830</v>
      </c>
      <c r="M382" s="17">
        <v>0</v>
      </c>
      <c r="N382" s="17">
        <v>50</v>
      </c>
      <c r="O382" s="17">
        <v>0</v>
      </c>
    </row>
    <row r="383" spans="1:15" x14ac:dyDescent="0.2">
      <c r="A383" t="s">
        <v>1126</v>
      </c>
      <c r="B383">
        <v>828</v>
      </c>
      <c r="C383" t="s">
        <v>60</v>
      </c>
      <c r="D383" t="s">
        <v>61</v>
      </c>
      <c r="E383" t="s">
        <v>512</v>
      </c>
      <c r="F383" t="s">
        <v>156</v>
      </c>
      <c r="G383" s="17">
        <v>0</v>
      </c>
      <c r="H383" s="17" t="str">
        <f t="shared" si="15"/>
        <v>180</v>
      </c>
      <c r="I383" s="17">
        <v>1.2</v>
      </c>
      <c r="J383" s="17">
        <v>2.2000000000000002</v>
      </c>
      <c r="K383" s="17">
        <f t="shared" si="16"/>
        <v>826</v>
      </c>
      <c r="L383" s="17">
        <f t="shared" si="17"/>
        <v>830</v>
      </c>
      <c r="M383" s="17">
        <v>0</v>
      </c>
      <c r="N383" s="17">
        <v>50</v>
      </c>
      <c r="O383" s="17">
        <v>0</v>
      </c>
    </row>
    <row r="384" spans="1:15" x14ac:dyDescent="0.2">
      <c r="A384" t="s">
        <v>1128</v>
      </c>
      <c r="B384">
        <v>828</v>
      </c>
      <c r="C384" t="s">
        <v>60</v>
      </c>
      <c r="D384" t="s">
        <v>61</v>
      </c>
      <c r="E384" t="s">
        <v>89</v>
      </c>
      <c r="F384" t="s">
        <v>111</v>
      </c>
      <c r="G384" s="17">
        <v>0</v>
      </c>
      <c r="H384" s="17" t="str">
        <f t="shared" si="15"/>
        <v>80</v>
      </c>
      <c r="I384" s="17">
        <v>1.2</v>
      </c>
      <c r="J384" s="17">
        <v>2.2000000000000002</v>
      </c>
      <c r="K384" s="17">
        <f t="shared" si="16"/>
        <v>826</v>
      </c>
      <c r="L384" s="17">
        <f t="shared" si="17"/>
        <v>830</v>
      </c>
      <c r="M384" s="17">
        <v>0</v>
      </c>
      <c r="N384" s="17">
        <v>50</v>
      </c>
      <c r="O384" s="17">
        <v>0</v>
      </c>
    </row>
    <row r="385" spans="1:15" x14ac:dyDescent="0.2">
      <c r="A385" t="s">
        <v>1130</v>
      </c>
      <c r="B385">
        <v>828</v>
      </c>
      <c r="C385" t="s">
        <v>60</v>
      </c>
      <c r="D385" t="s">
        <v>61</v>
      </c>
      <c r="E385" t="s">
        <v>336</v>
      </c>
      <c r="F385" t="s">
        <v>111</v>
      </c>
      <c r="G385" s="17">
        <v>0</v>
      </c>
      <c r="H385" s="17" t="str">
        <f t="shared" si="15"/>
        <v>20</v>
      </c>
      <c r="I385" s="17">
        <v>1.2</v>
      </c>
      <c r="J385" s="17">
        <v>2.2000000000000002</v>
      </c>
      <c r="K385" s="17">
        <f t="shared" si="16"/>
        <v>826</v>
      </c>
      <c r="L385" s="17">
        <f t="shared" si="17"/>
        <v>830</v>
      </c>
      <c r="M385" s="17">
        <v>0</v>
      </c>
      <c r="N385" s="17">
        <v>50</v>
      </c>
      <c r="O385" s="17">
        <v>0</v>
      </c>
    </row>
    <row r="386" spans="1:15" x14ac:dyDescent="0.2">
      <c r="A386" t="s">
        <v>1132</v>
      </c>
      <c r="B386">
        <v>828</v>
      </c>
      <c r="C386" t="s">
        <v>60</v>
      </c>
      <c r="D386" t="s">
        <v>61</v>
      </c>
      <c r="E386" t="s">
        <v>512</v>
      </c>
      <c r="F386" t="s">
        <v>111</v>
      </c>
      <c r="G386" s="17">
        <v>0</v>
      </c>
      <c r="H386" s="17" t="str">
        <f t="shared" si="15"/>
        <v>180</v>
      </c>
      <c r="I386" s="17">
        <v>1.2</v>
      </c>
      <c r="J386" s="17">
        <v>2.2000000000000002</v>
      </c>
      <c r="K386" s="17">
        <f t="shared" si="16"/>
        <v>826</v>
      </c>
      <c r="L386" s="17">
        <f t="shared" si="17"/>
        <v>830</v>
      </c>
      <c r="M386" s="17">
        <v>0</v>
      </c>
      <c r="N386" s="17">
        <v>50</v>
      </c>
      <c r="O386" s="17">
        <v>0</v>
      </c>
    </row>
    <row r="387" spans="1:15" x14ac:dyDescent="0.2">
      <c r="A387" t="s">
        <v>1134</v>
      </c>
      <c r="B387">
        <v>828</v>
      </c>
      <c r="C387" t="s">
        <v>60</v>
      </c>
      <c r="D387" t="s">
        <v>61</v>
      </c>
      <c r="E387" t="s">
        <v>512</v>
      </c>
      <c r="F387" t="s">
        <v>111</v>
      </c>
      <c r="G387" s="17">
        <v>0</v>
      </c>
      <c r="H387" s="17" t="str">
        <f t="shared" ref="H387:H450" si="18">_xlfn.TEXTAFTER(E387,"-",1)</f>
        <v>180</v>
      </c>
      <c r="I387" s="17">
        <v>1.2</v>
      </c>
      <c r="J387" s="17">
        <v>2.2000000000000002</v>
      </c>
      <c r="K387" s="17">
        <f t="shared" ref="K387:K450" si="19">B387-2</f>
        <v>826</v>
      </c>
      <c r="L387" s="17">
        <f t="shared" ref="L387:L450" si="20">B387+2</f>
        <v>830</v>
      </c>
      <c r="M387" s="17">
        <v>0</v>
      </c>
      <c r="N387" s="17">
        <v>50</v>
      </c>
      <c r="O387" s="17">
        <v>0</v>
      </c>
    </row>
    <row r="388" spans="1:15" x14ac:dyDescent="0.2">
      <c r="A388" t="s">
        <v>1136</v>
      </c>
      <c r="B388">
        <v>828</v>
      </c>
      <c r="C388" t="s">
        <v>60</v>
      </c>
      <c r="D388" t="s">
        <v>61</v>
      </c>
      <c r="E388" t="s">
        <v>512</v>
      </c>
      <c r="F388" t="s">
        <v>111</v>
      </c>
      <c r="G388" s="17">
        <v>0</v>
      </c>
      <c r="H388" s="17" t="str">
        <f t="shared" si="18"/>
        <v>180</v>
      </c>
      <c r="I388" s="17">
        <v>1.2</v>
      </c>
      <c r="J388" s="17">
        <v>2.2000000000000002</v>
      </c>
      <c r="K388" s="17">
        <f t="shared" si="19"/>
        <v>826</v>
      </c>
      <c r="L388" s="17">
        <f t="shared" si="20"/>
        <v>830</v>
      </c>
      <c r="M388" s="17">
        <v>0</v>
      </c>
      <c r="N388" s="17">
        <v>50</v>
      </c>
      <c r="O388" s="17">
        <v>0</v>
      </c>
    </row>
    <row r="389" spans="1:15" x14ac:dyDescent="0.2">
      <c r="A389" t="s">
        <v>1138</v>
      </c>
      <c r="B389">
        <v>828</v>
      </c>
      <c r="C389" t="s">
        <v>60</v>
      </c>
      <c r="D389" t="s">
        <v>61</v>
      </c>
      <c r="E389" t="s">
        <v>512</v>
      </c>
      <c r="F389" t="s">
        <v>111</v>
      </c>
      <c r="G389" s="17">
        <v>0</v>
      </c>
      <c r="H389" s="17" t="str">
        <f t="shared" si="18"/>
        <v>180</v>
      </c>
      <c r="I389" s="17">
        <v>1.2</v>
      </c>
      <c r="J389" s="17">
        <v>2.2000000000000002</v>
      </c>
      <c r="K389" s="17">
        <f t="shared" si="19"/>
        <v>826</v>
      </c>
      <c r="L389" s="17">
        <f t="shared" si="20"/>
        <v>830</v>
      </c>
      <c r="M389" s="17">
        <v>0</v>
      </c>
      <c r="N389" s="17">
        <v>50</v>
      </c>
      <c r="O389" s="17">
        <v>0</v>
      </c>
    </row>
    <row r="390" spans="1:15" x14ac:dyDescent="0.2">
      <c r="A390" t="s">
        <v>1140</v>
      </c>
      <c r="B390">
        <v>828</v>
      </c>
      <c r="C390" t="s">
        <v>60</v>
      </c>
      <c r="D390" t="s">
        <v>61</v>
      </c>
      <c r="E390" t="s">
        <v>512</v>
      </c>
      <c r="F390" t="s">
        <v>306</v>
      </c>
      <c r="G390" s="17">
        <v>0</v>
      </c>
      <c r="H390" s="17" t="str">
        <f t="shared" si="18"/>
        <v>180</v>
      </c>
      <c r="I390" s="17">
        <v>1.2</v>
      </c>
      <c r="J390" s="17">
        <v>2.2000000000000002</v>
      </c>
      <c r="K390" s="17">
        <f t="shared" si="19"/>
        <v>826</v>
      </c>
      <c r="L390" s="17">
        <f t="shared" si="20"/>
        <v>830</v>
      </c>
      <c r="M390" s="17">
        <v>0</v>
      </c>
      <c r="N390" s="17">
        <v>50</v>
      </c>
      <c r="O390" s="17">
        <v>0</v>
      </c>
    </row>
    <row r="391" spans="1:15" x14ac:dyDescent="0.2">
      <c r="A391" t="s">
        <v>1142</v>
      </c>
      <c r="B391">
        <v>828</v>
      </c>
      <c r="C391" t="s">
        <v>60</v>
      </c>
      <c r="D391" t="s">
        <v>61</v>
      </c>
      <c r="E391" t="s">
        <v>512</v>
      </c>
      <c r="F391" t="s">
        <v>306</v>
      </c>
      <c r="G391" s="17">
        <v>0</v>
      </c>
      <c r="H391" s="17" t="str">
        <f t="shared" si="18"/>
        <v>180</v>
      </c>
      <c r="I391" s="17">
        <v>1.2</v>
      </c>
      <c r="J391" s="17">
        <v>2.2000000000000002</v>
      </c>
      <c r="K391" s="17">
        <f t="shared" si="19"/>
        <v>826</v>
      </c>
      <c r="L391" s="17">
        <f t="shared" si="20"/>
        <v>830</v>
      </c>
      <c r="M391" s="17">
        <v>0</v>
      </c>
      <c r="N391" s="17">
        <v>50</v>
      </c>
      <c r="O391" s="17">
        <v>0</v>
      </c>
    </row>
    <row r="392" spans="1:15" x14ac:dyDescent="0.2">
      <c r="A392" t="s">
        <v>1144</v>
      </c>
      <c r="B392">
        <v>828</v>
      </c>
      <c r="C392" t="s">
        <v>60</v>
      </c>
      <c r="D392" t="s">
        <v>61</v>
      </c>
      <c r="E392" t="s">
        <v>512</v>
      </c>
      <c r="F392" t="s">
        <v>306</v>
      </c>
      <c r="G392" s="17">
        <v>0</v>
      </c>
      <c r="H392" s="17" t="str">
        <f t="shared" si="18"/>
        <v>180</v>
      </c>
      <c r="I392" s="17">
        <v>1.2</v>
      </c>
      <c r="J392" s="17">
        <v>2.2000000000000002</v>
      </c>
      <c r="K392" s="17">
        <f t="shared" si="19"/>
        <v>826</v>
      </c>
      <c r="L392" s="17">
        <f t="shared" si="20"/>
        <v>830</v>
      </c>
      <c r="M392" s="17">
        <v>0</v>
      </c>
      <c r="N392" s="17">
        <v>50</v>
      </c>
      <c r="O392" s="17">
        <v>0</v>
      </c>
    </row>
    <row r="393" spans="1:15" x14ac:dyDescent="0.2">
      <c r="A393" t="s">
        <v>1146</v>
      </c>
      <c r="B393">
        <v>828</v>
      </c>
      <c r="C393" t="s">
        <v>60</v>
      </c>
      <c r="D393" t="s">
        <v>61</v>
      </c>
      <c r="E393" t="s">
        <v>512</v>
      </c>
      <c r="F393" t="s">
        <v>306</v>
      </c>
      <c r="G393" s="17">
        <v>0</v>
      </c>
      <c r="H393" s="17" t="str">
        <f t="shared" si="18"/>
        <v>180</v>
      </c>
      <c r="I393" s="17">
        <v>1.2</v>
      </c>
      <c r="J393" s="17">
        <v>2.2000000000000002</v>
      </c>
      <c r="K393" s="17">
        <f t="shared" si="19"/>
        <v>826</v>
      </c>
      <c r="L393" s="17">
        <f t="shared" si="20"/>
        <v>830</v>
      </c>
      <c r="M393" s="17">
        <v>0</v>
      </c>
      <c r="N393" s="17">
        <v>50</v>
      </c>
      <c r="O393" s="17">
        <v>0</v>
      </c>
    </row>
    <row r="394" spans="1:15" x14ac:dyDescent="0.2">
      <c r="A394" t="s">
        <v>1148</v>
      </c>
      <c r="B394">
        <v>828</v>
      </c>
      <c r="C394" t="s">
        <v>60</v>
      </c>
      <c r="D394" t="s">
        <v>61</v>
      </c>
      <c r="E394" t="s">
        <v>512</v>
      </c>
      <c r="G394" s="17">
        <v>0</v>
      </c>
      <c r="H394" s="17" t="str">
        <f t="shared" si="18"/>
        <v>180</v>
      </c>
      <c r="I394" s="17">
        <v>1.2</v>
      </c>
      <c r="J394" s="17">
        <v>2.2000000000000002</v>
      </c>
      <c r="K394" s="17">
        <f t="shared" si="19"/>
        <v>826</v>
      </c>
      <c r="L394" s="17">
        <f t="shared" si="20"/>
        <v>830</v>
      </c>
      <c r="M394" s="17">
        <v>0</v>
      </c>
      <c r="N394" s="17">
        <v>50</v>
      </c>
      <c r="O394" s="17">
        <v>0</v>
      </c>
    </row>
    <row r="395" spans="1:15" x14ac:dyDescent="0.2">
      <c r="A395" t="s">
        <v>1150</v>
      </c>
      <c r="B395">
        <v>828</v>
      </c>
      <c r="C395" t="s">
        <v>60</v>
      </c>
      <c r="D395" t="s">
        <v>61</v>
      </c>
      <c r="E395" t="s">
        <v>512</v>
      </c>
      <c r="G395" s="17">
        <v>0</v>
      </c>
      <c r="H395" s="17" t="str">
        <f t="shared" si="18"/>
        <v>180</v>
      </c>
      <c r="I395" s="17">
        <v>1.2</v>
      </c>
      <c r="J395" s="17">
        <v>2.2000000000000002</v>
      </c>
      <c r="K395" s="17">
        <f t="shared" si="19"/>
        <v>826</v>
      </c>
      <c r="L395" s="17">
        <f t="shared" si="20"/>
        <v>830</v>
      </c>
      <c r="M395" s="17">
        <v>0</v>
      </c>
      <c r="N395" s="17">
        <v>50</v>
      </c>
      <c r="O395" s="17">
        <v>0</v>
      </c>
    </row>
    <row r="396" spans="1:15" x14ac:dyDescent="0.2">
      <c r="A396" t="s">
        <v>1152</v>
      </c>
      <c r="B396" t="s">
        <v>1153</v>
      </c>
      <c r="C396" t="s">
        <v>60</v>
      </c>
      <c r="D396" t="s">
        <v>61</v>
      </c>
      <c r="E396" t="s">
        <v>512</v>
      </c>
      <c r="F396" t="s">
        <v>159</v>
      </c>
      <c r="G396" s="17">
        <v>0</v>
      </c>
      <c r="H396" s="17" t="str">
        <f t="shared" si="18"/>
        <v>180</v>
      </c>
      <c r="I396" s="17">
        <v>1.2</v>
      </c>
      <c r="J396" s="17">
        <v>2.2000000000000002</v>
      </c>
      <c r="K396" s="17">
        <f t="shared" si="19"/>
        <v>792.97799999999995</v>
      </c>
      <c r="L396" s="17">
        <f t="shared" si="20"/>
        <v>796.97799999999995</v>
      </c>
      <c r="M396" s="17">
        <v>0</v>
      </c>
      <c r="N396" s="17">
        <v>50</v>
      </c>
      <c r="O396" s="17">
        <v>0</v>
      </c>
    </row>
    <row r="397" spans="1:15" x14ac:dyDescent="0.2">
      <c r="A397" t="s">
        <v>1157</v>
      </c>
      <c r="B397">
        <v>830</v>
      </c>
      <c r="C397" t="s">
        <v>60</v>
      </c>
      <c r="D397" t="s">
        <v>61</v>
      </c>
      <c r="E397" t="s">
        <v>89</v>
      </c>
      <c r="G397" s="17">
        <v>0</v>
      </c>
      <c r="H397" s="17" t="str">
        <f t="shared" si="18"/>
        <v>80</v>
      </c>
      <c r="I397" s="17">
        <v>1.2</v>
      </c>
      <c r="J397" s="17">
        <v>2.2000000000000002</v>
      </c>
      <c r="K397" s="17">
        <f t="shared" si="19"/>
        <v>828</v>
      </c>
      <c r="L397" s="17">
        <f t="shared" si="20"/>
        <v>832</v>
      </c>
      <c r="M397" s="17">
        <v>0</v>
      </c>
      <c r="N397" s="17">
        <v>50</v>
      </c>
      <c r="O397" s="17">
        <v>0</v>
      </c>
    </row>
    <row r="398" spans="1:15" x14ac:dyDescent="0.2">
      <c r="A398" t="s">
        <v>1161</v>
      </c>
      <c r="B398">
        <v>830</v>
      </c>
      <c r="C398" t="s">
        <v>60</v>
      </c>
      <c r="D398" t="s">
        <v>61</v>
      </c>
      <c r="E398" t="s">
        <v>336</v>
      </c>
      <c r="G398" s="17">
        <v>0</v>
      </c>
      <c r="H398" s="17" t="str">
        <f t="shared" si="18"/>
        <v>20</v>
      </c>
      <c r="I398" s="17">
        <v>1.2</v>
      </c>
      <c r="J398" s="17">
        <v>2.2000000000000002</v>
      </c>
      <c r="K398" s="17">
        <f t="shared" si="19"/>
        <v>828</v>
      </c>
      <c r="L398" s="17">
        <f t="shared" si="20"/>
        <v>832</v>
      </c>
      <c r="M398" s="17">
        <v>0</v>
      </c>
      <c r="N398" s="17">
        <v>50</v>
      </c>
      <c r="O398" s="17">
        <v>0</v>
      </c>
    </row>
    <row r="399" spans="1:15" x14ac:dyDescent="0.2">
      <c r="A399" t="s">
        <v>1163</v>
      </c>
      <c r="B399">
        <v>830</v>
      </c>
      <c r="C399" t="s">
        <v>60</v>
      </c>
      <c r="D399" t="s">
        <v>61</v>
      </c>
      <c r="E399" t="s">
        <v>512</v>
      </c>
      <c r="G399" s="17">
        <v>0</v>
      </c>
      <c r="H399" s="17" t="str">
        <f t="shared" si="18"/>
        <v>180</v>
      </c>
      <c r="I399" s="17">
        <v>1.2</v>
      </c>
      <c r="J399" s="17">
        <v>2.2000000000000002</v>
      </c>
      <c r="K399" s="17">
        <f t="shared" si="19"/>
        <v>828</v>
      </c>
      <c r="L399" s="17">
        <f t="shared" si="20"/>
        <v>832</v>
      </c>
      <c r="M399" s="17">
        <v>0</v>
      </c>
      <c r="N399" s="17">
        <v>50</v>
      </c>
      <c r="O399" s="17">
        <v>0</v>
      </c>
    </row>
    <row r="400" spans="1:15" x14ac:dyDescent="0.2">
      <c r="A400" t="s">
        <v>1165</v>
      </c>
      <c r="B400">
        <v>830</v>
      </c>
      <c r="C400" t="s">
        <v>60</v>
      </c>
      <c r="D400" t="s">
        <v>61</v>
      </c>
      <c r="E400" t="s">
        <v>512</v>
      </c>
      <c r="G400" s="17">
        <v>0</v>
      </c>
      <c r="H400" s="17" t="str">
        <f t="shared" si="18"/>
        <v>180</v>
      </c>
      <c r="I400" s="17">
        <v>1.2</v>
      </c>
      <c r="J400" s="17">
        <v>2.2000000000000002</v>
      </c>
      <c r="K400" s="17">
        <f t="shared" si="19"/>
        <v>828</v>
      </c>
      <c r="L400" s="17">
        <f t="shared" si="20"/>
        <v>832</v>
      </c>
      <c r="M400" s="17">
        <v>0</v>
      </c>
      <c r="N400" s="17">
        <v>50</v>
      </c>
      <c r="O400" s="17">
        <v>0</v>
      </c>
    </row>
    <row r="401" spans="1:15" x14ac:dyDescent="0.2">
      <c r="A401" t="s">
        <v>1167</v>
      </c>
      <c r="B401">
        <v>830</v>
      </c>
      <c r="C401" t="s">
        <v>60</v>
      </c>
      <c r="D401" t="s">
        <v>61</v>
      </c>
      <c r="E401" t="s">
        <v>512</v>
      </c>
      <c r="F401" t="s">
        <v>156</v>
      </c>
      <c r="G401" s="17">
        <v>0</v>
      </c>
      <c r="H401" s="17" t="str">
        <f t="shared" si="18"/>
        <v>180</v>
      </c>
      <c r="I401" s="17">
        <v>1.2</v>
      </c>
      <c r="J401" s="17">
        <v>2.2000000000000002</v>
      </c>
      <c r="K401" s="17">
        <f t="shared" si="19"/>
        <v>828</v>
      </c>
      <c r="L401" s="17">
        <f t="shared" si="20"/>
        <v>832</v>
      </c>
      <c r="M401" s="17">
        <v>0</v>
      </c>
      <c r="N401" s="17">
        <v>50</v>
      </c>
      <c r="O401" s="17">
        <v>0</v>
      </c>
    </row>
    <row r="402" spans="1:15" x14ac:dyDescent="0.2">
      <c r="A402" t="s">
        <v>1169</v>
      </c>
      <c r="B402">
        <v>830</v>
      </c>
      <c r="C402" t="s">
        <v>60</v>
      </c>
      <c r="D402" t="s">
        <v>61</v>
      </c>
      <c r="E402" t="s">
        <v>512</v>
      </c>
      <c r="F402" t="s">
        <v>156</v>
      </c>
      <c r="G402" s="17">
        <v>0</v>
      </c>
      <c r="H402" s="17" t="str">
        <f t="shared" si="18"/>
        <v>180</v>
      </c>
      <c r="I402" s="17">
        <v>1.2</v>
      </c>
      <c r="J402" s="17">
        <v>2.2000000000000002</v>
      </c>
      <c r="K402" s="17">
        <f t="shared" si="19"/>
        <v>828</v>
      </c>
      <c r="L402" s="17">
        <f t="shared" si="20"/>
        <v>832</v>
      </c>
      <c r="M402" s="17">
        <v>0</v>
      </c>
      <c r="N402" s="17">
        <v>50</v>
      </c>
      <c r="O402" s="17">
        <v>0</v>
      </c>
    </row>
    <row r="403" spans="1:15" x14ac:dyDescent="0.2">
      <c r="A403" t="s">
        <v>1171</v>
      </c>
      <c r="B403">
        <v>830</v>
      </c>
      <c r="C403" t="s">
        <v>60</v>
      </c>
      <c r="D403" t="s">
        <v>61</v>
      </c>
      <c r="E403" t="s">
        <v>512</v>
      </c>
      <c r="F403" t="s">
        <v>156</v>
      </c>
      <c r="G403" s="17">
        <v>0</v>
      </c>
      <c r="H403" s="17" t="str">
        <f t="shared" si="18"/>
        <v>180</v>
      </c>
      <c r="I403" s="17">
        <v>1.2</v>
      </c>
      <c r="J403" s="17">
        <v>2.2000000000000002</v>
      </c>
      <c r="K403" s="17">
        <f t="shared" si="19"/>
        <v>828</v>
      </c>
      <c r="L403" s="17">
        <f t="shared" si="20"/>
        <v>832</v>
      </c>
      <c r="M403" s="17">
        <v>0</v>
      </c>
      <c r="N403" s="17">
        <v>50</v>
      </c>
      <c r="O403" s="17">
        <v>0</v>
      </c>
    </row>
    <row r="404" spans="1:15" x14ac:dyDescent="0.2">
      <c r="A404" t="s">
        <v>1173</v>
      </c>
      <c r="B404">
        <v>830</v>
      </c>
      <c r="C404" t="s">
        <v>60</v>
      </c>
      <c r="D404" t="s">
        <v>61</v>
      </c>
      <c r="E404" t="s">
        <v>512</v>
      </c>
      <c r="F404" t="s">
        <v>156</v>
      </c>
      <c r="G404" s="17">
        <v>0</v>
      </c>
      <c r="H404" s="17" t="str">
        <f t="shared" si="18"/>
        <v>180</v>
      </c>
      <c r="I404" s="17">
        <v>1.2</v>
      </c>
      <c r="J404" s="17">
        <v>2.2000000000000002</v>
      </c>
      <c r="K404" s="17">
        <f t="shared" si="19"/>
        <v>828</v>
      </c>
      <c r="L404" s="17">
        <f t="shared" si="20"/>
        <v>832</v>
      </c>
      <c r="M404" s="17">
        <v>0</v>
      </c>
      <c r="N404" s="17">
        <v>50</v>
      </c>
      <c r="O404" s="17">
        <v>0</v>
      </c>
    </row>
    <row r="405" spans="1:15" x14ac:dyDescent="0.2">
      <c r="A405" t="s">
        <v>1175</v>
      </c>
      <c r="B405">
        <v>830</v>
      </c>
      <c r="C405" t="s">
        <v>60</v>
      </c>
      <c r="D405" t="s">
        <v>61</v>
      </c>
      <c r="E405" t="s">
        <v>89</v>
      </c>
      <c r="F405" t="s">
        <v>111</v>
      </c>
      <c r="G405" s="17">
        <v>0</v>
      </c>
      <c r="H405" s="17" t="str">
        <f t="shared" si="18"/>
        <v>80</v>
      </c>
      <c r="I405" s="17">
        <v>1.2</v>
      </c>
      <c r="J405" s="17">
        <v>2.2000000000000002</v>
      </c>
      <c r="K405" s="17">
        <f t="shared" si="19"/>
        <v>828</v>
      </c>
      <c r="L405" s="17">
        <f t="shared" si="20"/>
        <v>832</v>
      </c>
      <c r="M405" s="17">
        <v>0</v>
      </c>
      <c r="N405" s="17">
        <v>50</v>
      </c>
      <c r="O405" s="17">
        <v>0</v>
      </c>
    </row>
    <row r="406" spans="1:15" x14ac:dyDescent="0.2">
      <c r="A406" t="s">
        <v>1177</v>
      </c>
      <c r="B406">
        <v>830</v>
      </c>
      <c r="C406" t="s">
        <v>60</v>
      </c>
      <c r="D406" t="s">
        <v>61</v>
      </c>
      <c r="E406" t="s">
        <v>336</v>
      </c>
      <c r="F406" t="s">
        <v>111</v>
      </c>
      <c r="G406" s="17">
        <v>0</v>
      </c>
      <c r="H406" s="17" t="str">
        <f t="shared" si="18"/>
        <v>20</v>
      </c>
      <c r="I406" s="17">
        <v>1.2</v>
      </c>
      <c r="J406" s="17">
        <v>2.2000000000000002</v>
      </c>
      <c r="K406" s="17">
        <f t="shared" si="19"/>
        <v>828</v>
      </c>
      <c r="L406" s="17">
        <f t="shared" si="20"/>
        <v>832</v>
      </c>
      <c r="M406" s="17">
        <v>0</v>
      </c>
      <c r="N406" s="17">
        <v>50</v>
      </c>
      <c r="O406" s="17">
        <v>0</v>
      </c>
    </row>
    <row r="407" spans="1:15" x14ac:dyDescent="0.2">
      <c r="A407" t="s">
        <v>1179</v>
      </c>
      <c r="B407">
        <v>830</v>
      </c>
      <c r="C407" t="s">
        <v>60</v>
      </c>
      <c r="D407" t="s">
        <v>61</v>
      </c>
      <c r="E407" t="s">
        <v>512</v>
      </c>
      <c r="F407" t="s">
        <v>111</v>
      </c>
      <c r="G407" s="17">
        <v>0</v>
      </c>
      <c r="H407" s="17" t="str">
        <f t="shared" si="18"/>
        <v>180</v>
      </c>
      <c r="I407" s="17">
        <v>1.2</v>
      </c>
      <c r="J407" s="17">
        <v>2.2000000000000002</v>
      </c>
      <c r="K407" s="17">
        <f t="shared" si="19"/>
        <v>828</v>
      </c>
      <c r="L407" s="17">
        <f t="shared" si="20"/>
        <v>832</v>
      </c>
      <c r="M407" s="17">
        <v>0</v>
      </c>
      <c r="N407" s="17">
        <v>50</v>
      </c>
      <c r="O407" s="17">
        <v>0</v>
      </c>
    </row>
    <row r="408" spans="1:15" x14ac:dyDescent="0.2">
      <c r="A408" t="s">
        <v>1181</v>
      </c>
      <c r="B408">
        <v>830</v>
      </c>
      <c r="C408" t="s">
        <v>60</v>
      </c>
      <c r="D408" t="s">
        <v>61</v>
      </c>
      <c r="E408" t="s">
        <v>512</v>
      </c>
      <c r="F408" t="s">
        <v>111</v>
      </c>
      <c r="G408" s="17">
        <v>0</v>
      </c>
      <c r="H408" s="17" t="str">
        <f t="shared" si="18"/>
        <v>180</v>
      </c>
      <c r="I408" s="17">
        <v>1.2</v>
      </c>
      <c r="J408" s="17">
        <v>2.2000000000000002</v>
      </c>
      <c r="K408" s="17">
        <f t="shared" si="19"/>
        <v>828</v>
      </c>
      <c r="L408" s="17">
        <f t="shared" si="20"/>
        <v>832</v>
      </c>
      <c r="M408" s="17">
        <v>0</v>
      </c>
      <c r="N408" s="17">
        <v>50</v>
      </c>
      <c r="O408" s="17">
        <v>0</v>
      </c>
    </row>
    <row r="409" spans="1:15" x14ac:dyDescent="0.2">
      <c r="A409" t="s">
        <v>1183</v>
      </c>
      <c r="B409">
        <v>830</v>
      </c>
      <c r="C409" t="s">
        <v>60</v>
      </c>
      <c r="D409" t="s">
        <v>61</v>
      </c>
      <c r="E409" t="s">
        <v>512</v>
      </c>
      <c r="F409" t="s">
        <v>111</v>
      </c>
      <c r="G409" s="17">
        <v>0</v>
      </c>
      <c r="H409" s="17" t="str">
        <f t="shared" si="18"/>
        <v>180</v>
      </c>
      <c r="I409" s="17">
        <v>1.2</v>
      </c>
      <c r="J409" s="17">
        <v>2.2000000000000002</v>
      </c>
      <c r="K409" s="17">
        <f t="shared" si="19"/>
        <v>828</v>
      </c>
      <c r="L409" s="17">
        <f t="shared" si="20"/>
        <v>832</v>
      </c>
      <c r="M409" s="17">
        <v>0</v>
      </c>
      <c r="N409" s="17">
        <v>50</v>
      </c>
      <c r="O409" s="17">
        <v>0</v>
      </c>
    </row>
    <row r="410" spans="1:15" x14ac:dyDescent="0.2">
      <c r="A410" t="s">
        <v>1185</v>
      </c>
      <c r="B410">
        <v>830</v>
      </c>
      <c r="C410" t="s">
        <v>60</v>
      </c>
      <c r="D410" t="s">
        <v>61</v>
      </c>
      <c r="E410" t="s">
        <v>512</v>
      </c>
      <c r="F410" t="s">
        <v>111</v>
      </c>
      <c r="G410" s="17">
        <v>0</v>
      </c>
      <c r="H410" s="17" t="str">
        <f t="shared" si="18"/>
        <v>180</v>
      </c>
      <c r="I410" s="17">
        <v>1.2</v>
      </c>
      <c r="J410" s="17">
        <v>2.2000000000000002</v>
      </c>
      <c r="K410" s="17">
        <f t="shared" si="19"/>
        <v>828</v>
      </c>
      <c r="L410" s="17">
        <f t="shared" si="20"/>
        <v>832</v>
      </c>
      <c r="M410" s="17">
        <v>0</v>
      </c>
      <c r="N410" s="17">
        <v>50</v>
      </c>
      <c r="O410" s="17">
        <v>0</v>
      </c>
    </row>
    <row r="411" spans="1:15" x14ac:dyDescent="0.2">
      <c r="A411" t="s">
        <v>1187</v>
      </c>
      <c r="B411">
        <v>830</v>
      </c>
      <c r="C411" t="s">
        <v>60</v>
      </c>
      <c r="D411" t="s">
        <v>61</v>
      </c>
      <c r="E411" t="s">
        <v>512</v>
      </c>
      <c r="F411" t="s">
        <v>306</v>
      </c>
      <c r="G411" s="17">
        <v>0</v>
      </c>
      <c r="H411" s="17" t="str">
        <f t="shared" si="18"/>
        <v>180</v>
      </c>
      <c r="I411" s="17">
        <v>1.2</v>
      </c>
      <c r="J411" s="17">
        <v>2.2000000000000002</v>
      </c>
      <c r="K411" s="17">
        <f t="shared" si="19"/>
        <v>828</v>
      </c>
      <c r="L411" s="17">
        <f t="shared" si="20"/>
        <v>832</v>
      </c>
      <c r="M411" s="17">
        <v>0</v>
      </c>
      <c r="N411" s="17">
        <v>50</v>
      </c>
      <c r="O411" s="17">
        <v>0</v>
      </c>
    </row>
    <row r="412" spans="1:15" x14ac:dyDescent="0.2">
      <c r="A412" t="s">
        <v>1189</v>
      </c>
      <c r="B412">
        <v>830</v>
      </c>
      <c r="C412" t="s">
        <v>60</v>
      </c>
      <c r="D412" t="s">
        <v>61</v>
      </c>
      <c r="E412" t="s">
        <v>512</v>
      </c>
      <c r="F412" t="s">
        <v>306</v>
      </c>
      <c r="G412" s="17">
        <v>0</v>
      </c>
      <c r="H412" s="17" t="str">
        <f t="shared" si="18"/>
        <v>180</v>
      </c>
      <c r="I412" s="17">
        <v>1.2</v>
      </c>
      <c r="J412" s="17">
        <v>2.2000000000000002</v>
      </c>
      <c r="K412" s="17">
        <f t="shared" si="19"/>
        <v>828</v>
      </c>
      <c r="L412" s="17">
        <f t="shared" si="20"/>
        <v>832</v>
      </c>
      <c r="M412" s="17">
        <v>0</v>
      </c>
      <c r="N412" s="17">
        <v>50</v>
      </c>
      <c r="O412" s="17">
        <v>0</v>
      </c>
    </row>
    <row r="413" spans="1:15" x14ac:dyDescent="0.2">
      <c r="A413" t="s">
        <v>1191</v>
      </c>
      <c r="B413">
        <v>830</v>
      </c>
      <c r="C413" t="s">
        <v>60</v>
      </c>
      <c r="D413" t="s">
        <v>61</v>
      </c>
      <c r="E413" t="s">
        <v>512</v>
      </c>
      <c r="F413" t="s">
        <v>306</v>
      </c>
      <c r="G413" s="17">
        <v>0</v>
      </c>
      <c r="H413" s="17" t="str">
        <f t="shared" si="18"/>
        <v>180</v>
      </c>
      <c r="I413" s="17">
        <v>1.2</v>
      </c>
      <c r="J413" s="17">
        <v>2.2000000000000002</v>
      </c>
      <c r="K413" s="17">
        <f t="shared" si="19"/>
        <v>828</v>
      </c>
      <c r="L413" s="17">
        <f t="shared" si="20"/>
        <v>832</v>
      </c>
      <c r="M413" s="17">
        <v>0</v>
      </c>
      <c r="N413" s="17">
        <v>50</v>
      </c>
      <c r="O413" s="17">
        <v>0</v>
      </c>
    </row>
    <row r="414" spans="1:15" x14ac:dyDescent="0.2">
      <c r="A414" t="s">
        <v>1193</v>
      </c>
      <c r="B414">
        <v>830</v>
      </c>
      <c r="C414" t="s">
        <v>60</v>
      </c>
      <c r="D414" t="s">
        <v>61</v>
      </c>
      <c r="E414" t="s">
        <v>512</v>
      </c>
      <c r="F414" t="s">
        <v>306</v>
      </c>
      <c r="G414" s="17">
        <v>0</v>
      </c>
      <c r="H414" s="17" t="str">
        <f t="shared" si="18"/>
        <v>180</v>
      </c>
      <c r="I414" s="17">
        <v>1.2</v>
      </c>
      <c r="J414" s="17">
        <v>2.2000000000000002</v>
      </c>
      <c r="K414" s="17">
        <f t="shared" si="19"/>
        <v>828</v>
      </c>
      <c r="L414" s="17">
        <f t="shared" si="20"/>
        <v>832</v>
      </c>
      <c r="M414" s="17">
        <v>0</v>
      </c>
      <c r="N414" s="17">
        <v>50</v>
      </c>
      <c r="O414" s="17">
        <v>0</v>
      </c>
    </row>
    <row r="415" spans="1:15" x14ac:dyDescent="0.2">
      <c r="A415" t="s">
        <v>1195</v>
      </c>
      <c r="B415">
        <v>830</v>
      </c>
      <c r="C415" t="s">
        <v>60</v>
      </c>
      <c r="D415" t="s">
        <v>61</v>
      </c>
      <c r="E415" t="s">
        <v>512</v>
      </c>
      <c r="G415" s="17">
        <v>0</v>
      </c>
      <c r="H415" s="17" t="str">
        <f t="shared" si="18"/>
        <v>180</v>
      </c>
      <c r="I415" s="17">
        <v>1.2</v>
      </c>
      <c r="J415" s="17">
        <v>2.2000000000000002</v>
      </c>
      <c r="K415" s="17">
        <f t="shared" si="19"/>
        <v>828</v>
      </c>
      <c r="L415" s="17">
        <f t="shared" si="20"/>
        <v>832</v>
      </c>
      <c r="M415" s="17">
        <v>0</v>
      </c>
      <c r="N415" s="17">
        <v>50</v>
      </c>
      <c r="O415" s="17">
        <v>0</v>
      </c>
    </row>
    <row r="416" spans="1:15" x14ac:dyDescent="0.2">
      <c r="A416" t="s">
        <v>1197</v>
      </c>
      <c r="B416">
        <v>830</v>
      </c>
      <c r="C416" t="s">
        <v>60</v>
      </c>
      <c r="D416" t="s">
        <v>61</v>
      </c>
      <c r="E416" t="s">
        <v>512</v>
      </c>
      <c r="G416" s="17">
        <v>0</v>
      </c>
      <c r="H416" s="17" t="str">
        <f t="shared" si="18"/>
        <v>180</v>
      </c>
      <c r="I416" s="17">
        <v>1.2</v>
      </c>
      <c r="J416" s="17">
        <v>2.2000000000000002</v>
      </c>
      <c r="K416" s="17">
        <f t="shared" si="19"/>
        <v>828</v>
      </c>
      <c r="L416" s="17">
        <f t="shared" si="20"/>
        <v>832</v>
      </c>
      <c r="M416" s="17">
        <v>0</v>
      </c>
      <c r="N416" s="17">
        <v>50</v>
      </c>
      <c r="O416" s="17">
        <v>0</v>
      </c>
    </row>
    <row r="417" spans="1:15" x14ac:dyDescent="0.2">
      <c r="A417" t="s">
        <v>1199</v>
      </c>
      <c r="B417" t="s">
        <v>1153</v>
      </c>
      <c r="C417" t="s">
        <v>60</v>
      </c>
      <c r="D417" t="s">
        <v>612</v>
      </c>
      <c r="E417" t="s">
        <v>613</v>
      </c>
      <c r="F417" t="s">
        <v>159</v>
      </c>
      <c r="G417" s="17">
        <v>0</v>
      </c>
      <c r="H417" s="17" t="str">
        <f t="shared" si="18"/>
        <v>30</v>
      </c>
      <c r="I417" s="17">
        <v>1.2</v>
      </c>
      <c r="J417" s="17">
        <v>2.2000000000000002</v>
      </c>
      <c r="K417" s="17">
        <f t="shared" si="19"/>
        <v>792.97799999999995</v>
      </c>
      <c r="L417" s="17">
        <f t="shared" si="20"/>
        <v>796.97799999999995</v>
      </c>
      <c r="M417" s="17">
        <v>0</v>
      </c>
      <c r="N417" s="17">
        <v>50</v>
      </c>
      <c r="O417" s="17">
        <v>0</v>
      </c>
    </row>
    <row r="418" spans="1:15" x14ac:dyDescent="0.2">
      <c r="A418" t="s">
        <v>1202</v>
      </c>
      <c r="B418">
        <v>845.58399999999995</v>
      </c>
      <c r="C418" t="s">
        <v>60</v>
      </c>
      <c r="D418" t="s">
        <v>61</v>
      </c>
      <c r="E418" t="s">
        <v>445</v>
      </c>
      <c r="G418" s="17">
        <v>0</v>
      </c>
      <c r="H418" s="17" t="str">
        <f t="shared" si="18"/>
        <v>120</v>
      </c>
      <c r="I418" s="17">
        <v>1.2</v>
      </c>
      <c r="J418" s="17">
        <v>2.2000000000000002</v>
      </c>
      <c r="K418" s="17">
        <f t="shared" si="19"/>
        <v>843.58399999999995</v>
      </c>
      <c r="L418" s="17">
        <f t="shared" si="20"/>
        <v>847.58399999999995</v>
      </c>
      <c r="M418" s="17">
        <v>0</v>
      </c>
      <c r="N418" s="17">
        <v>50</v>
      </c>
      <c r="O418" s="17">
        <v>0</v>
      </c>
    </row>
    <row r="419" spans="1:15" x14ac:dyDescent="0.2">
      <c r="A419" t="s">
        <v>1206</v>
      </c>
      <c r="B419">
        <v>845.58399999999995</v>
      </c>
      <c r="C419" t="s">
        <v>60</v>
      </c>
      <c r="D419" t="s">
        <v>61</v>
      </c>
      <c r="E419" t="s">
        <v>1207</v>
      </c>
      <c r="G419" s="17">
        <v>0</v>
      </c>
      <c r="H419" s="17" t="str">
        <f t="shared" si="18"/>
        <v>25</v>
      </c>
      <c r="I419" s="17">
        <v>1.2</v>
      </c>
      <c r="J419" s="17">
        <v>2.2000000000000002</v>
      </c>
      <c r="K419" s="17">
        <f t="shared" si="19"/>
        <v>843.58399999999995</v>
      </c>
      <c r="L419" s="17">
        <f t="shared" si="20"/>
        <v>847.58399999999995</v>
      </c>
      <c r="M419" s="17">
        <v>0</v>
      </c>
      <c r="N419" s="17">
        <v>50</v>
      </c>
      <c r="O419" s="17">
        <v>0</v>
      </c>
    </row>
    <row r="420" spans="1:15" x14ac:dyDescent="0.2">
      <c r="A420" t="s">
        <v>1211</v>
      </c>
      <c r="B420">
        <v>845.58399999999995</v>
      </c>
      <c r="C420" t="s">
        <v>60</v>
      </c>
      <c r="D420" t="s">
        <v>61</v>
      </c>
      <c r="E420" t="s">
        <v>1212</v>
      </c>
      <c r="G420" s="17">
        <v>0</v>
      </c>
      <c r="H420" s="17" t="str">
        <f t="shared" si="18"/>
        <v>240</v>
      </c>
      <c r="I420" s="17">
        <v>1.2</v>
      </c>
      <c r="J420" s="17">
        <v>2.2000000000000002</v>
      </c>
      <c r="K420" s="17">
        <f t="shared" si="19"/>
        <v>843.58399999999995</v>
      </c>
      <c r="L420" s="17">
        <f t="shared" si="20"/>
        <v>847.58399999999995</v>
      </c>
      <c r="M420" s="17">
        <v>0</v>
      </c>
      <c r="N420" s="17">
        <v>50</v>
      </c>
      <c r="O420" s="17">
        <v>0</v>
      </c>
    </row>
    <row r="421" spans="1:15" x14ac:dyDescent="0.2">
      <c r="A421" t="s">
        <v>1216</v>
      </c>
      <c r="B421">
        <v>845.58399999999995</v>
      </c>
      <c r="C421" t="s">
        <v>60</v>
      </c>
      <c r="D421" t="s">
        <v>61</v>
      </c>
      <c r="E421" t="s">
        <v>1212</v>
      </c>
      <c r="G421" s="17">
        <v>0</v>
      </c>
      <c r="H421" s="17" t="str">
        <f t="shared" si="18"/>
        <v>240</v>
      </c>
      <c r="I421" s="17">
        <v>1.2</v>
      </c>
      <c r="J421" s="17">
        <v>2.2000000000000002</v>
      </c>
      <c r="K421" s="17">
        <f t="shared" si="19"/>
        <v>843.58399999999995</v>
      </c>
      <c r="L421" s="17">
        <f t="shared" si="20"/>
        <v>847.58399999999995</v>
      </c>
      <c r="M421" s="17">
        <v>0</v>
      </c>
      <c r="N421" s="17">
        <v>50</v>
      </c>
      <c r="O421" s="17">
        <v>0</v>
      </c>
    </row>
    <row r="422" spans="1:15" x14ac:dyDescent="0.2">
      <c r="A422" t="s">
        <v>1218</v>
      </c>
      <c r="B422">
        <v>845.58399999999995</v>
      </c>
      <c r="C422" t="s">
        <v>60</v>
      </c>
      <c r="D422" t="s">
        <v>61</v>
      </c>
      <c r="E422" t="s">
        <v>1212</v>
      </c>
      <c r="F422" t="s">
        <v>156</v>
      </c>
      <c r="G422" s="17">
        <v>0</v>
      </c>
      <c r="H422" s="17" t="str">
        <f t="shared" si="18"/>
        <v>240</v>
      </c>
      <c r="I422" s="17">
        <v>1.2</v>
      </c>
      <c r="J422" s="17">
        <v>2.2000000000000002</v>
      </c>
      <c r="K422" s="17">
        <f t="shared" si="19"/>
        <v>843.58399999999995</v>
      </c>
      <c r="L422" s="17">
        <f t="shared" si="20"/>
        <v>847.58399999999995</v>
      </c>
      <c r="M422" s="17">
        <v>0</v>
      </c>
      <c r="N422" s="17">
        <v>50</v>
      </c>
      <c r="O422" s="17">
        <v>0</v>
      </c>
    </row>
    <row r="423" spans="1:15" x14ac:dyDescent="0.2">
      <c r="A423" t="s">
        <v>1220</v>
      </c>
      <c r="B423">
        <v>845.58399999999995</v>
      </c>
      <c r="C423" t="s">
        <v>60</v>
      </c>
      <c r="D423" t="s">
        <v>61</v>
      </c>
      <c r="E423" t="s">
        <v>1212</v>
      </c>
      <c r="F423" t="s">
        <v>156</v>
      </c>
      <c r="G423" s="17">
        <v>0</v>
      </c>
      <c r="H423" s="17" t="str">
        <f t="shared" si="18"/>
        <v>240</v>
      </c>
      <c r="I423" s="17">
        <v>1.2</v>
      </c>
      <c r="J423" s="17">
        <v>2.2000000000000002</v>
      </c>
      <c r="K423" s="17">
        <f t="shared" si="19"/>
        <v>843.58399999999995</v>
      </c>
      <c r="L423" s="17">
        <f t="shared" si="20"/>
        <v>847.58399999999995</v>
      </c>
      <c r="M423" s="17">
        <v>0</v>
      </c>
      <c r="N423" s="17">
        <v>50</v>
      </c>
      <c r="O423" s="17">
        <v>0</v>
      </c>
    </row>
    <row r="424" spans="1:15" x14ac:dyDescent="0.2">
      <c r="A424" t="s">
        <v>1222</v>
      </c>
      <c r="B424">
        <v>845.58399999999995</v>
      </c>
      <c r="C424" t="s">
        <v>60</v>
      </c>
      <c r="D424" t="s">
        <v>61</v>
      </c>
      <c r="E424" t="s">
        <v>1212</v>
      </c>
      <c r="F424" t="s">
        <v>156</v>
      </c>
      <c r="G424" s="17">
        <v>0</v>
      </c>
      <c r="H424" s="17" t="str">
        <f t="shared" si="18"/>
        <v>240</v>
      </c>
      <c r="I424" s="17">
        <v>1.2</v>
      </c>
      <c r="J424" s="17">
        <v>2.2000000000000002</v>
      </c>
      <c r="K424" s="17">
        <f t="shared" si="19"/>
        <v>843.58399999999995</v>
      </c>
      <c r="L424" s="17">
        <f t="shared" si="20"/>
        <v>847.58399999999995</v>
      </c>
      <c r="M424" s="17">
        <v>0</v>
      </c>
      <c r="N424" s="17">
        <v>50</v>
      </c>
      <c r="O424" s="17">
        <v>0</v>
      </c>
    </row>
    <row r="425" spans="1:15" x14ac:dyDescent="0.2">
      <c r="A425" t="s">
        <v>1224</v>
      </c>
      <c r="B425">
        <v>845.58399999999995</v>
      </c>
      <c r="C425" t="s">
        <v>60</v>
      </c>
      <c r="D425" t="s">
        <v>61</v>
      </c>
      <c r="E425" t="s">
        <v>1212</v>
      </c>
      <c r="F425" t="s">
        <v>156</v>
      </c>
      <c r="G425" s="17">
        <v>0</v>
      </c>
      <c r="H425" s="17" t="str">
        <f t="shared" si="18"/>
        <v>240</v>
      </c>
      <c r="I425" s="17">
        <v>1.2</v>
      </c>
      <c r="J425" s="17">
        <v>2.2000000000000002</v>
      </c>
      <c r="K425" s="17">
        <f t="shared" si="19"/>
        <v>843.58399999999995</v>
      </c>
      <c r="L425" s="17">
        <f t="shared" si="20"/>
        <v>847.58399999999995</v>
      </c>
      <c r="M425" s="17">
        <v>0</v>
      </c>
      <c r="N425" s="17">
        <v>50</v>
      </c>
      <c r="O425" s="17">
        <v>0</v>
      </c>
    </row>
    <row r="426" spans="1:15" x14ac:dyDescent="0.2">
      <c r="A426" t="s">
        <v>1226</v>
      </c>
      <c r="B426">
        <v>845.58399999999995</v>
      </c>
      <c r="C426" t="s">
        <v>60</v>
      </c>
      <c r="D426" t="s">
        <v>61</v>
      </c>
      <c r="E426" t="s">
        <v>445</v>
      </c>
      <c r="F426" t="s">
        <v>111</v>
      </c>
      <c r="G426" s="17">
        <v>0</v>
      </c>
      <c r="H426" s="17" t="str">
        <f t="shared" si="18"/>
        <v>120</v>
      </c>
      <c r="I426" s="17">
        <v>1.2</v>
      </c>
      <c r="J426" s="17">
        <v>2.2000000000000002</v>
      </c>
      <c r="K426" s="17">
        <f t="shared" si="19"/>
        <v>843.58399999999995</v>
      </c>
      <c r="L426" s="17">
        <f t="shared" si="20"/>
        <v>847.58399999999995</v>
      </c>
      <c r="M426" s="17">
        <v>0</v>
      </c>
      <c r="N426" s="17">
        <v>50</v>
      </c>
      <c r="O426" s="17">
        <v>0</v>
      </c>
    </row>
    <row r="427" spans="1:15" x14ac:dyDescent="0.2">
      <c r="A427" t="s">
        <v>1228</v>
      </c>
      <c r="B427">
        <v>845.58399999999995</v>
      </c>
      <c r="C427" t="s">
        <v>60</v>
      </c>
      <c r="D427" t="s">
        <v>61</v>
      </c>
      <c r="E427" t="s">
        <v>1207</v>
      </c>
      <c r="F427" t="s">
        <v>111</v>
      </c>
      <c r="G427" s="17">
        <v>0</v>
      </c>
      <c r="H427" s="17" t="str">
        <f t="shared" si="18"/>
        <v>25</v>
      </c>
      <c r="I427" s="17">
        <v>1.2</v>
      </c>
      <c r="J427" s="17">
        <v>2.2000000000000002</v>
      </c>
      <c r="K427" s="17">
        <f t="shared" si="19"/>
        <v>843.58399999999995</v>
      </c>
      <c r="L427" s="17">
        <f t="shared" si="20"/>
        <v>847.58399999999995</v>
      </c>
      <c r="M427" s="17">
        <v>0</v>
      </c>
      <c r="N427" s="17">
        <v>50</v>
      </c>
      <c r="O427" s="17">
        <v>0</v>
      </c>
    </row>
    <row r="428" spans="1:15" x14ac:dyDescent="0.2">
      <c r="A428" t="s">
        <v>1230</v>
      </c>
      <c r="B428">
        <v>845.58399999999995</v>
      </c>
      <c r="C428" t="s">
        <v>60</v>
      </c>
      <c r="D428" t="s">
        <v>61</v>
      </c>
      <c r="E428" t="s">
        <v>1212</v>
      </c>
      <c r="F428" t="s">
        <v>111</v>
      </c>
      <c r="G428" s="17">
        <v>0</v>
      </c>
      <c r="H428" s="17" t="str">
        <f t="shared" si="18"/>
        <v>240</v>
      </c>
      <c r="I428" s="17">
        <v>1.2</v>
      </c>
      <c r="J428" s="17">
        <v>2.2000000000000002</v>
      </c>
      <c r="K428" s="17">
        <f t="shared" si="19"/>
        <v>843.58399999999995</v>
      </c>
      <c r="L428" s="17">
        <f t="shared" si="20"/>
        <v>847.58399999999995</v>
      </c>
      <c r="M428" s="17">
        <v>0</v>
      </c>
      <c r="N428" s="17">
        <v>50</v>
      </c>
      <c r="O428" s="17">
        <v>0</v>
      </c>
    </row>
    <row r="429" spans="1:15" x14ac:dyDescent="0.2">
      <c r="A429" t="s">
        <v>1232</v>
      </c>
      <c r="B429">
        <v>845.58399999999995</v>
      </c>
      <c r="C429" t="s">
        <v>60</v>
      </c>
      <c r="D429" t="s">
        <v>61</v>
      </c>
      <c r="E429" t="s">
        <v>1212</v>
      </c>
      <c r="F429" t="s">
        <v>111</v>
      </c>
      <c r="G429" s="17">
        <v>0</v>
      </c>
      <c r="H429" s="17" t="str">
        <f t="shared" si="18"/>
        <v>240</v>
      </c>
      <c r="I429" s="17">
        <v>1.2</v>
      </c>
      <c r="J429" s="17">
        <v>2.2000000000000002</v>
      </c>
      <c r="K429" s="17">
        <f t="shared" si="19"/>
        <v>843.58399999999995</v>
      </c>
      <c r="L429" s="17">
        <f t="shared" si="20"/>
        <v>847.58399999999995</v>
      </c>
      <c r="M429" s="17">
        <v>0</v>
      </c>
      <c r="N429" s="17">
        <v>50</v>
      </c>
      <c r="O429" s="17">
        <v>0</v>
      </c>
    </row>
    <row r="430" spans="1:15" x14ac:dyDescent="0.2">
      <c r="A430" t="s">
        <v>1234</v>
      </c>
      <c r="B430">
        <v>845.58399999999995</v>
      </c>
      <c r="C430" t="s">
        <v>60</v>
      </c>
      <c r="D430" t="s">
        <v>61</v>
      </c>
      <c r="E430" t="s">
        <v>1212</v>
      </c>
      <c r="F430" t="s">
        <v>111</v>
      </c>
      <c r="G430" s="17">
        <v>0</v>
      </c>
      <c r="H430" s="17" t="str">
        <f t="shared" si="18"/>
        <v>240</v>
      </c>
      <c r="I430" s="17">
        <v>1.2</v>
      </c>
      <c r="J430" s="17">
        <v>2.2000000000000002</v>
      </c>
      <c r="K430" s="17">
        <f t="shared" si="19"/>
        <v>843.58399999999995</v>
      </c>
      <c r="L430" s="17">
        <f t="shared" si="20"/>
        <v>847.58399999999995</v>
      </c>
      <c r="M430" s="17">
        <v>0</v>
      </c>
      <c r="N430" s="17">
        <v>50</v>
      </c>
      <c r="O430" s="17">
        <v>0</v>
      </c>
    </row>
    <row r="431" spans="1:15" x14ac:dyDescent="0.2">
      <c r="A431" t="s">
        <v>1236</v>
      </c>
      <c r="B431">
        <v>845.58399999999995</v>
      </c>
      <c r="C431" t="s">
        <v>60</v>
      </c>
      <c r="D431" t="s">
        <v>61</v>
      </c>
      <c r="E431" t="s">
        <v>1212</v>
      </c>
      <c r="F431" t="s">
        <v>111</v>
      </c>
      <c r="G431" s="17">
        <v>0</v>
      </c>
      <c r="H431" s="17" t="str">
        <f t="shared" si="18"/>
        <v>240</v>
      </c>
      <c r="I431" s="17">
        <v>1.2</v>
      </c>
      <c r="J431" s="17">
        <v>2.2000000000000002</v>
      </c>
      <c r="K431" s="17">
        <f t="shared" si="19"/>
        <v>843.58399999999995</v>
      </c>
      <c r="L431" s="17">
        <f t="shared" si="20"/>
        <v>847.58399999999995</v>
      </c>
      <c r="M431" s="17">
        <v>0</v>
      </c>
      <c r="N431" s="17">
        <v>50</v>
      </c>
      <c r="O431" s="17">
        <v>0</v>
      </c>
    </row>
    <row r="432" spans="1:15" x14ac:dyDescent="0.2">
      <c r="A432" t="s">
        <v>1238</v>
      </c>
      <c r="B432">
        <v>845.58399999999995</v>
      </c>
      <c r="C432" t="s">
        <v>60</v>
      </c>
      <c r="D432" t="s">
        <v>61</v>
      </c>
      <c r="E432" t="s">
        <v>1212</v>
      </c>
      <c r="F432" t="s">
        <v>306</v>
      </c>
      <c r="G432" s="17">
        <v>0</v>
      </c>
      <c r="H432" s="17" t="str">
        <f t="shared" si="18"/>
        <v>240</v>
      </c>
      <c r="I432" s="17">
        <v>1.2</v>
      </c>
      <c r="J432" s="17">
        <v>2.2000000000000002</v>
      </c>
      <c r="K432" s="17">
        <f t="shared" si="19"/>
        <v>843.58399999999995</v>
      </c>
      <c r="L432" s="17">
        <f t="shared" si="20"/>
        <v>847.58399999999995</v>
      </c>
      <c r="M432" s="17">
        <v>0</v>
      </c>
      <c r="N432" s="17">
        <v>50</v>
      </c>
      <c r="O432" s="17">
        <v>0</v>
      </c>
    </row>
    <row r="433" spans="1:15" x14ac:dyDescent="0.2">
      <c r="A433" t="s">
        <v>1240</v>
      </c>
      <c r="B433">
        <v>845.58399999999995</v>
      </c>
      <c r="C433" t="s">
        <v>60</v>
      </c>
      <c r="D433" t="s">
        <v>61</v>
      </c>
      <c r="E433" t="s">
        <v>1212</v>
      </c>
      <c r="F433" t="s">
        <v>306</v>
      </c>
      <c r="G433" s="17">
        <v>0</v>
      </c>
      <c r="H433" s="17" t="str">
        <f t="shared" si="18"/>
        <v>240</v>
      </c>
      <c r="I433" s="17">
        <v>1.2</v>
      </c>
      <c r="J433" s="17">
        <v>2.2000000000000002</v>
      </c>
      <c r="K433" s="17">
        <f t="shared" si="19"/>
        <v>843.58399999999995</v>
      </c>
      <c r="L433" s="17">
        <f t="shared" si="20"/>
        <v>847.58399999999995</v>
      </c>
      <c r="M433" s="17">
        <v>0</v>
      </c>
      <c r="N433" s="17">
        <v>50</v>
      </c>
      <c r="O433" s="17">
        <v>0</v>
      </c>
    </row>
    <row r="434" spans="1:15" x14ac:dyDescent="0.2">
      <c r="A434" t="s">
        <v>1242</v>
      </c>
      <c r="B434">
        <v>845.58399999999995</v>
      </c>
      <c r="C434" t="s">
        <v>60</v>
      </c>
      <c r="D434" t="s">
        <v>61</v>
      </c>
      <c r="E434" t="s">
        <v>1212</v>
      </c>
      <c r="F434" t="s">
        <v>306</v>
      </c>
      <c r="G434" s="17">
        <v>0</v>
      </c>
      <c r="H434" s="17" t="str">
        <f t="shared" si="18"/>
        <v>240</v>
      </c>
      <c r="I434" s="17">
        <v>1.2</v>
      </c>
      <c r="J434" s="17">
        <v>2.2000000000000002</v>
      </c>
      <c r="K434" s="17">
        <f t="shared" si="19"/>
        <v>843.58399999999995</v>
      </c>
      <c r="L434" s="17">
        <f t="shared" si="20"/>
        <v>847.58399999999995</v>
      </c>
      <c r="M434" s="17">
        <v>0</v>
      </c>
      <c r="N434" s="17">
        <v>50</v>
      </c>
      <c r="O434" s="17">
        <v>0</v>
      </c>
    </row>
    <row r="435" spans="1:15" x14ac:dyDescent="0.2">
      <c r="A435" t="s">
        <v>1244</v>
      </c>
      <c r="B435">
        <v>845.58399999999995</v>
      </c>
      <c r="C435" t="s">
        <v>60</v>
      </c>
      <c r="D435" t="s">
        <v>61</v>
      </c>
      <c r="E435" t="s">
        <v>1212</v>
      </c>
      <c r="F435" t="s">
        <v>306</v>
      </c>
      <c r="G435" s="17">
        <v>0</v>
      </c>
      <c r="H435" s="17" t="str">
        <f t="shared" si="18"/>
        <v>240</v>
      </c>
      <c r="I435" s="17">
        <v>1.2</v>
      </c>
      <c r="J435" s="17">
        <v>2.2000000000000002</v>
      </c>
      <c r="K435" s="17">
        <f t="shared" si="19"/>
        <v>843.58399999999995</v>
      </c>
      <c r="L435" s="17">
        <f t="shared" si="20"/>
        <v>847.58399999999995</v>
      </c>
      <c r="M435" s="17">
        <v>0</v>
      </c>
      <c r="N435" s="17">
        <v>50</v>
      </c>
      <c r="O435" s="17">
        <v>0</v>
      </c>
    </row>
    <row r="436" spans="1:15" x14ac:dyDescent="0.2">
      <c r="A436" t="s">
        <v>1246</v>
      </c>
      <c r="B436">
        <v>845.58399999999995</v>
      </c>
      <c r="C436" t="s">
        <v>60</v>
      </c>
      <c r="D436" t="s">
        <v>61</v>
      </c>
      <c r="E436" t="s">
        <v>1212</v>
      </c>
      <c r="G436" s="17">
        <v>0</v>
      </c>
      <c r="H436" s="17" t="str">
        <f t="shared" si="18"/>
        <v>240</v>
      </c>
      <c r="I436" s="17">
        <v>1.2</v>
      </c>
      <c r="J436" s="17">
        <v>2.2000000000000002</v>
      </c>
      <c r="K436" s="17">
        <f t="shared" si="19"/>
        <v>843.58399999999995</v>
      </c>
      <c r="L436" s="17">
        <f t="shared" si="20"/>
        <v>847.58399999999995</v>
      </c>
      <c r="M436" s="17">
        <v>0</v>
      </c>
      <c r="N436" s="17">
        <v>50</v>
      </c>
      <c r="O436" s="17">
        <v>0</v>
      </c>
    </row>
    <row r="437" spans="1:15" x14ac:dyDescent="0.2">
      <c r="A437" t="s">
        <v>1248</v>
      </c>
      <c r="B437" t="s">
        <v>1153</v>
      </c>
      <c r="C437" t="s">
        <v>60</v>
      </c>
      <c r="D437" t="s">
        <v>156</v>
      </c>
      <c r="E437" t="s">
        <v>89</v>
      </c>
      <c r="F437" t="s">
        <v>159</v>
      </c>
      <c r="G437" s="17">
        <v>0</v>
      </c>
      <c r="H437" s="17" t="str">
        <f t="shared" si="18"/>
        <v>80</v>
      </c>
      <c r="I437" s="17">
        <v>1.2</v>
      </c>
      <c r="J437" s="17">
        <v>2.2000000000000002</v>
      </c>
      <c r="K437" s="17">
        <f t="shared" si="19"/>
        <v>792.97799999999995</v>
      </c>
      <c r="L437" s="17">
        <f t="shared" si="20"/>
        <v>796.97799999999995</v>
      </c>
      <c r="M437" s="17">
        <v>0</v>
      </c>
      <c r="N437" s="17">
        <v>50</v>
      </c>
      <c r="O437" s="17">
        <v>0</v>
      </c>
    </row>
    <row r="438" spans="1:15" x14ac:dyDescent="0.2">
      <c r="A438" t="s">
        <v>1251</v>
      </c>
      <c r="B438">
        <v>845.58399999999995</v>
      </c>
      <c r="C438" t="s">
        <v>60</v>
      </c>
      <c r="D438" t="s">
        <v>61</v>
      </c>
      <c r="E438" t="s">
        <v>1212</v>
      </c>
      <c r="G438" s="17">
        <v>0</v>
      </c>
      <c r="H438" s="17" t="str">
        <f t="shared" si="18"/>
        <v>240</v>
      </c>
      <c r="I438" s="17">
        <v>1.2</v>
      </c>
      <c r="J438" s="17">
        <v>2.2000000000000002</v>
      </c>
      <c r="K438" s="17">
        <f t="shared" si="19"/>
        <v>843.58399999999995</v>
      </c>
      <c r="L438" s="17">
        <f t="shared" si="20"/>
        <v>847.58399999999995</v>
      </c>
      <c r="M438" s="17">
        <v>0</v>
      </c>
      <c r="N438" s="17">
        <v>50</v>
      </c>
      <c r="O438" s="17">
        <v>0</v>
      </c>
    </row>
    <row r="439" spans="1:15" x14ac:dyDescent="0.2">
      <c r="A439" t="s">
        <v>1253</v>
      </c>
      <c r="B439" t="s">
        <v>1254</v>
      </c>
      <c r="C439" t="s">
        <v>558</v>
      </c>
      <c r="D439" t="s">
        <v>559</v>
      </c>
      <c r="E439" t="s">
        <v>560</v>
      </c>
      <c r="G439" s="17">
        <v>0</v>
      </c>
      <c r="H439" s="17" t="str">
        <f t="shared" si="18"/>
        <v>100</v>
      </c>
      <c r="I439" s="17">
        <v>1.2</v>
      </c>
      <c r="J439" s="17">
        <v>2.2000000000000002</v>
      </c>
      <c r="K439" s="17">
        <f t="shared" si="19"/>
        <v>848</v>
      </c>
      <c r="L439" s="17">
        <f t="shared" si="20"/>
        <v>852</v>
      </c>
      <c r="M439" s="17">
        <v>0</v>
      </c>
      <c r="N439" s="17">
        <v>50</v>
      </c>
      <c r="O439" s="17">
        <v>0</v>
      </c>
    </row>
    <row r="440" spans="1:15" x14ac:dyDescent="0.2">
      <c r="A440" t="s">
        <v>1258</v>
      </c>
      <c r="B440" t="s">
        <v>1254</v>
      </c>
      <c r="C440" t="s">
        <v>558</v>
      </c>
      <c r="D440" t="s">
        <v>572</v>
      </c>
      <c r="E440" t="s">
        <v>560</v>
      </c>
      <c r="F440" t="s">
        <v>159</v>
      </c>
      <c r="G440" s="17">
        <v>0</v>
      </c>
      <c r="H440" s="17" t="str">
        <f t="shared" si="18"/>
        <v>100</v>
      </c>
      <c r="I440" s="17">
        <v>1.2</v>
      </c>
      <c r="J440" s="17">
        <v>2.2000000000000002</v>
      </c>
      <c r="K440" s="17">
        <f t="shared" si="19"/>
        <v>848</v>
      </c>
      <c r="L440" s="17">
        <f t="shared" si="20"/>
        <v>852</v>
      </c>
      <c r="M440" s="17">
        <v>0</v>
      </c>
      <c r="N440" s="17">
        <v>50</v>
      </c>
      <c r="O440" s="17">
        <v>0</v>
      </c>
    </row>
    <row r="441" spans="1:15" x14ac:dyDescent="0.2">
      <c r="A441" t="s">
        <v>1262</v>
      </c>
      <c r="B441" t="s">
        <v>1254</v>
      </c>
      <c r="C441" t="s">
        <v>558</v>
      </c>
      <c r="D441" t="s">
        <v>572</v>
      </c>
      <c r="E441" t="s">
        <v>560</v>
      </c>
      <c r="G441" s="17">
        <v>0</v>
      </c>
      <c r="H441" s="17" t="str">
        <f t="shared" si="18"/>
        <v>100</v>
      </c>
      <c r="I441" s="17">
        <v>1.2</v>
      </c>
      <c r="J441" s="17">
        <v>2.2000000000000002</v>
      </c>
      <c r="K441" s="17">
        <f t="shared" si="19"/>
        <v>848</v>
      </c>
      <c r="L441" s="17">
        <f t="shared" si="20"/>
        <v>852</v>
      </c>
      <c r="M441" s="17">
        <v>0</v>
      </c>
      <c r="N441" s="17">
        <v>50</v>
      </c>
      <c r="O441" s="17">
        <v>0</v>
      </c>
    </row>
    <row r="442" spans="1:15" x14ac:dyDescent="0.2">
      <c r="A442" t="s">
        <v>1264</v>
      </c>
      <c r="B442">
        <v>852.34699999999998</v>
      </c>
      <c r="C442" t="s">
        <v>60</v>
      </c>
      <c r="D442" t="s">
        <v>61</v>
      </c>
      <c r="E442" t="s">
        <v>445</v>
      </c>
      <c r="G442" s="17">
        <v>0</v>
      </c>
      <c r="H442" s="17" t="str">
        <f t="shared" si="18"/>
        <v>120</v>
      </c>
      <c r="I442" s="17">
        <v>1.2</v>
      </c>
      <c r="J442" s="17">
        <v>2.2000000000000002</v>
      </c>
      <c r="K442" s="17">
        <f t="shared" si="19"/>
        <v>850.34699999999998</v>
      </c>
      <c r="L442" s="17">
        <f t="shared" si="20"/>
        <v>854.34699999999998</v>
      </c>
      <c r="M442" s="17">
        <v>0</v>
      </c>
      <c r="N442" s="17">
        <v>50</v>
      </c>
      <c r="O442" s="17">
        <v>0</v>
      </c>
    </row>
    <row r="443" spans="1:15" x14ac:dyDescent="0.2">
      <c r="A443" t="s">
        <v>1268</v>
      </c>
      <c r="B443">
        <v>852.34699999999998</v>
      </c>
      <c r="C443" t="s">
        <v>60</v>
      </c>
      <c r="D443" t="s">
        <v>61</v>
      </c>
      <c r="E443" t="s">
        <v>1207</v>
      </c>
      <c r="G443" s="17">
        <v>0</v>
      </c>
      <c r="H443" s="17" t="str">
        <f t="shared" si="18"/>
        <v>25</v>
      </c>
      <c r="I443" s="17">
        <v>1.2</v>
      </c>
      <c r="J443" s="17">
        <v>2.2000000000000002</v>
      </c>
      <c r="K443" s="17">
        <f t="shared" si="19"/>
        <v>850.34699999999998</v>
      </c>
      <c r="L443" s="17">
        <f t="shared" si="20"/>
        <v>854.34699999999998</v>
      </c>
      <c r="M443" s="17">
        <v>0</v>
      </c>
      <c r="N443" s="17">
        <v>50</v>
      </c>
      <c r="O443" s="17">
        <v>0</v>
      </c>
    </row>
    <row r="444" spans="1:15" x14ac:dyDescent="0.2">
      <c r="A444" t="s">
        <v>1270</v>
      </c>
      <c r="B444">
        <v>852.34699999999998</v>
      </c>
      <c r="C444" t="s">
        <v>60</v>
      </c>
      <c r="D444" t="s">
        <v>61</v>
      </c>
      <c r="E444" t="s">
        <v>1212</v>
      </c>
      <c r="G444" s="17">
        <v>0</v>
      </c>
      <c r="H444" s="17" t="str">
        <f t="shared" si="18"/>
        <v>240</v>
      </c>
      <c r="I444" s="17">
        <v>1.2</v>
      </c>
      <c r="J444" s="17">
        <v>2.2000000000000002</v>
      </c>
      <c r="K444" s="17">
        <f t="shared" si="19"/>
        <v>850.34699999999998</v>
      </c>
      <c r="L444" s="17">
        <f t="shared" si="20"/>
        <v>854.34699999999998</v>
      </c>
      <c r="M444" s="17">
        <v>0</v>
      </c>
      <c r="N444" s="17">
        <v>50</v>
      </c>
      <c r="O444" s="17">
        <v>0</v>
      </c>
    </row>
    <row r="445" spans="1:15" x14ac:dyDescent="0.2">
      <c r="A445" t="s">
        <v>1272</v>
      </c>
      <c r="B445">
        <v>852.34699999999998</v>
      </c>
      <c r="C445" t="s">
        <v>60</v>
      </c>
      <c r="D445" t="s">
        <v>61</v>
      </c>
      <c r="E445" t="s">
        <v>1212</v>
      </c>
      <c r="G445" s="17">
        <v>0</v>
      </c>
      <c r="H445" s="17" t="str">
        <f t="shared" si="18"/>
        <v>240</v>
      </c>
      <c r="I445" s="17">
        <v>1.2</v>
      </c>
      <c r="J445" s="17">
        <v>2.2000000000000002</v>
      </c>
      <c r="K445" s="17">
        <f t="shared" si="19"/>
        <v>850.34699999999998</v>
      </c>
      <c r="L445" s="17">
        <f t="shared" si="20"/>
        <v>854.34699999999998</v>
      </c>
      <c r="M445" s="17">
        <v>0</v>
      </c>
      <c r="N445" s="17">
        <v>50</v>
      </c>
      <c r="O445" s="17">
        <v>0</v>
      </c>
    </row>
    <row r="446" spans="1:15" x14ac:dyDescent="0.2">
      <c r="A446" t="s">
        <v>1274</v>
      </c>
      <c r="B446">
        <v>852.34699999999998</v>
      </c>
      <c r="C446" t="s">
        <v>60</v>
      </c>
      <c r="D446" t="s">
        <v>61</v>
      </c>
      <c r="E446" t="s">
        <v>1212</v>
      </c>
      <c r="F446" t="s">
        <v>156</v>
      </c>
      <c r="G446" s="17">
        <v>0</v>
      </c>
      <c r="H446" s="17" t="str">
        <f t="shared" si="18"/>
        <v>240</v>
      </c>
      <c r="I446" s="17">
        <v>1.2</v>
      </c>
      <c r="J446" s="17">
        <v>2.2000000000000002</v>
      </c>
      <c r="K446" s="17">
        <f t="shared" si="19"/>
        <v>850.34699999999998</v>
      </c>
      <c r="L446" s="17">
        <f t="shared" si="20"/>
        <v>854.34699999999998</v>
      </c>
      <c r="M446" s="17">
        <v>0</v>
      </c>
      <c r="N446" s="17">
        <v>50</v>
      </c>
      <c r="O446" s="17">
        <v>0</v>
      </c>
    </row>
    <row r="447" spans="1:15" x14ac:dyDescent="0.2">
      <c r="A447" t="s">
        <v>1276</v>
      </c>
      <c r="B447">
        <v>852.34699999999998</v>
      </c>
      <c r="C447" t="s">
        <v>60</v>
      </c>
      <c r="D447" t="s">
        <v>61</v>
      </c>
      <c r="E447" t="s">
        <v>1212</v>
      </c>
      <c r="F447" t="s">
        <v>156</v>
      </c>
      <c r="G447" s="17">
        <v>0</v>
      </c>
      <c r="H447" s="17" t="str">
        <f t="shared" si="18"/>
        <v>240</v>
      </c>
      <c r="I447" s="17">
        <v>1.2</v>
      </c>
      <c r="J447" s="17">
        <v>2.2000000000000002</v>
      </c>
      <c r="K447" s="17">
        <f t="shared" si="19"/>
        <v>850.34699999999998</v>
      </c>
      <c r="L447" s="17">
        <f t="shared" si="20"/>
        <v>854.34699999999998</v>
      </c>
      <c r="M447" s="17">
        <v>0</v>
      </c>
      <c r="N447" s="17">
        <v>50</v>
      </c>
      <c r="O447" s="17">
        <v>0</v>
      </c>
    </row>
    <row r="448" spans="1:15" x14ac:dyDescent="0.2">
      <c r="A448" t="s">
        <v>1278</v>
      </c>
      <c r="B448">
        <v>852.34699999999998</v>
      </c>
      <c r="C448" t="s">
        <v>60</v>
      </c>
      <c r="D448" t="s">
        <v>61</v>
      </c>
      <c r="E448" t="s">
        <v>1212</v>
      </c>
      <c r="F448" t="s">
        <v>156</v>
      </c>
      <c r="G448" s="17">
        <v>0</v>
      </c>
      <c r="H448" s="17" t="str">
        <f t="shared" si="18"/>
        <v>240</v>
      </c>
      <c r="I448" s="17">
        <v>1.2</v>
      </c>
      <c r="J448" s="17">
        <v>2.2000000000000002</v>
      </c>
      <c r="K448" s="17">
        <f t="shared" si="19"/>
        <v>850.34699999999998</v>
      </c>
      <c r="L448" s="17">
        <f t="shared" si="20"/>
        <v>854.34699999999998</v>
      </c>
      <c r="M448" s="17">
        <v>0</v>
      </c>
      <c r="N448" s="17">
        <v>50</v>
      </c>
      <c r="O448" s="17">
        <v>0</v>
      </c>
    </row>
    <row r="449" spans="1:15" x14ac:dyDescent="0.2">
      <c r="A449" t="s">
        <v>1280</v>
      </c>
      <c r="B449">
        <v>852.34699999999998</v>
      </c>
      <c r="C449" t="s">
        <v>60</v>
      </c>
      <c r="D449" t="s">
        <v>156</v>
      </c>
      <c r="E449" t="s">
        <v>89</v>
      </c>
      <c r="F449" t="s">
        <v>156</v>
      </c>
      <c r="G449" s="17">
        <v>0</v>
      </c>
      <c r="H449" s="17" t="str">
        <f t="shared" si="18"/>
        <v>80</v>
      </c>
      <c r="I449" s="17">
        <v>1.2</v>
      </c>
      <c r="J449" s="17">
        <v>2.2000000000000002</v>
      </c>
      <c r="K449" s="17">
        <f t="shared" si="19"/>
        <v>850.34699999999998</v>
      </c>
      <c r="L449" s="17">
        <f t="shared" si="20"/>
        <v>854.34699999999998</v>
      </c>
      <c r="M449" s="17">
        <v>0</v>
      </c>
      <c r="N449" s="17">
        <v>50</v>
      </c>
      <c r="O449" s="17">
        <v>0</v>
      </c>
    </row>
    <row r="450" spans="1:15" x14ac:dyDescent="0.2">
      <c r="A450" t="s">
        <v>1282</v>
      </c>
      <c r="B450">
        <v>852.34699999999998</v>
      </c>
      <c r="C450" t="s">
        <v>60</v>
      </c>
      <c r="D450" t="s">
        <v>61</v>
      </c>
      <c r="E450" t="s">
        <v>1212</v>
      </c>
      <c r="F450" t="s">
        <v>156</v>
      </c>
      <c r="G450" s="17">
        <v>0</v>
      </c>
      <c r="H450" s="17" t="str">
        <f t="shared" si="18"/>
        <v>240</v>
      </c>
      <c r="I450" s="17">
        <v>1.2</v>
      </c>
      <c r="J450" s="17">
        <v>2.2000000000000002</v>
      </c>
      <c r="K450" s="17">
        <f t="shared" si="19"/>
        <v>850.34699999999998</v>
      </c>
      <c r="L450" s="17">
        <f t="shared" si="20"/>
        <v>854.34699999999998</v>
      </c>
      <c r="M450" s="17">
        <v>0</v>
      </c>
      <c r="N450" s="17">
        <v>50</v>
      </c>
      <c r="O450" s="17">
        <v>0</v>
      </c>
    </row>
    <row r="451" spans="1:15" x14ac:dyDescent="0.2">
      <c r="A451" t="s">
        <v>1284</v>
      </c>
      <c r="B451">
        <v>852.34699999999998</v>
      </c>
      <c r="C451" t="s">
        <v>60</v>
      </c>
      <c r="D451" t="s">
        <v>612</v>
      </c>
      <c r="E451" t="s">
        <v>613</v>
      </c>
      <c r="F451" t="s">
        <v>156</v>
      </c>
      <c r="G451" s="17">
        <v>0</v>
      </c>
      <c r="H451" s="17" t="str">
        <f t="shared" ref="H451:H514" si="21">_xlfn.TEXTAFTER(E451,"-",1)</f>
        <v>30</v>
      </c>
      <c r="I451" s="17">
        <v>1.2</v>
      </c>
      <c r="J451" s="17">
        <v>2.2000000000000002</v>
      </c>
      <c r="K451" s="17">
        <f t="shared" ref="K451:K514" si="22">B451-2</f>
        <v>850.34699999999998</v>
      </c>
      <c r="L451" s="17">
        <f t="shared" ref="L451:L514" si="23">B451+2</f>
        <v>854.34699999999998</v>
      </c>
      <c r="M451" s="17">
        <v>0</v>
      </c>
      <c r="N451" s="17">
        <v>50</v>
      </c>
      <c r="O451" s="17">
        <v>0</v>
      </c>
    </row>
    <row r="452" spans="1:15" x14ac:dyDescent="0.2">
      <c r="A452" t="s">
        <v>1286</v>
      </c>
      <c r="B452">
        <v>852.34699999999998</v>
      </c>
      <c r="C452" t="s">
        <v>60</v>
      </c>
      <c r="D452" t="s">
        <v>61</v>
      </c>
      <c r="E452" t="s">
        <v>445</v>
      </c>
      <c r="F452" t="s">
        <v>111</v>
      </c>
      <c r="G452" s="17">
        <v>0</v>
      </c>
      <c r="H452" s="17" t="str">
        <f t="shared" si="21"/>
        <v>120</v>
      </c>
      <c r="I452" s="17">
        <v>1.2</v>
      </c>
      <c r="J452" s="17">
        <v>2.2000000000000002</v>
      </c>
      <c r="K452" s="17">
        <f t="shared" si="22"/>
        <v>850.34699999999998</v>
      </c>
      <c r="L452" s="17">
        <f t="shared" si="23"/>
        <v>854.34699999999998</v>
      </c>
      <c r="M452" s="17">
        <v>0</v>
      </c>
      <c r="N452" s="17">
        <v>50</v>
      </c>
      <c r="O452" s="17">
        <v>0</v>
      </c>
    </row>
    <row r="453" spans="1:15" x14ac:dyDescent="0.2">
      <c r="A453" t="s">
        <v>1288</v>
      </c>
      <c r="B453">
        <v>852.34699999999998</v>
      </c>
      <c r="C453" t="s">
        <v>60</v>
      </c>
      <c r="D453" t="s">
        <v>61</v>
      </c>
      <c r="E453" t="s">
        <v>1207</v>
      </c>
      <c r="F453" t="s">
        <v>111</v>
      </c>
      <c r="G453" s="17">
        <v>0</v>
      </c>
      <c r="H453" s="17" t="str">
        <f t="shared" si="21"/>
        <v>25</v>
      </c>
      <c r="I453" s="17">
        <v>1.2</v>
      </c>
      <c r="J453" s="17">
        <v>2.2000000000000002</v>
      </c>
      <c r="K453" s="17">
        <f t="shared" si="22"/>
        <v>850.34699999999998</v>
      </c>
      <c r="L453" s="17">
        <f t="shared" si="23"/>
        <v>854.34699999999998</v>
      </c>
      <c r="M453" s="17">
        <v>0</v>
      </c>
      <c r="N453" s="17">
        <v>50</v>
      </c>
      <c r="O453" s="17">
        <v>0</v>
      </c>
    </row>
    <row r="454" spans="1:15" x14ac:dyDescent="0.2">
      <c r="A454" t="s">
        <v>1290</v>
      </c>
      <c r="B454">
        <v>852.34699999999998</v>
      </c>
      <c r="C454" t="s">
        <v>60</v>
      </c>
      <c r="D454" t="s">
        <v>61</v>
      </c>
      <c r="E454" t="s">
        <v>1212</v>
      </c>
      <c r="F454" t="s">
        <v>111</v>
      </c>
      <c r="G454" s="17">
        <v>0</v>
      </c>
      <c r="H454" s="17" t="str">
        <f t="shared" si="21"/>
        <v>240</v>
      </c>
      <c r="I454" s="17">
        <v>1.2</v>
      </c>
      <c r="J454" s="17">
        <v>2.2000000000000002</v>
      </c>
      <c r="K454" s="17">
        <f t="shared" si="22"/>
        <v>850.34699999999998</v>
      </c>
      <c r="L454" s="17">
        <f t="shared" si="23"/>
        <v>854.34699999999998</v>
      </c>
      <c r="M454" s="17">
        <v>0</v>
      </c>
      <c r="N454" s="17">
        <v>50</v>
      </c>
      <c r="O454" s="17">
        <v>0</v>
      </c>
    </row>
    <row r="455" spans="1:15" x14ac:dyDescent="0.2">
      <c r="A455" t="s">
        <v>1292</v>
      </c>
      <c r="B455">
        <v>852.34699999999998</v>
      </c>
      <c r="C455" t="s">
        <v>60</v>
      </c>
      <c r="D455" t="s">
        <v>61</v>
      </c>
      <c r="E455" t="s">
        <v>1212</v>
      </c>
      <c r="F455" t="s">
        <v>111</v>
      </c>
      <c r="G455" s="17">
        <v>0</v>
      </c>
      <c r="H455" s="17" t="str">
        <f t="shared" si="21"/>
        <v>240</v>
      </c>
      <c r="I455" s="17">
        <v>1.2</v>
      </c>
      <c r="J455" s="17">
        <v>2.2000000000000002</v>
      </c>
      <c r="K455" s="17">
        <f t="shared" si="22"/>
        <v>850.34699999999998</v>
      </c>
      <c r="L455" s="17">
        <f t="shared" si="23"/>
        <v>854.34699999999998</v>
      </c>
      <c r="M455" s="17">
        <v>0</v>
      </c>
      <c r="N455" s="17">
        <v>50</v>
      </c>
      <c r="O455" s="17">
        <v>0</v>
      </c>
    </row>
    <row r="456" spans="1:15" x14ac:dyDescent="0.2">
      <c r="A456" t="s">
        <v>1294</v>
      </c>
      <c r="B456">
        <v>852.34699999999998</v>
      </c>
      <c r="C456" t="s">
        <v>60</v>
      </c>
      <c r="D456" t="s">
        <v>61</v>
      </c>
      <c r="E456" t="s">
        <v>1212</v>
      </c>
      <c r="F456" t="s">
        <v>111</v>
      </c>
      <c r="G456" s="17">
        <v>0</v>
      </c>
      <c r="H456" s="17" t="str">
        <f t="shared" si="21"/>
        <v>240</v>
      </c>
      <c r="I456" s="17">
        <v>1.2</v>
      </c>
      <c r="J456" s="17">
        <v>2.2000000000000002</v>
      </c>
      <c r="K456" s="17">
        <f t="shared" si="22"/>
        <v>850.34699999999998</v>
      </c>
      <c r="L456" s="17">
        <f t="shared" si="23"/>
        <v>854.34699999999998</v>
      </c>
      <c r="M456" s="17">
        <v>0</v>
      </c>
      <c r="N456" s="17">
        <v>50</v>
      </c>
      <c r="O456" s="17">
        <v>0</v>
      </c>
    </row>
    <row r="457" spans="1:15" x14ac:dyDescent="0.2">
      <c r="A457" t="s">
        <v>1296</v>
      </c>
      <c r="B457">
        <v>852.34699999999998</v>
      </c>
      <c r="C457" t="s">
        <v>60</v>
      </c>
      <c r="D457" t="s">
        <v>156</v>
      </c>
      <c r="E457" t="s">
        <v>89</v>
      </c>
      <c r="F457" t="s">
        <v>111</v>
      </c>
      <c r="G457" s="17">
        <v>0</v>
      </c>
      <c r="H457" s="17" t="str">
        <f t="shared" si="21"/>
        <v>80</v>
      </c>
      <c r="I457" s="17">
        <v>1.2</v>
      </c>
      <c r="J457" s="17">
        <v>2.2000000000000002</v>
      </c>
      <c r="K457" s="17">
        <f t="shared" si="22"/>
        <v>850.34699999999998</v>
      </c>
      <c r="L457" s="17">
        <f t="shared" si="23"/>
        <v>854.34699999999998</v>
      </c>
      <c r="M457" s="17">
        <v>0</v>
      </c>
      <c r="N457" s="17">
        <v>50</v>
      </c>
      <c r="O457" s="17">
        <v>0</v>
      </c>
    </row>
    <row r="458" spans="1:15" x14ac:dyDescent="0.2">
      <c r="A458" t="s">
        <v>1298</v>
      </c>
      <c r="B458">
        <v>852.34699999999998</v>
      </c>
      <c r="C458" t="s">
        <v>60</v>
      </c>
      <c r="D458" t="s">
        <v>61</v>
      </c>
      <c r="E458" t="s">
        <v>1212</v>
      </c>
      <c r="F458" t="s">
        <v>111</v>
      </c>
      <c r="G458" s="17">
        <v>0</v>
      </c>
      <c r="H458" s="17" t="str">
        <f t="shared" si="21"/>
        <v>240</v>
      </c>
      <c r="I458" s="17">
        <v>1.2</v>
      </c>
      <c r="J458" s="17">
        <v>2.2000000000000002</v>
      </c>
      <c r="K458" s="17">
        <f t="shared" si="22"/>
        <v>850.34699999999998</v>
      </c>
      <c r="L458" s="17">
        <f t="shared" si="23"/>
        <v>854.34699999999998</v>
      </c>
      <c r="M458" s="17">
        <v>0</v>
      </c>
      <c r="N458" s="17">
        <v>50</v>
      </c>
      <c r="O458" s="17">
        <v>0</v>
      </c>
    </row>
    <row r="459" spans="1:15" x14ac:dyDescent="0.2">
      <c r="A459" t="s">
        <v>1300</v>
      </c>
      <c r="B459">
        <v>852.34699999999998</v>
      </c>
      <c r="C459" t="s">
        <v>60</v>
      </c>
      <c r="D459" t="s">
        <v>61</v>
      </c>
      <c r="E459" t="s">
        <v>1212</v>
      </c>
      <c r="F459" t="s">
        <v>306</v>
      </c>
      <c r="G459" s="17">
        <v>0</v>
      </c>
      <c r="H459" s="17" t="str">
        <f t="shared" si="21"/>
        <v>240</v>
      </c>
      <c r="I459" s="17">
        <v>1.2</v>
      </c>
      <c r="J459" s="17">
        <v>2.2000000000000002</v>
      </c>
      <c r="K459" s="17">
        <f t="shared" si="22"/>
        <v>850.34699999999998</v>
      </c>
      <c r="L459" s="17">
        <f t="shared" si="23"/>
        <v>854.34699999999998</v>
      </c>
      <c r="M459" s="17">
        <v>0</v>
      </c>
      <c r="N459" s="17">
        <v>50</v>
      </c>
      <c r="O459" s="17">
        <v>0</v>
      </c>
    </row>
    <row r="460" spans="1:15" x14ac:dyDescent="0.2">
      <c r="A460" t="s">
        <v>1302</v>
      </c>
      <c r="B460">
        <v>852.34699999999998</v>
      </c>
      <c r="C460" t="s">
        <v>60</v>
      </c>
      <c r="D460" t="s">
        <v>61</v>
      </c>
      <c r="E460" t="s">
        <v>1212</v>
      </c>
      <c r="F460" t="s">
        <v>306</v>
      </c>
      <c r="G460" s="17">
        <v>0</v>
      </c>
      <c r="H460" s="17" t="str">
        <f t="shared" si="21"/>
        <v>240</v>
      </c>
      <c r="I460" s="17">
        <v>1.2</v>
      </c>
      <c r="J460" s="17">
        <v>2.2000000000000002</v>
      </c>
      <c r="K460" s="17">
        <f t="shared" si="22"/>
        <v>850.34699999999998</v>
      </c>
      <c r="L460" s="17">
        <f t="shared" si="23"/>
        <v>854.34699999999998</v>
      </c>
      <c r="M460" s="17">
        <v>0</v>
      </c>
      <c r="N460" s="17">
        <v>50</v>
      </c>
      <c r="O460" s="17">
        <v>0</v>
      </c>
    </row>
    <row r="461" spans="1:15" x14ac:dyDescent="0.2">
      <c r="A461" t="s">
        <v>1304</v>
      </c>
      <c r="B461">
        <v>852.34699999999998</v>
      </c>
      <c r="C461" t="s">
        <v>60</v>
      </c>
      <c r="D461" t="s">
        <v>61</v>
      </c>
      <c r="E461" t="s">
        <v>1212</v>
      </c>
      <c r="F461" t="s">
        <v>306</v>
      </c>
      <c r="G461" s="17">
        <v>0</v>
      </c>
      <c r="H461" s="17" t="str">
        <f t="shared" si="21"/>
        <v>240</v>
      </c>
      <c r="I461" s="17">
        <v>1.2</v>
      </c>
      <c r="J461" s="17">
        <v>2.2000000000000002</v>
      </c>
      <c r="K461" s="17">
        <f t="shared" si="22"/>
        <v>850.34699999999998</v>
      </c>
      <c r="L461" s="17">
        <f t="shared" si="23"/>
        <v>854.34699999999998</v>
      </c>
      <c r="M461" s="17">
        <v>0</v>
      </c>
      <c r="N461" s="17">
        <v>50</v>
      </c>
      <c r="O461" s="17">
        <v>0</v>
      </c>
    </row>
    <row r="462" spans="1:15" x14ac:dyDescent="0.2">
      <c r="A462" t="s">
        <v>1306</v>
      </c>
      <c r="B462">
        <v>852.34699999999998</v>
      </c>
      <c r="C462" t="s">
        <v>60</v>
      </c>
      <c r="D462" t="s">
        <v>156</v>
      </c>
      <c r="E462" t="s">
        <v>89</v>
      </c>
      <c r="F462" t="s">
        <v>306</v>
      </c>
      <c r="G462" s="17">
        <v>0</v>
      </c>
      <c r="H462" s="17" t="str">
        <f t="shared" si="21"/>
        <v>80</v>
      </c>
      <c r="I462" s="17">
        <v>1.2</v>
      </c>
      <c r="J462" s="17">
        <v>2.2000000000000002</v>
      </c>
      <c r="K462" s="17">
        <f t="shared" si="22"/>
        <v>850.34699999999998</v>
      </c>
      <c r="L462" s="17">
        <f t="shared" si="23"/>
        <v>854.34699999999998</v>
      </c>
      <c r="M462" s="17">
        <v>0</v>
      </c>
      <c r="N462" s="17">
        <v>50</v>
      </c>
      <c r="O462" s="17">
        <v>0</v>
      </c>
    </row>
    <row r="463" spans="1:15" x14ac:dyDescent="0.2">
      <c r="A463" t="s">
        <v>1308</v>
      </c>
      <c r="B463">
        <v>852.34699999999998</v>
      </c>
      <c r="C463" t="s">
        <v>60</v>
      </c>
      <c r="D463" t="s">
        <v>61</v>
      </c>
      <c r="E463" t="s">
        <v>1212</v>
      </c>
      <c r="F463" t="s">
        <v>306</v>
      </c>
      <c r="G463" s="17">
        <v>0</v>
      </c>
      <c r="H463" s="17" t="str">
        <f t="shared" si="21"/>
        <v>240</v>
      </c>
      <c r="I463" s="17">
        <v>1.2</v>
      </c>
      <c r="J463" s="17">
        <v>2.2000000000000002</v>
      </c>
      <c r="K463" s="17">
        <f t="shared" si="22"/>
        <v>850.34699999999998</v>
      </c>
      <c r="L463" s="17">
        <f t="shared" si="23"/>
        <v>854.34699999999998</v>
      </c>
      <c r="M463" s="17">
        <v>0</v>
      </c>
      <c r="N463" s="17">
        <v>50</v>
      </c>
      <c r="O463" s="17">
        <v>0</v>
      </c>
    </row>
    <row r="464" spans="1:15" x14ac:dyDescent="0.2">
      <c r="A464" t="s">
        <v>1310</v>
      </c>
      <c r="B464">
        <v>852.34699999999998</v>
      </c>
      <c r="C464" t="s">
        <v>60</v>
      </c>
      <c r="D464" t="s">
        <v>612</v>
      </c>
      <c r="E464" t="s">
        <v>613</v>
      </c>
      <c r="G464" s="17">
        <v>0</v>
      </c>
      <c r="H464" s="17" t="str">
        <f t="shared" si="21"/>
        <v>30</v>
      </c>
      <c r="I464" s="17">
        <v>1.2</v>
      </c>
      <c r="J464" s="17">
        <v>2.2000000000000002</v>
      </c>
      <c r="K464" s="17">
        <f t="shared" si="22"/>
        <v>850.34699999999998</v>
      </c>
      <c r="L464" s="17">
        <f t="shared" si="23"/>
        <v>854.34699999999998</v>
      </c>
      <c r="M464" s="17">
        <v>0</v>
      </c>
      <c r="N464" s="17">
        <v>50</v>
      </c>
      <c r="O464" s="17">
        <v>0</v>
      </c>
    </row>
    <row r="465" spans="1:15" x14ac:dyDescent="0.2">
      <c r="A465" t="s">
        <v>1312</v>
      </c>
      <c r="B465">
        <v>852.34699999999998</v>
      </c>
      <c r="C465" t="s">
        <v>60</v>
      </c>
      <c r="D465" t="s">
        <v>612</v>
      </c>
      <c r="E465" t="s">
        <v>650</v>
      </c>
      <c r="G465" s="17">
        <v>0</v>
      </c>
      <c r="H465" s="17" t="str">
        <f t="shared" si="21"/>
        <v>15</v>
      </c>
      <c r="I465" s="17">
        <v>1.2</v>
      </c>
      <c r="J465" s="17">
        <v>2.2000000000000002</v>
      </c>
      <c r="K465" s="17">
        <f t="shared" si="22"/>
        <v>850.34699999999998</v>
      </c>
      <c r="L465" s="17">
        <f t="shared" si="23"/>
        <v>854.34699999999998</v>
      </c>
      <c r="M465" s="17">
        <v>0</v>
      </c>
      <c r="N465" s="17">
        <v>50</v>
      </c>
      <c r="O465" s="17">
        <v>0</v>
      </c>
    </row>
    <row r="466" spans="1:15" x14ac:dyDescent="0.2">
      <c r="A466" t="s">
        <v>1314</v>
      </c>
      <c r="B466">
        <v>852.34699999999998</v>
      </c>
      <c r="C466" t="s">
        <v>60</v>
      </c>
      <c r="D466" t="s">
        <v>612</v>
      </c>
      <c r="E466" t="s">
        <v>613</v>
      </c>
      <c r="G466" s="17">
        <v>0</v>
      </c>
      <c r="H466" s="17" t="str">
        <f t="shared" si="21"/>
        <v>30</v>
      </c>
      <c r="I466" s="17">
        <v>1.2</v>
      </c>
      <c r="J466" s="17">
        <v>2.2000000000000002</v>
      </c>
      <c r="K466" s="17">
        <f t="shared" si="22"/>
        <v>850.34699999999998</v>
      </c>
      <c r="L466" s="17">
        <f t="shared" si="23"/>
        <v>854.34699999999998</v>
      </c>
      <c r="M466" s="17">
        <v>0</v>
      </c>
      <c r="N466" s="17">
        <v>50</v>
      </c>
      <c r="O466" s="17">
        <v>0</v>
      </c>
    </row>
    <row r="467" spans="1:15" x14ac:dyDescent="0.2">
      <c r="A467" t="s">
        <v>1316</v>
      </c>
      <c r="B467">
        <v>852.34699999999998</v>
      </c>
      <c r="C467" t="s">
        <v>60</v>
      </c>
      <c r="D467" t="s">
        <v>612</v>
      </c>
      <c r="E467" t="s">
        <v>613</v>
      </c>
      <c r="G467" s="17">
        <v>0</v>
      </c>
      <c r="H467" s="17" t="str">
        <f t="shared" si="21"/>
        <v>30</v>
      </c>
      <c r="I467" s="17">
        <v>1.2</v>
      </c>
      <c r="J467" s="17">
        <v>2.2000000000000002</v>
      </c>
      <c r="K467" s="17">
        <f t="shared" si="22"/>
        <v>850.34699999999998</v>
      </c>
      <c r="L467" s="17">
        <f t="shared" si="23"/>
        <v>854.34699999999998</v>
      </c>
      <c r="M467" s="17">
        <v>0</v>
      </c>
      <c r="N467" s="17">
        <v>50</v>
      </c>
      <c r="O467" s="17">
        <v>0</v>
      </c>
    </row>
    <row r="468" spans="1:15" x14ac:dyDescent="0.2">
      <c r="A468" t="s">
        <v>1318</v>
      </c>
      <c r="B468">
        <v>852.34699999999998</v>
      </c>
      <c r="C468" t="s">
        <v>60</v>
      </c>
      <c r="D468" t="s">
        <v>612</v>
      </c>
      <c r="E468" t="s">
        <v>613</v>
      </c>
      <c r="G468" s="17">
        <v>0</v>
      </c>
      <c r="H468" s="17" t="str">
        <f t="shared" si="21"/>
        <v>30</v>
      </c>
      <c r="I468" s="17">
        <v>1.2</v>
      </c>
      <c r="J468" s="17">
        <v>2.2000000000000002</v>
      </c>
      <c r="K468" s="17">
        <f t="shared" si="22"/>
        <v>850.34699999999998</v>
      </c>
      <c r="L468" s="17">
        <f t="shared" si="23"/>
        <v>854.34699999999998</v>
      </c>
      <c r="M468" s="17">
        <v>0</v>
      </c>
      <c r="N468" s="17">
        <v>50</v>
      </c>
      <c r="O468" s="17">
        <v>0</v>
      </c>
    </row>
    <row r="469" spans="1:15" x14ac:dyDescent="0.2">
      <c r="A469" t="s">
        <v>1320</v>
      </c>
      <c r="B469">
        <v>852.34699999999998</v>
      </c>
      <c r="C469" t="s">
        <v>60</v>
      </c>
      <c r="D469" t="s">
        <v>61</v>
      </c>
      <c r="E469" t="s">
        <v>1212</v>
      </c>
      <c r="G469" s="17">
        <v>0</v>
      </c>
      <c r="H469" s="17" t="str">
        <f t="shared" si="21"/>
        <v>240</v>
      </c>
      <c r="I469" s="17">
        <v>1.2</v>
      </c>
      <c r="J469" s="17">
        <v>2.2000000000000002</v>
      </c>
      <c r="K469" s="17">
        <f t="shared" si="22"/>
        <v>850.34699999999998</v>
      </c>
      <c r="L469" s="17">
        <f t="shared" si="23"/>
        <v>854.34699999999998</v>
      </c>
      <c r="M469" s="17">
        <v>0</v>
      </c>
      <c r="N469" s="17">
        <v>50</v>
      </c>
      <c r="O469" s="17">
        <v>0</v>
      </c>
    </row>
    <row r="470" spans="1:15" x14ac:dyDescent="0.2">
      <c r="A470" t="s">
        <v>1322</v>
      </c>
      <c r="B470">
        <v>852.34699999999998</v>
      </c>
      <c r="C470" t="s">
        <v>60</v>
      </c>
      <c r="D470" t="s">
        <v>156</v>
      </c>
      <c r="E470" t="s">
        <v>89</v>
      </c>
      <c r="G470" s="17">
        <v>0</v>
      </c>
      <c r="H470" s="17" t="str">
        <f t="shared" si="21"/>
        <v>80</v>
      </c>
      <c r="I470" s="17">
        <v>1.2</v>
      </c>
      <c r="J470" s="17">
        <v>2.2000000000000002</v>
      </c>
      <c r="K470" s="17">
        <f t="shared" si="22"/>
        <v>850.34699999999998</v>
      </c>
      <c r="L470" s="17">
        <f t="shared" si="23"/>
        <v>854.34699999999998</v>
      </c>
      <c r="M470" s="17">
        <v>0</v>
      </c>
      <c r="N470" s="17">
        <v>50</v>
      </c>
      <c r="O470" s="17">
        <v>0</v>
      </c>
    </row>
    <row r="471" spans="1:15" x14ac:dyDescent="0.2">
      <c r="A471" t="s">
        <v>1324</v>
      </c>
      <c r="B471">
        <v>852.34699999999998</v>
      </c>
      <c r="C471" t="s">
        <v>60</v>
      </c>
      <c r="D471" t="s">
        <v>61</v>
      </c>
      <c r="E471" t="s">
        <v>1212</v>
      </c>
      <c r="G471" s="17">
        <v>0</v>
      </c>
      <c r="H471" s="17" t="str">
        <f t="shared" si="21"/>
        <v>240</v>
      </c>
      <c r="I471" s="17">
        <v>1.2</v>
      </c>
      <c r="J471" s="17">
        <v>2.2000000000000002</v>
      </c>
      <c r="K471" s="17">
        <f t="shared" si="22"/>
        <v>850.34699999999998</v>
      </c>
      <c r="L471" s="17">
        <f t="shared" si="23"/>
        <v>854.34699999999998</v>
      </c>
      <c r="M471" s="17">
        <v>0</v>
      </c>
      <c r="N471" s="17">
        <v>50</v>
      </c>
      <c r="O471" s="17">
        <v>0</v>
      </c>
    </row>
    <row r="472" spans="1:15" x14ac:dyDescent="0.2">
      <c r="A472" t="s">
        <v>1326</v>
      </c>
      <c r="B472">
        <v>852.34699999999998</v>
      </c>
      <c r="C472" t="s">
        <v>60</v>
      </c>
      <c r="D472" t="s">
        <v>612</v>
      </c>
      <c r="E472" t="s">
        <v>613</v>
      </c>
      <c r="F472" t="s">
        <v>156</v>
      </c>
      <c r="G472" s="17">
        <v>0</v>
      </c>
      <c r="H472" s="17" t="str">
        <f t="shared" si="21"/>
        <v>30</v>
      </c>
      <c r="I472" s="17">
        <v>1.2</v>
      </c>
      <c r="J472" s="17">
        <v>2.2000000000000002</v>
      </c>
      <c r="K472" s="17">
        <f t="shared" si="22"/>
        <v>850.34699999999998</v>
      </c>
      <c r="L472" s="17">
        <f t="shared" si="23"/>
        <v>854.34699999999998</v>
      </c>
      <c r="M472" s="17">
        <v>0</v>
      </c>
      <c r="N472" s="17">
        <v>50</v>
      </c>
      <c r="O472" s="17">
        <v>0</v>
      </c>
    </row>
    <row r="473" spans="1:15" x14ac:dyDescent="0.2">
      <c r="A473" t="s">
        <v>1328</v>
      </c>
      <c r="B473">
        <v>852.34699999999998</v>
      </c>
      <c r="C473" t="s">
        <v>60</v>
      </c>
      <c r="D473" t="s">
        <v>612</v>
      </c>
      <c r="E473" t="s">
        <v>613</v>
      </c>
      <c r="F473" t="s">
        <v>156</v>
      </c>
      <c r="G473" s="17">
        <v>0</v>
      </c>
      <c r="H473" s="17" t="str">
        <f t="shared" si="21"/>
        <v>30</v>
      </c>
      <c r="I473" s="17">
        <v>1.2</v>
      </c>
      <c r="J473" s="17">
        <v>2.2000000000000002</v>
      </c>
      <c r="K473" s="17">
        <f t="shared" si="22"/>
        <v>850.34699999999998</v>
      </c>
      <c r="L473" s="17">
        <f t="shared" si="23"/>
        <v>854.34699999999998</v>
      </c>
      <c r="M473" s="17">
        <v>0</v>
      </c>
      <c r="N473" s="17">
        <v>50</v>
      </c>
      <c r="O473" s="17">
        <v>0</v>
      </c>
    </row>
    <row r="474" spans="1:15" x14ac:dyDescent="0.2">
      <c r="A474" t="s">
        <v>1330</v>
      </c>
      <c r="B474">
        <v>852.34699999999998</v>
      </c>
      <c r="C474" t="s">
        <v>60</v>
      </c>
      <c r="D474" t="s">
        <v>612</v>
      </c>
      <c r="E474" t="s">
        <v>613</v>
      </c>
      <c r="F474" t="s">
        <v>156</v>
      </c>
      <c r="G474" s="17">
        <v>0</v>
      </c>
      <c r="H474" s="17" t="str">
        <f t="shared" si="21"/>
        <v>30</v>
      </c>
      <c r="I474" s="17">
        <v>1.2</v>
      </c>
      <c r="J474" s="17">
        <v>2.2000000000000002</v>
      </c>
      <c r="K474" s="17">
        <f t="shared" si="22"/>
        <v>850.34699999999998</v>
      </c>
      <c r="L474" s="17">
        <f t="shared" si="23"/>
        <v>854.34699999999998</v>
      </c>
      <c r="M474" s="17">
        <v>0</v>
      </c>
      <c r="N474" s="17">
        <v>50</v>
      </c>
      <c r="O474" s="17">
        <v>0</v>
      </c>
    </row>
    <row r="475" spans="1:15" x14ac:dyDescent="0.2">
      <c r="A475" t="s">
        <v>1332</v>
      </c>
      <c r="B475">
        <v>852.34699999999998</v>
      </c>
      <c r="C475" t="s">
        <v>60</v>
      </c>
      <c r="D475" t="s">
        <v>612</v>
      </c>
      <c r="E475" t="s">
        <v>613</v>
      </c>
      <c r="G475" s="17">
        <v>0</v>
      </c>
      <c r="H475" s="17" t="str">
        <f t="shared" si="21"/>
        <v>30</v>
      </c>
      <c r="I475" s="17">
        <v>1.2</v>
      </c>
      <c r="J475" s="17">
        <v>2.2000000000000002</v>
      </c>
      <c r="K475" s="17">
        <f t="shared" si="22"/>
        <v>850.34699999999998</v>
      </c>
      <c r="L475" s="17">
        <f t="shared" si="23"/>
        <v>854.34699999999998</v>
      </c>
      <c r="M475" s="17">
        <v>0</v>
      </c>
      <c r="N475" s="17">
        <v>50</v>
      </c>
      <c r="O475" s="17">
        <v>0</v>
      </c>
    </row>
    <row r="476" spans="1:15" x14ac:dyDescent="0.2">
      <c r="A476" t="s">
        <v>1334</v>
      </c>
      <c r="B476">
        <v>852.34699999999998</v>
      </c>
      <c r="C476" t="s">
        <v>60</v>
      </c>
      <c r="D476" t="s">
        <v>156</v>
      </c>
      <c r="E476" t="s">
        <v>89</v>
      </c>
      <c r="G476" s="17">
        <v>0</v>
      </c>
      <c r="H476" s="17" t="str">
        <f t="shared" si="21"/>
        <v>80</v>
      </c>
      <c r="I476" s="17">
        <v>1.2</v>
      </c>
      <c r="J476" s="17">
        <v>2.2000000000000002</v>
      </c>
      <c r="K476" s="17">
        <f t="shared" si="22"/>
        <v>850.34699999999998</v>
      </c>
      <c r="L476" s="17">
        <f t="shared" si="23"/>
        <v>854.34699999999998</v>
      </c>
      <c r="M476" s="17">
        <v>0</v>
      </c>
      <c r="N476" s="17">
        <v>50</v>
      </c>
      <c r="O476" s="17">
        <v>0</v>
      </c>
    </row>
    <row r="477" spans="1:15" x14ac:dyDescent="0.2">
      <c r="A477" t="s">
        <v>1336</v>
      </c>
      <c r="B477">
        <v>852.34699999999998</v>
      </c>
      <c r="C477" t="s">
        <v>60</v>
      </c>
      <c r="D477" t="s">
        <v>156</v>
      </c>
      <c r="E477" t="s">
        <v>62</v>
      </c>
      <c r="G477" s="17">
        <v>0</v>
      </c>
      <c r="H477" s="17" t="str">
        <f t="shared" si="21"/>
        <v>40</v>
      </c>
      <c r="I477" s="17">
        <v>1.2</v>
      </c>
      <c r="J477" s="17">
        <v>2.2000000000000002</v>
      </c>
      <c r="K477" s="17">
        <f t="shared" si="22"/>
        <v>850.34699999999998</v>
      </c>
      <c r="L477" s="17">
        <f t="shared" si="23"/>
        <v>854.34699999999998</v>
      </c>
      <c r="M477" s="17">
        <v>0</v>
      </c>
      <c r="N477" s="17">
        <v>50</v>
      </c>
      <c r="O477" s="17">
        <v>0</v>
      </c>
    </row>
    <row r="478" spans="1:15" x14ac:dyDescent="0.2">
      <c r="A478" t="s">
        <v>1338</v>
      </c>
      <c r="B478">
        <v>852.34699999999998</v>
      </c>
      <c r="C478" t="s">
        <v>60</v>
      </c>
      <c r="D478" t="s">
        <v>156</v>
      </c>
      <c r="E478" t="s">
        <v>1339</v>
      </c>
      <c r="G478" s="17">
        <v>0</v>
      </c>
      <c r="H478" s="17" t="str">
        <f t="shared" si="21"/>
        <v>15</v>
      </c>
      <c r="I478" s="17">
        <v>1.2</v>
      </c>
      <c r="J478" s="17">
        <v>2.2000000000000002</v>
      </c>
      <c r="K478" s="17">
        <f t="shared" si="22"/>
        <v>850.34699999999998</v>
      </c>
      <c r="L478" s="17">
        <f t="shared" si="23"/>
        <v>854.34699999999998</v>
      </c>
      <c r="M478" s="17">
        <v>0</v>
      </c>
      <c r="N478" s="17">
        <v>50</v>
      </c>
      <c r="O478" s="17">
        <v>0</v>
      </c>
    </row>
    <row r="479" spans="1:15" x14ac:dyDescent="0.2">
      <c r="A479" t="s">
        <v>1343</v>
      </c>
      <c r="B479">
        <v>852.34699999999998</v>
      </c>
      <c r="C479" t="s">
        <v>60</v>
      </c>
      <c r="D479" t="s">
        <v>156</v>
      </c>
      <c r="E479" t="s">
        <v>89</v>
      </c>
      <c r="G479" s="17">
        <v>0</v>
      </c>
      <c r="H479" s="17" t="str">
        <f t="shared" si="21"/>
        <v>80</v>
      </c>
      <c r="I479" s="17">
        <v>1.2</v>
      </c>
      <c r="J479" s="17">
        <v>2.2000000000000002</v>
      </c>
      <c r="K479" s="17">
        <f t="shared" si="22"/>
        <v>850.34699999999998</v>
      </c>
      <c r="L479" s="17">
        <f t="shared" si="23"/>
        <v>854.34699999999998</v>
      </c>
      <c r="M479" s="17">
        <v>0</v>
      </c>
      <c r="N479" s="17">
        <v>50</v>
      </c>
      <c r="O479" s="17">
        <v>0</v>
      </c>
    </row>
    <row r="480" spans="1:15" x14ac:dyDescent="0.2">
      <c r="A480" t="s">
        <v>1345</v>
      </c>
      <c r="B480">
        <v>852.34699999999998</v>
      </c>
      <c r="C480" t="s">
        <v>60</v>
      </c>
      <c r="D480" t="s">
        <v>156</v>
      </c>
      <c r="E480" t="s">
        <v>89</v>
      </c>
      <c r="G480" s="17">
        <v>0</v>
      </c>
      <c r="H480" s="17" t="str">
        <f t="shared" si="21"/>
        <v>80</v>
      </c>
      <c r="I480" s="17">
        <v>1.2</v>
      </c>
      <c r="J480" s="17">
        <v>2.2000000000000002</v>
      </c>
      <c r="K480" s="17">
        <f t="shared" si="22"/>
        <v>850.34699999999998</v>
      </c>
      <c r="L480" s="17">
        <f t="shared" si="23"/>
        <v>854.34699999999998</v>
      </c>
      <c r="M480" s="17">
        <v>0</v>
      </c>
      <c r="N480" s="17">
        <v>50</v>
      </c>
      <c r="O480" s="17">
        <v>0</v>
      </c>
    </row>
    <row r="481" spans="1:15" x14ac:dyDescent="0.2">
      <c r="A481" t="s">
        <v>1347</v>
      </c>
      <c r="B481">
        <v>852.34699999999998</v>
      </c>
      <c r="C481" t="s">
        <v>60</v>
      </c>
      <c r="D481" t="s">
        <v>156</v>
      </c>
      <c r="E481" t="s">
        <v>89</v>
      </c>
      <c r="F481" t="s">
        <v>156</v>
      </c>
      <c r="G481" s="17">
        <v>0</v>
      </c>
      <c r="H481" s="17" t="str">
        <f t="shared" si="21"/>
        <v>80</v>
      </c>
      <c r="I481" s="17">
        <v>1.2</v>
      </c>
      <c r="J481" s="17">
        <v>2.2000000000000002</v>
      </c>
      <c r="K481" s="17">
        <f t="shared" si="22"/>
        <v>850.34699999999998</v>
      </c>
      <c r="L481" s="17">
        <f t="shared" si="23"/>
        <v>854.34699999999998</v>
      </c>
      <c r="M481" s="17">
        <v>0</v>
      </c>
      <c r="N481" s="17">
        <v>50</v>
      </c>
      <c r="O481" s="17">
        <v>0</v>
      </c>
    </row>
    <row r="482" spans="1:15" x14ac:dyDescent="0.2">
      <c r="A482" t="s">
        <v>1349</v>
      </c>
      <c r="B482">
        <v>852.34699999999998</v>
      </c>
      <c r="C482" t="s">
        <v>60</v>
      </c>
      <c r="D482" t="s">
        <v>156</v>
      </c>
      <c r="E482" t="s">
        <v>89</v>
      </c>
      <c r="F482" t="s">
        <v>156</v>
      </c>
      <c r="G482" s="17">
        <v>0</v>
      </c>
      <c r="H482" s="17" t="str">
        <f t="shared" si="21"/>
        <v>80</v>
      </c>
      <c r="I482" s="17">
        <v>1.2</v>
      </c>
      <c r="J482" s="17">
        <v>2.2000000000000002</v>
      </c>
      <c r="K482" s="17">
        <f t="shared" si="22"/>
        <v>850.34699999999998</v>
      </c>
      <c r="L482" s="17">
        <f t="shared" si="23"/>
        <v>854.34699999999998</v>
      </c>
      <c r="M482" s="17">
        <v>0</v>
      </c>
      <c r="N482" s="17">
        <v>50</v>
      </c>
      <c r="O482" s="17">
        <v>0</v>
      </c>
    </row>
    <row r="483" spans="1:15" x14ac:dyDescent="0.2">
      <c r="A483" t="s">
        <v>1351</v>
      </c>
      <c r="B483">
        <v>852.34699999999998</v>
      </c>
      <c r="C483" t="s">
        <v>60</v>
      </c>
      <c r="D483" t="s">
        <v>156</v>
      </c>
      <c r="E483" t="s">
        <v>89</v>
      </c>
      <c r="F483" t="s">
        <v>156</v>
      </c>
      <c r="G483" s="17">
        <v>0</v>
      </c>
      <c r="H483" s="17" t="str">
        <f t="shared" si="21"/>
        <v>80</v>
      </c>
      <c r="I483" s="17">
        <v>1.2</v>
      </c>
      <c r="J483" s="17">
        <v>2.2000000000000002</v>
      </c>
      <c r="K483" s="17">
        <f t="shared" si="22"/>
        <v>850.34699999999998</v>
      </c>
      <c r="L483" s="17">
        <f t="shared" si="23"/>
        <v>854.34699999999998</v>
      </c>
      <c r="M483" s="17">
        <v>0</v>
      </c>
      <c r="N483" s="17">
        <v>50</v>
      </c>
      <c r="O483" s="17">
        <v>0</v>
      </c>
    </row>
    <row r="484" spans="1:15" x14ac:dyDescent="0.2">
      <c r="A484" t="s">
        <v>1353</v>
      </c>
      <c r="B484">
        <v>852.34699999999998</v>
      </c>
      <c r="C484" t="s">
        <v>60</v>
      </c>
      <c r="D484" t="s">
        <v>156</v>
      </c>
      <c r="E484" t="s">
        <v>62</v>
      </c>
      <c r="F484" t="s">
        <v>111</v>
      </c>
      <c r="G484" s="17">
        <v>0</v>
      </c>
      <c r="H484" s="17" t="str">
        <f t="shared" si="21"/>
        <v>40</v>
      </c>
      <c r="I484" s="17">
        <v>1.2</v>
      </c>
      <c r="J484" s="17">
        <v>2.2000000000000002</v>
      </c>
      <c r="K484" s="17">
        <f t="shared" si="22"/>
        <v>850.34699999999998</v>
      </c>
      <c r="L484" s="17">
        <f t="shared" si="23"/>
        <v>854.34699999999998</v>
      </c>
      <c r="M484" s="17">
        <v>0</v>
      </c>
      <c r="N484" s="17">
        <v>50</v>
      </c>
      <c r="O484" s="17">
        <v>0</v>
      </c>
    </row>
    <row r="485" spans="1:15" x14ac:dyDescent="0.2">
      <c r="A485" t="s">
        <v>1355</v>
      </c>
      <c r="B485">
        <v>852.34699999999998</v>
      </c>
      <c r="C485" t="s">
        <v>60</v>
      </c>
      <c r="D485" t="s">
        <v>156</v>
      </c>
      <c r="E485" t="s">
        <v>1339</v>
      </c>
      <c r="F485" t="s">
        <v>111</v>
      </c>
      <c r="G485" s="17">
        <v>0</v>
      </c>
      <c r="H485" s="17" t="str">
        <f t="shared" si="21"/>
        <v>15</v>
      </c>
      <c r="I485" s="17">
        <v>1.2</v>
      </c>
      <c r="J485" s="17">
        <v>2.2000000000000002</v>
      </c>
      <c r="K485" s="17">
        <f t="shared" si="22"/>
        <v>850.34699999999998</v>
      </c>
      <c r="L485" s="17">
        <f t="shared" si="23"/>
        <v>854.34699999999998</v>
      </c>
      <c r="M485" s="17">
        <v>0</v>
      </c>
      <c r="N485" s="17">
        <v>50</v>
      </c>
      <c r="O485" s="17">
        <v>0</v>
      </c>
    </row>
    <row r="486" spans="1:15" x14ac:dyDescent="0.2">
      <c r="A486" t="s">
        <v>1357</v>
      </c>
      <c r="B486">
        <v>852.34699999999998</v>
      </c>
      <c r="C486" t="s">
        <v>60</v>
      </c>
      <c r="D486" t="s">
        <v>156</v>
      </c>
      <c r="E486" t="s">
        <v>89</v>
      </c>
      <c r="F486" t="s">
        <v>111</v>
      </c>
      <c r="G486" s="17">
        <v>0</v>
      </c>
      <c r="H486" s="17" t="str">
        <f t="shared" si="21"/>
        <v>80</v>
      </c>
      <c r="I486" s="17">
        <v>1.2</v>
      </c>
      <c r="J486" s="17">
        <v>2.2000000000000002</v>
      </c>
      <c r="K486" s="17">
        <f t="shared" si="22"/>
        <v>850.34699999999998</v>
      </c>
      <c r="L486" s="17">
        <f t="shared" si="23"/>
        <v>854.34699999999998</v>
      </c>
      <c r="M486" s="17">
        <v>0</v>
      </c>
      <c r="N486" s="17">
        <v>50</v>
      </c>
      <c r="O486" s="17">
        <v>0</v>
      </c>
    </row>
    <row r="487" spans="1:15" x14ac:dyDescent="0.2">
      <c r="A487" t="s">
        <v>1359</v>
      </c>
      <c r="B487">
        <v>852.34699999999998</v>
      </c>
      <c r="C487" t="s">
        <v>60</v>
      </c>
      <c r="D487" t="s">
        <v>156</v>
      </c>
      <c r="E487" t="s">
        <v>89</v>
      </c>
      <c r="F487" t="s">
        <v>111</v>
      </c>
      <c r="G487" s="17">
        <v>0</v>
      </c>
      <c r="H487" s="17" t="str">
        <f t="shared" si="21"/>
        <v>80</v>
      </c>
      <c r="I487" s="17">
        <v>1.2</v>
      </c>
      <c r="J487" s="17">
        <v>2.2000000000000002</v>
      </c>
      <c r="K487" s="17">
        <f t="shared" si="22"/>
        <v>850.34699999999998</v>
      </c>
      <c r="L487" s="17">
        <f t="shared" si="23"/>
        <v>854.34699999999998</v>
      </c>
      <c r="M487" s="17">
        <v>0</v>
      </c>
      <c r="N487" s="17">
        <v>50</v>
      </c>
      <c r="O487" s="17">
        <v>0</v>
      </c>
    </row>
    <row r="488" spans="1:15" x14ac:dyDescent="0.2">
      <c r="A488" t="s">
        <v>1361</v>
      </c>
      <c r="B488">
        <v>852.34699999999998</v>
      </c>
      <c r="C488" t="s">
        <v>60</v>
      </c>
      <c r="D488" t="s">
        <v>156</v>
      </c>
      <c r="E488" t="s">
        <v>89</v>
      </c>
      <c r="F488" t="s">
        <v>111</v>
      </c>
      <c r="G488" s="17">
        <v>0</v>
      </c>
      <c r="H488" s="17" t="str">
        <f t="shared" si="21"/>
        <v>80</v>
      </c>
      <c r="I488" s="17">
        <v>1.2</v>
      </c>
      <c r="J488" s="17">
        <v>2.2000000000000002</v>
      </c>
      <c r="K488" s="17">
        <f t="shared" si="22"/>
        <v>850.34699999999998</v>
      </c>
      <c r="L488" s="17">
        <f t="shared" si="23"/>
        <v>854.34699999999998</v>
      </c>
      <c r="M488" s="17">
        <v>0</v>
      </c>
      <c r="N488" s="17">
        <v>50</v>
      </c>
      <c r="O488" s="17">
        <v>0</v>
      </c>
    </row>
    <row r="489" spans="1:15" x14ac:dyDescent="0.2">
      <c r="A489" t="s">
        <v>1363</v>
      </c>
      <c r="B489">
        <v>852.34699999999998</v>
      </c>
      <c r="C489" t="s">
        <v>60</v>
      </c>
      <c r="D489" t="s">
        <v>156</v>
      </c>
      <c r="E489" t="s">
        <v>89</v>
      </c>
      <c r="F489" t="s">
        <v>306</v>
      </c>
      <c r="G489" s="17">
        <v>0</v>
      </c>
      <c r="H489" s="17" t="str">
        <f t="shared" si="21"/>
        <v>80</v>
      </c>
      <c r="I489" s="17">
        <v>1.2</v>
      </c>
      <c r="J489" s="17">
        <v>2.2000000000000002</v>
      </c>
      <c r="K489" s="17">
        <f t="shared" si="22"/>
        <v>850.34699999999998</v>
      </c>
      <c r="L489" s="17">
        <f t="shared" si="23"/>
        <v>854.34699999999998</v>
      </c>
      <c r="M489" s="17">
        <v>0</v>
      </c>
      <c r="N489" s="17">
        <v>50</v>
      </c>
      <c r="O489" s="17">
        <v>0</v>
      </c>
    </row>
    <row r="490" spans="1:15" x14ac:dyDescent="0.2">
      <c r="A490" t="s">
        <v>1365</v>
      </c>
      <c r="B490">
        <v>852.34699999999998</v>
      </c>
      <c r="C490" t="s">
        <v>60</v>
      </c>
      <c r="D490" t="s">
        <v>156</v>
      </c>
      <c r="E490" t="s">
        <v>89</v>
      </c>
      <c r="F490" t="s">
        <v>306</v>
      </c>
      <c r="G490" s="17">
        <v>0</v>
      </c>
      <c r="H490" s="17" t="str">
        <f t="shared" si="21"/>
        <v>80</v>
      </c>
      <c r="I490" s="17">
        <v>1.2</v>
      </c>
      <c r="J490" s="17">
        <v>2.2000000000000002</v>
      </c>
      <c r="K490" s="17">
        <f t="shared" si="22"/>
        <v>850.34699999999998</v>
      </c>
      <c r="L490" s="17">
        <f t="shared" si="23"/>
        <v>854.34699999999998</v>
      </c>
      <c r="M490" s="17">
        <v>0</v>
      </c>
      <c r="N490" s="17">
        <v>50</v>
      </c>
      <c r="O490" s="17">
        <v>0</v>
      </c>
    </row>
    <row r="491" spans="1:15" x14ac:dyDescent="0.2">
      <c r="A491" t="s">
        <v>1367</v>
      </c>
      <c r="B491">
        <v>852.34699999999998</v>
      </c>
      <c r="C491" t="s">
        <v>60</v>
      </c>
      <c r="D491" t="s">
        <v>156</v>
      </c>
      <c r="E491" t="s">
        <v>89</v>
      </c>
      <c r="F491" t="s">
        <v>306</v>
      </c>
      <c r="G491" s="17">
        <v>0</v>
      </c>
      <c r="H491" s="17" t="str">
        <f t="shared" si="21"/>
        <v>80</v>
      </c>
      <c r="I491" s="17">
        <v>1.2</v>
      </c>
      <c r="J491" s="17">
        <v>2.2000000000000002</v>
      </c>
      <c r="K491" s="17">
        <f t="shared" si="22"/>
        <v>850.34699999999998</v>
      </c>
      <c r="L491" s="17">
        <f t="shared" si="23"/>
        <v>854.34699999999998</v>
      </c>
      <c r="M491" s="17">
        <v>0</v>
      </c>
      <c r="N491" s="17">
        <v>50</v>
      </c>
      <c r="O491" s="17">
        <v>0</v>
      </c>
    </row>
    <row r="492" spans="1:15" x14ac:dyDescent="0.2">
      <c r="A492" t="s">
        <v>1369</v>
      </c>
      <c r="B492">
        <v>852.34699999999998</v>
      </c>
      <c r="C492" t="s">
        <v>60</v>
      </c>
      <c r="D492" t="s">
        <v>156</v>
      </c>
      <c r="E492" t="s">
        <v>89</v>
      </c>
      <c r="G492" s="17">
        <v>0</v>
      </c>
      <c r="H492" s="17" t="str">
        <f t="shared" si="21"/>
        <v>80</v>
      </c>
      <c r="I492" s="17">
        <v>1.2</v>
      </c>
      <c r="J492" s="17">
        <v>2.2000000000000002</v>
      </c>
      <c r="K492" s="17">
        <f t="shared" si="22"/>
        <v>850.34699999999998</v>
      </c>
      <c r="L492" s="17">
        <f t="shared" si="23"/>
        <v>854.34699999999998</v>
      </c>
      <c r="M492" s="17">
        <v>0</v>
      </c>
      <c r="N492" s="17">
        <v>50</v>
      </c>
      <c r="O492" s="17">
        <v>0</v>
      </c>
    </row>
    <row r="493" spans="1:15" x14ac:dyDescent="0.2">
      <c r="A493" t="s">
        <v>1371</v>
      </c>
      <c r="B493" t="s">
        <v>1372</v>
      </c>
      <c r="C493" t="s">
        <v>60</v>
      </c>
      <c r="D493" t="s">
        <v>61</v>
      </c>
      <c r="E493" t="s">
        <v>512</v>
      </c>
      <c r="F493" t="s">
        <v>159</v>
      </c>
      <c r="G493" s="17">
        <v>0</v>
      </c>
      <c r="H493" s="17" t="str">
        <f t="shared" si="21"/>
        <v>180</v>
      </c>
      <c r="I493" s="17">
        <v>1.2</v>
      </c>
      <c r="J493" s="17">
        <v>2.2000000000000002</v>
      </c>
      <c r="K493" s="17">
        <f t="shared" si="22"/>
        <v>798</v>
      </c>
      <c r="L493" s="17">
        <f t="shared" si="23"/>
        <v>802</v>
      </c>
      <c r="M493" s="17">
        <v>0</v>
      </c>
      <c r="N493" s="17">
        <v>50</v>
      </c>
      <c r="O493" s="17">
        <v>0</v>
      </c>
    </row>
    <row r="494" spans="1:15" x14ac:dyDescent="0.2">
      <c r="A494" t="s">
        <v>1374</v>
      </c>
      <c r="B494" t="s">
        <v>1375</v>
      </c>
      <c r="C494" t="s">
        <v>60</v>
      </c>
      <c r="D494" t="s">
        <v>61</v>
      </c>
      <c r="E494" t="s">
        <v>512</v>
      </c>
      <c r="F494" t="s">
        <v>159</v>
      </c>
      <c r="G494" s="17">
        <v>0</v>
      </c>
      <c r="H494" s="17" t="str">
        <f t="shared" si="21"/>
        <v>180</v>
      </c>
      <c r="I494" s="17">
        <v>1.2</v>
      </c>
      <c r="J494" s="17">
        <v>2.2000000000000002</v>
      </c>
      <c r="K494" s="17">
        <f t="shared" si="22"/>
        <v>806</v>
      </c>
      <c r="L494" s="17">
        <f t="shared" si="23"/>
        <v>810</v>
      </c>
      <c r="M494" s="17">
        <v>0</v>
      </c>
      <c r="N494" s="17">
        <v>50</v>
      </c>
      <c r="O494" s="17">
        <v>0</v>
      </c>
    </row>
    <row r="495" spans="1:15" x14ac:dyDescent="0.2">
      <c r="A495" t="s">
        <v>1377</v>
      </c>
      <c r="B495" t="s">
        <v>1378</v>
      </c>
      <c r="C495" t="s">
        <v>60</v>
      </c>
      <c r="D495" t="s">
        <v>61</v>
      </c>
      <c r="E495" t="s">
        <v>512</v>
      </c>
      <c r="F495" t="s">
        <v>159</v>
      </c>
      <c r="G495" s="17">
        <v>0</v>
      </c>
      <c r="H495" s="17" t="str">
        <f t="shared" si="21"/>
        <v>180</v>
      </c>
      <c r="I495" s="17">
        <v>1.2</v>
      </c>
      <c r="J495" s="17">
        <v>2.2000000000000002</v>
      </c>
      <c r="K495" s="17">
        <f t="shared" si="22"/>
        <v>808</v>
      </c>
      <c r="L495" s="17">
        <f t="shared" si="23"/>
        <v>812</v>
      </c>
      <c r="M495" s="17">
        <v>0</v>
      </c>
      <c r="N495" s="17">
        <v>50</v>
      </c>
      <c r="O495" s="17">
        <v>0</v>
      </c>
    </row>
    <row r="496" spans="1:15" x14ac:dyDescent="0.2">
      <c r="A496" t="s">
        <v>1380</v>
      </c>
      <c r="B496">
        <v>854.20899999999995</v>
      </c>
      <c r="C496" t="s">
        <v>60</v>
      </c>
      <c r="D496" t="s">
        <v>61</v>
      </c>
      <c r="E496" t="s">
        <v>445</v>
      </c>
      <c r="G496" s="17">
        <v>0</v>
      </c>
      <c r="H496" s="17" t="str">
        <f t="shared" si="21"/>
        <v>120</v>
      </c>
      <c r="I496" s="17">
        <v>1.2</v>
      </c>
      <c r="J496" s="17">
        <v>2.2000000000000002</v>
      </c>
      <c r="K496" s="17">
        <f t="shared" si="22"/>
        <v>852.20899999999995</v>
      </c>
      <c r="L496" s="17">
        <f t="shared" si="23"/>
        <v>856.20899999999995</v>
      </c>
      <c r="M496" s="17">
        <v>0</v>
      </c>
      <c r="N496" s="17">
        <v>50</v>
      </c>
      <c r="O496" s="17">
        <v>0</v>
      </c>
    </row>
    <row r="497" spans="1:15" x14ac:dyDescent="0.2">
      <c r="A497" t="s">
        <v>1384</v>
      </c>
      <c r="B497">
        <v>854.20899999999995</v>
      </c>
      <c r="C497" t="s">
        <v>60</v>
      </c>
      <c r="D497" t="s">
        <v>61</v>
      </c>
      <c r="E497" t="s">
        <v>1207</v>
      </c>
      <c r="G497" s="17">
        <v>0</v>
      </c>
      <c r="H497" s="17" t="str">
        <f t="shared" si="21"/>
        <v>25</v>
      </c>
      <c r="I497" s="17">
        <v>1.2</v>
      </c>
      <c r="J497" s="17">
        <v>2.2000000000000002</v>
      </c>
      <c r="K497" s="17">
        <f t="shared" si="22"/>
        <v>852.20899999999995</v>
      </c>
      <c r="L497" s="17">
        <f t="shared" si="23"/>
        <v>856.20899999999995</v>
      </c>
      <c r="M497" s="17">
        <v>0</v>
      </c>
      <c r="N497" s="17">
        <v>50</v>
      </c>
      <c r="O497" s="17">
        <v>0</v>
      </c>
    </row>
    <row r="498" spans="1:15" x14ac:dyDescent="0.2">
      <c r="A498" t="s">
        <v>1386</v>
      </c>
      <c r="B498">
        <v>854.20899999999995</v>
      </c>
      <c r="C498" t="s">
        <v>60</v>
      </c>
      <c r="D498" t="s">
        <v>61</v>
      </c>
      <c r="E498" t="s">
        <v>1212</v>
      </c>
      <c r="G498" s="17">
        <v>0</v>
      </c>
      <c r="H498" s="17" t="str">
        <f t="shared" si="21"/>
        <v>240</v>
      </c>
      <c r="I498" s="17">
        <v>1.2</v>
      </c>
      <c r="J498" s="17">
        <v>2.2000000000000002</v>
      </c>
      <c r="K498" s="17">
        <f t="shared" si="22"/>
        <v>852.20899999999995</v>
      </c>
      <c r="L498" s="17">
        <f t="shared" si="23"/>
        <v>856.20899999999995</v>
      </c>
      <c r="M498" s="17">
        <v>0</v>
      </c>
      <c r="N498" s="17">
        <v>50</v>
      </c>
      <c r="O498" s="17">
        <v>0</v>
      </c>
    </row>
    <row r="499" spans="1:15" x14ac:dyDescent="0.2">
      <c r="A499" t="s">
        <v>1388</v>
      </c>
      <c r="B499">
        <v>854.20899999999995</v>
      </c>
      <c r="C499" t="s">
        <v>60</v>
      </c>
      <c r="D499" t="s">
        <v>61</v>
      </c>
      <c r="E499" t="s">
        <v>1212</v>
      </c>
      <c r="G499" s="17">
        <v>0</v>
      </c>
      <c r="H499" s="17" t="str">
        <f t="shared" si="21"/>
        <v>240</v>
      </c>
      <c r="I499" s="17">
        <v>1.2</v>
      </c>
      <c r="J499" s="17">
        <v>2.2000000000000002</v>
      </c>
      <c r="K499" s="17">
        <f t="shared" si="22"/>
        <v>852.20899999999995</v>
      </c>
      <c r="L499" s="17">
        <f t="shared" si="23"/>
        <v>856.20899999999995</v>
      </c>
      <c r="M499" s="17">
        <v>0</v>
      </c>
      <c r="N499" s="17">
        <v>50</v>
      </c>
      <c r="O499" s="17">
        <v>0</v>
      </c>
    </row>
    <row r="500" spans="1:15" x14ac:dyDescent="0.2">
      <c r="A500" t="s">
        <v>1390</v>
      </c>
      <c r="B500">
        <v>854.20899999999995</v>
      </c>
      <c r="C500" t="s">
        <v>60</v>
      </c>
      <c r="D500" t="s">
        <v>61</v>
      </c>
      <c r="E500" t="s">
        <v>1212</v>
      </c>
      <c r="F500" t="s">
        <v>156</v>
      </c>
      <c r="G500" s="17">
        <v>0</v>
      </c>
      <c r="H500" s="17" t="str">
        <f t="shared" si="21"/>
        <v>240</v>
      </c>
      <c r="I500" s="17">
        <v>1.2</v>
      </c>
      <c r="J500" s="17">
        <v>2.2000000000000002</v>
      </c>
      <c r="K500" s="17">
        <f t="shared" si="22"/>
        <v>852.20899999999995</v>
      </c>
      <c r="L500" s="17">
        <f t="shared" si="23"/>
        <v>856.20899999999995</v>
      </c>
      <c r="M500" s="17">
        <v>0</v>
      </c>
      <c r="N500" s="17">
        <v>50</v>
      </c>
      <c r="O500" s="17">
        <v>0</v>
      </c>
    </row>
    <row r="501" spans="1:15" x14ac:dyDescent="0.2">
      <c r="A501" t="s">
        <v>1392</v>
      </c>
      <c r="B501">
        <v>854.20899999999995</v>
      </c>
      <c r="C501" t="s">
        <v>60</v>
      </c>
      <c r="D501" t="s">
        <v>61</v>
      </c>
      <c r="E501" t="s">
        <v>1212</v>
      </c>
      <c r="F501" t="s">
        <v>156</v>
      </c>
      <c r="G501" s="17">
        <v>0</v>
      </c>
      <c r="H501" s="17" t="str">
        <f t="shared" si="21"/>
        <v>240</v>
      </c>
      <c r="I501" s="17">
        <v>1.2</v>
      </c>
      <c r="J501" s="17">
        <v>2.2000000000000002</v>
      </c>
      <c r="K501" s="17">
        <f t="shared" si="22"/>
        <v>852.20899999999995</v>
      </c>
      <c r="L501" s="17">
        <f t="shared" si="23"/>
        <v>856.20899999999995</v>
      </c>
      <c r="M501" s="17">
        <v>0</v>
      </c>
      <c r="N501" s="17">
        <v>50</v>
      </c>
      <c r="O501" s="17">
        <v>0</v>
      </c>
    </row>
    <row r="502" spans="1:15" x14ac:dyDescent="0.2">
      <c r="A502" t="s">
        <v>1394</v>
      </c>
      <c r="B502">
        <v>854.20899999999995</v>
      </c>
      <c r="C502" t="s">
        <v>60</v>
      </c>
      <c r="D502" t="s">
        <v>61</v>
      </c>
      <c r="E502" t="s">
        <v>1212</v>
      </c>
      <c r="F502" t="s">
        <v>156</v>
      </c>
      <c r="G502" s="17">
        <v>0</v>
      </c>
      <c r="H502" s="17" t="str">
        <f t="shared" si="21"/>
        <v>240</v>
      </c>
      <c r="I502" s="17">
        <v>1.2</v>
      </c>
      <c r="J502" s="17">
        <v>2.2000000000000002</v>
      </c>
      <c r="K502" s="17">
        <f t="shared" si="22"/>
        <v>852.20899999999995</v>
      </c>
      <c r="L502" s="17">
        <f t="shared" si="23"/>
        <v>856.20899999999995</v>
      </c>
      <c r="M502" s="17">
        <v>0</v>
      </c>
      <c r="N502" s="17">
        <v>50</v>
      </c>
      <c r="O502" s="17">
        <v>0</v>
      </c>
    </row>
    <row r="503" spans="1:15" x14ac:dyDescent="0.2">
      <c r="A503" t="s">
        <v>1396</v>
      </c>
      <c r="B503">
        <v>854.20899999999995</v>
      </c>
      <c r="C503" t="s">
        <v>60</v>
      </c>
      <c r="D503" t="s">
        <v>61</v>
      </c>
      <c r="E503" t="s">
        <v>445</v>
      </c>
      <c r="F503" t="s">
        <v>111</v>
      </c>
      <c r="G503" s="17">
        <v>0</v>
      </c>
      <c r="H503" s="17" t="str">
        <f t="shared" si="21"/>
        <v>120</v>
      </c>
      <c r="I503" s="17">
        <v>1.2</v>
      </c>
      <c r="J503" s="17">
        <v>2.2000000000000002</v>
      </c>
      <c r="K503" s="17">
        <f t="shared" si="22"/>
        <v>852.20899999999995</v>
      </c>
      <c r="L503" s="17">
        <f t="shared" si="23"/>
        <v>856.20899999999995</v>
      </c>
      <c r="M503" s="17">
        <v>0</v>
      </c>
      <c r="N503" s="17">
        <v>50</v>
      </c>
      <c r="O503" s="17">
        <v>0</v>
      </c>
    </row>
    <row r="504" spans="1:15" x14ac:dyDescent="0.2">
      <c r="A504" t="s">
        <v>1398</v>
      </c>
      <c r="B504">
        <v>854.20899999999995</v>
      </c>
      <c r="C504" t="s">
        <v>60</v>
      </c>
      <c r="D504" t="s">
        <v>61</v>
      </c>
      <c r="E504" t="s">
        <v>1207</v>
      </c>
      <c r="F504" t="s">
        <v>111</v>
      </c>
      <c r="G504" s="17">
        <v>0</v>
      </c>
      <c r="H504" s="17" t="str">
        <f t="shared" si="21"/>
        <v>25</v>
      </c>
      <c r="I504" s="17">
        <v>1.2</v>
      </c>
      <c r="J504" s="17">
        <v>2.2000000000000002</v>
      </c>
      <c r="K504" s="17">
        <f t="shared" si="22"/>
        <v>852.20899999999995</v>
      </c>
      <c r="L504" s="17">
        <f t="shared" si="23"/>
        <v>856.20899999999995</v>
      </c>
      <c r="M504" s="17">
        <v>0</v>
      </c>
      <c r="N504" s="17">
        <v>50</v>
      </c>
      <c r="O504" s="17">
        <v>0</v>
      </c>
    </row>
    <row r="505" spans="1:15" x14ac:dyDescent="0.2">
      <c r="A505" t="s">
        <v>1400</v>
      </c>
      <c r="B505">
        <v>854.20899999999995</v>
      </c>
      <c r="C505" t="s">
        <v>60</v>
      </c>
      <c r="D505" t="s">
        <v>61</v>
      </c>
      <c r="E505" t="s">
        <v>1212</v>
      </c>
      <c r="F505" t="s">
        <v>111</v>
      </c>
      <c r="G505" s="17">
        <v>0</v>
      </c>
      <c r="H505" s="17" t="str">
        <f t="shared" si="21"/>
        <v>240</v>
      </c>
      <c r="I505" s="17">
        <v>1.2</v>
      </c>
      <c r="J505" s="17">
        <v>2.2000000000000002</v>
      </c>
      <c r="K505" s="17">
        <f t="shared" si="22"/>
        <v>852.20899999999995</v>
      </c>
      <c r="L505" s="17">
        <f t="shared" si="23"/>
        <v>856.20899999999995</v>
      </c>
      <c r="M505" s="17">
        <v>0</v>
      </c>
      <c r="N505" s="17">
        <v>50</v>
      </c>
      <c r="O505" s="17">
        <v>0</v>
      </c>
    </row>
    <row r="506" spans="1:15" x14ac:dyDescent="0.2">
      <c r="A506" t="s">
        <v>1402</v>
      </c>
      <c r="B506">
        <v>854.20899999999995</v>
      </c>
      <c r="C506" t="s">
        <v>60</v>
      </c>
      <c r="D506" t="s">
        <v>61</v>
      </c>
      <c r="E506" t="s">
        <v>1212</v>
      </c>
      <c r="F506" t="s">
        <v>111</v>
      </c>
      <c r="G506" s="17">
        <v>0</v>
      </c>
      <c r="H506" s="17" t="str">
        <f t="shared" si="21"/>
        <v>240</v>
      </c>
      <c r="I506" s="17">
        <v>1.2</v>
      </c>
      <c r="J506" s="17">
        <v>2.2000000000000002</v>
      </c>
      <c r="K506" s="17">
        <f t="shared" si="22"/>
        <v>852.20899999999995</v>
      </c>
      <c r="L506" s="17">
        <f t="shared" si="23"/>
        <v>856.20899999999995</v>
      </c>
      <c r="M506" s="17">
        <v>0</v>
      </c>
      <c r="N506" s="17">
        <v>50</v>
      </c>
      <c r="O506" s="17">
        <v>0</v>
      </c>
    </row>
    <row r="507" spans="1:15" x14ac:dyDescent="0.2">
      <c r="A507" t="s">
        <v>1404</v>
      </c>
      <c r="B507">
        <v>854.20899999999995</v>
      </c>
      <c r="C507" t="s">
        <v>60</v>
      </c>
      <c r="D507" t="s">
        <v>61</v>
      </c>
      <c r="E507" t="s">
        <v>1212</v>
      </c>
      <c r="F507" t="s">
        <v>111</v>
      </c>
      <c r="G507" s="17">
        <v>0</v>
      </c>
      <c r="H507" s="17" t="str">
        <f t="shared" si="21"/>
        <v>240</v>
      </c>
      <c r="I507" s="17">
        <v>1.2</v>
      </c>
      <c r="J507" s="17">
        <v>2.2000000000000002</v>
      </c>
      <c r="K507" s="17">
        <f t="shared" si="22"/>
        <v>852.20899999999995</v>
      </c>
      <c r="L507" s="17">
        <f t="shared" si="23"/>
        <v>856.20899999999995</v>
      </c>
      <c r="M507" s="17">
        <v>0</v>
      </c>
      <c r="N507" s="17">
        <v>50</v>
      </c>
      <c r="O507" s="17">
        <v>0</v>
      </c>
    </row>
    <row r="508" spans="1:15" x14ac:dyDescent="0.2">
      <c r="A508" t="s">
        <v>1406</v>
      </c>
      <c r="B508">
        <v>854.20899999999995</v>
      </c>
      <c r="C508" t="s">
        <v>60</v>
      </c>
      <c r="D508" t="s">
        <v>61</v>
      </c>
      <c r="E508" t="s">
        <v>1212</v>
      </c>
      <c r="F508" t="s">
        <v>306</v>
      </c>
      <c r="G508" s="17">
        <v>0</v>
      </c>
      <c r="H508" s="17" t="str">
        <f t="shared" si="21"/>
        <v>240</v>
      </c>
      <c r="I508" s="17">
        <v>1.2</v>
      </c>
      <c r="J508" s="17">
        <v>2.2000000000000002</v>
      </c>
      <c r="K508" s="17">
        <f t="shared" si="22"/>
        <v>852.20899999999995</v>
      </c>
      <c r="L508" s="17">
        <f t="shared" si="23"/>
        <v>856.20899999999995</v>
      </c>
      <c r="M508" s="17">
        <v>0</v>
      </c>
      <c r="N508" s="17">
        <v>50</v>
      </c>
      <c r="O508" s="17">
        <v>0</v>
      </c>
    </row>
    <row r="509" spans="1:15" x14ac:dyDescent="0.2">
      <c r="A509" t="s">
        <v>1408</v>
      </c>
      <c r="B509">
        <v>854.20899999999995</v>
      </c>
      <c r="C509" t="s">
        <v>60</v>
      </c>
      <c r="D509" t="s">
        <v>61</v>
      </c>
      <c r="E509" t="s">
        <v>1212</v>
      </c>
      <c r="F509" t="s">
        <v>306</v>
      </c>
      <c r="G509" s="17">
        <v>0</v>
      </c>
      <c r="H509" s="17" t="str">
        <f t="shared" si="21"/>
        <v>240</v>
      </c>
      <c r="I509" s="17">
        <v>1.2</v>
      </c>
      <c r="J509" s="17">
        <v>2.2000000000000002</v>
      </c>
      <c r="K509" s="17">
        <f t="shared" si="22"/>
        <v>852.20899999999995</v>
      </c>
      <c r="L509" s="17">
        <f t="shared" si="23"/>
        <v>856.20899999999995</v>
      </c>
      <c r="M509" s="17">
        <v>0</v>
      </c>
      <c r="N509" s="17">
        <v>50</v>
      </c>
      <c r="O509" s="17">
        <v>0</v>
      </c>
    </row>
    <row r="510" spans="1:15" x14ac:dyDescent="0.2">
      <c r="A510" t="s">
        <v>1410</v>
      </c>
      <c r="B510">
        <v>854.20899999999995</v>
      </c>
      <c r="C510" t="s">
        <v>60</v>
      </c>
      <c r="D510" t="s">
        <v>61</v>
      </c>
      <c r="E510" t="s">
        <v>1212</v>
      </c>
      <c r="F510" t="s">
        <v>306</v>
      </c>
      <c r="G510" s="17">
        <v>0</v>
      </c>
      <c r="H510" s="17" t="str">
        <f t="shared" si="21"/>
        <v>240</v>
      </c>
      <c r="I510" s="17">
        <v>1.2</v>
      </c>
      <c r="J510" s="17">
        <v>2.2000000000000002</v>
      </c>
      <c r="K510" s="17">
        <f t="shared" si="22"/>
        <v>852.20899999999995</v>
      </c>
      <c r="L510" s="17">
        <f t="shared" si="23"/>
        <v>856.20899999999995</v>
      </c>
      <c r="M510" s="17">
        <v>0</v>
      </c>
      <c r="N510" s="17">
        <v>50</v>
      </c>
      <c r="O510" s="17">
        <v>0</v>
      </c>
    </row>
    <row r="511" spans="1:15" x14ac:dyDescent="0.2">
      <c r="A511" t="s">
        <v>1412</v>
      </c>
      <c r="B511">
        <v>854.20899999999995</v>
      </c>
      <c r="C511" t="s">
        <v>60</v>
      </c>
      <c r="D511" t="s">
        <v>61</v>
      </c>
      <c r="E511" t="s">
        <v>1212</v>
      </c>
      <c r="G511" s="17">
        <v>0</v>
      </c>
      <c r="H511" s="17" t="str">
        <f t="shared" si="21"/>
        <v>240</v>
      </c>
      <c r="I511" s="17">
        <v>1.2</v>
      </c>
      <c r="J511" s="17">
        <v>2.2000000000000002</v>
      </c>
      <c r="K511" s="17">
        <f t="shared" si="22"/>
        <v>852.20899999999995</v>
      </c>
      <c r="L511" s="17">
        <f t="shared" si="23"/>
        <v>856.20899999999995</v>
      </c>
      <c r="M511" s="17">
        <v>0</v>
      </c>
      <c r="N511" s="17">
        <v>50</v>
      </c>
      <c r="O511" s="17">
        <v>0</v>
      </c>
    </row>
    <row r="512" spans="1:15" x14ac:dyDescent="0.2">
      <c r="A512" t="s">
        <v>1415</v>
      </c>
      <c r="B512">
        <v>854.20899999999995</v>
      </c>
      <c r="C512" t="s">
        <v>60</v>
      </c>
      <c r="D512" t="s">
        <v>61</v>
      </c>
      <c r="E512" t="s">
        <v>1212</v>
      </c>
      <c r="F512" t="s">
        <v>156</v>
      </c>
      <c r="G512" s="17">
        <v>0</v>
      </c>
      <c r="H512" s="17" t="str">
        <f t="shared" si="21"/>
        <v>240</v>
      </c>
      <c r="I512" s="17">
        <v>1.2</v>
      </c>
      <c r="J512" s="17">
        <v>2.2000000000000002</v>
      </c>
      <c r="K512" s="17">
        <f t="shared" si="22"/>
        <v>852.20899999999995</v>
      </c>
      <c r="L512" s="17">
        <f t="shared" si="23"/>
        <v>856.20899999999995</v>
      </c>
      <c r="M512" s="17">
        <v>0</v>
      </c>
      <c r="N512" s="17">
        <v>50</v>
      </c>
      <c r="O512" s="17">
        <v>0</v>
      </c>
    </row>
    <row r="513" spans="1:15" x14ac:dyDescent="0.2">
      <c r="A513" t="s">
        <v>1418</v>
      </c>
      <c r="B513">
        <v>854.20899999999995</v>
      </c>
      <c r="C513" t="s">
        <v>60</v>
      </c>
      <c r="D513" t="s">
        <v>61</v>
      </c>
      <c r="E513" t="s">
        <v>1212</v>
      </c>
      <c r="F513" t="s">
        <v>111</v>
      </c>
      <c r="G513" s="17">
        <v>0</v>
      </c>
      <c r="H513" s="17" t="str">
        <f t="shared" si="21"/>
        <v>240</v>
      </c>
      <c r="I513" s="17">
        <v>1.2</v>
      </c>
      <c r="J513" s="17">
        <v>2.2000000000000002</v>
      </c>
      <c r="K513" s="17">
        <f t="shared" si="22"/>
        <v>852.20899999999995</v>
      </c>
      <c r="L513" s="17">
        <f t="shared" si="23"/>
        <v>856.20899999999995</v>
      </c>
      <c r="M513" s="17">
        <v>0</v>
      </c>
      <c r="N513" s="17">
        <v>50</v>
      </c>
      <c r="O513" s="17">
        <v>0</v>
      </c>
    </row>
    <row r="514" spans="1:15" x14ac:dyDescent="0.2">
      <c r="A514" t="s">
        <v>1421</v>
      </c>
      <c r="B514">
        <v>854.20899999999995</v>
      </c>
      <c r="C514" t="s">
        <v>60</v>
      </c>
      <c r="D514" t="s">
        <v>61</v>
      </c>
      <c r="E514" t="s">
        <v>1212</v>
      </c>
      <c r="F514" t="s">
        <v>306</v>
      </c>
      <c r="G514" s="17">
        <v>0</v>
      </c>
      <c r="H514" s="17" t="str">
        <f t="shared" si="21"/>
        <v>240</v>
      </c>
      <c r="I514" s="17">
        <v>1.2</v>
      </c>
      <c r="J514" s="17">
        <v>2.2000000000000002</v>
      </c>
      <c r="K514" s="17">
        <f t="shared" si="22"/>
        <v>852.20899999999995</v>
      </c>
      <c r="L514" s="17">
        <f t="shared" si="23"/>
        <v>856.20899999999995</v>
      </c>
      <c r="M514" s="17">
        <v>0</v>
      </c>
      <c r="N514" s="17">
        <v>50</v>
      </c>
      <c r="O514" s="17">
        <v>0</v>
      </c>
    </row>
    <row r="515" spans="1:15" x14ac:dyDescent="0.2">
      <c r="A515" t="s">
        <v>1424</v>
      </c>
      <c r="B515">
        <v>854.20899999999995</v>
      </c>
      <c r="C515" t="s">
        <v>60</v>
      </c>
      <c r="D515" t="s">
        <v>61</v>
      </c>
      <c r="E515" t="s">
        <v>1212</v>
      </c>
      <c r="G515" s="17">
        <v>0</v>
      </c>
      <c r="H515" s="17" t="str">
        <f t="shared" ref="H515:H578" si="24">_xlfn.TEXTAFTER(E515,"-",1)</f>
        <v>240</v>
      </c>
      <c r="I515" s="17">
        <v>1.2</v>
      </c>
      <c r="J515" s="17">
        <v>2.2000000000000002</v>
      </c>
      <c r="K515" s="17">
        <f t="shared" ref="K515:K578" si="25">B515-2</f>
        <v>852.20899999999995</v>
      </c>
      <c r="L515" s="17">
        <f t="shared" ref="L515:L578" si="26">B515+2</f>
        <v>856.20899999999995</v>
      </c>
      <c r="M515" s="17">
        <v>0</v>
      </c>
      <c r="N515" s="17">
        <v>50</v>
      </c>
      <c r="O515" s="17">
        <v>0</v>
      </c>
    </row>
    <row r="516" spans="1:15" x14ac:dyDescent="0.2">
      <c r="A516" t="s">
        <v>1426</v>
      </c>
      <c r="B516" t="s">
        <v>1427</v>
      </c>
      <c r="C516" t="s">
        <v>60</v>
      </c>
      <c r="D516" t="s">
        <v>61</v>
      </c>
      <c r="E516" t="s">
        <v>512</v>
      </c>
      <c r="F516" t="s">
        <v>159</v>
      </c>
      <c r="G516" s="17">
        <v>0</v>
      </c>
      <c r="H516" s="17" t="str">
        <f t="shared" si="24"/>
        <v>180</v>
      </c>
      <c r="I516" s="17">
        <v>1.2</v>
      </c>
      <c r="J516" s="17">
        <v>2.2000000000000002</v>
      </c>
      <c r="K516" s="17">
        <f t="shared" si="25"/>
        <v>814</v>
      </c>
      <c r="L516" s="17">
        <f t="shared" si="26"/>
        <v>818</v>
      </c>
      <c r="M516" s="17">
        <v>0</v>
      </c>
      <c r="N516" s="17">
        <v>50</v>
      </c>
      <c r="O516" s="17">
        <v>0</v>
      </c>
    </row>
    <row r="517" spans="1:15" x14ac:dyDescent="0.2">
      <c r="A517" t="s">
        <v>1429</v>
      </c>
      <c r="B517">
        <v>866.21400000000006</v>
      </c>
      <c r="C517" t="s">
        <v>60</v>
      </c>
      <c r="D517" t="s">
        <v>61</v>
      </c>
      <c r="E517" t="s">
        <v>445</v>
      </c>
      <c r="G517" s="17">
        <v>0</v>
      </c>
      <c r="H517" s="17" t="str">
        <f t="shared" si="24"/>
        <v>120</v>
      </c>
      <c r="I517" s="17">
        <v>1.2</v>
      </c>
      <c r="J517" s="17">
        <v>2.2000000000000002</v>
      </c>
      <c r="K517" s="17">
        <f t="shared" si="25"/>
        <v>864.21400000000006</v>
      </c>
      <c r="L517" s="17">
        <f t="shared" si="26"/>
        <v>868.21400000000006</v>
      </c>
      <c r="M517" s="17">
        <v>0</v>
      </c>
      <c r="N517" s="17">
        <v>50</v>
      </c>
      <c r="O517" s="17">
        <v>0</v>
      </c>
    </row>
    <row r="518" spans="1:15" x14ac:dyDescent="0.2">
      <c r="A518" t="s">
        <v>1433</v>
      </c>
      <c r="B518">
        <v>866.21400000000006</v>
      </c>
      <c r="C518" t="s">
        <v>60</v>
      </c>
      <c r="D518" t="s">
        <v>61</v>
      </c>
      <c r="E518" t="s">
        <v>1207</v>
      </c>
      <c r="G518" s="17">
        <v>0</v>
      </c>
      <c r="H518" s="17" t="str">
        <f t="shared" si="24"/>
        <v>25</v>
      </c>
      <c r="I518" s="17">
        <v>1.2</v>
      </c>
      <c r="J518" s="17">
        <v>2.2000000000000002</v>
      </c>
      <c r="K518" s="17">
        <f t="shared" si="25"/>
        <v>864.21400000000006</v>
      </c>
      <c r="L518" s="17">
        <f t="shared" si="26"/>
        <v>868.21400000000006</v>
      </c>
      <c r="M518" s="17">
        <v>0</v>
      </c>
      <c r="N518" s="17">
        <v>50</v>
      </c>
      <c r="O518" s="17">
        <v>0</v>
      </c>
    </row>
    <row r="519" spans="1:15" x14ac:dyDescent="0.2">
      <c r="A519" t="s">
        <v>1435</v>
      </c>
      <c r="B519">
        <v>866.21400000000006</v>
      </c>
      <c r="C519" t="s">
        <v>60</v>
      </c>
      <c r="D519" t="s">
        <v>61</v>
      </c>
      <c r="E519" t="s">
        <v>1212</v>
      </c>
      <c r="G519" s="17">
        <v>0</v>
      </c>
      <c r="H519" s="17" t="str">
        <f t="shared" si="24"/>
        <v>240</v>
      </c>
      <c r="I519" s="17">
        <v>1.2</v>
      </c>
      <c r="J519" s="17">
        <v>2.2000000000000002</v>
      </c>
      <c r="K519" s="17">
        <f t="shared" si="25"/>
        <v>864.21400000000006</v>
      </c>
      <c r="L519" s="17">
        <f t="shared" si="26"/>
        <v>868.21400000000006</v>
      </c>
      <c r="M519" s="17">
        <v>0</v>
      </c>
      <c r="N519" s="17">
        <v>50</v>
      </c>
      <c r="O519" s="17">
        <v>0</v>
      </c>
    </row>
    <row r="520" spans="1:15" x14ac:dyDescent="0.2">
      <c r="A520" t="s">
        <v>1437</v>
      </c>
      <c r="B520">
        <v>866.21400000000006</v>
      </c>
      <c r="C520" t="s">
        <v>60</v>
      </c>
      <c r="D520" t="s">
        <v>61</v>
      </c>
      <c r="E520" t="s">
        <v>1212</v>
      </c>
      <c r="G520" s="17">
        <v>0</v>
      </c>
      <c r="H520" s="17" t="str">
        <f t="shared" si="24"/>
        <v>240</v>
      </c>
      <c r="I520" s="17">
        <v>1.2</v>
      </c>
      <c r="J520" s="17">
        <v>2.2000000000000002</v>
      </c>
      <c r="K520" s="17">
        <f t="shared" si="25"/>
        <v>864.21400000000006</v>
      </c>
      <c r="L520" s="17">
        <f t="shared" si="26"/>
        <v>868.21400000000006</v>
      </c>
      <c r="M520" s="17">
        <v>0</v>
      </c>
      <c r="N520" s="17">
        <v>50</v>
      </c>
      <c r="O520" s="17">
        <v>0</v>
      </c>
    </row>
    <row r="521" spans="1:15" x14ac:dyDescent="0.2">
      <c r="A521" t="s">
        <v>1439</v>
      </c>
      <c r="B521">
        <v>866.21400000000006</v>
      </c>
      <c r="C521" t="s">
        <v>60</v>
      </c>
      <c r="D521" t="s">
        <v>61</v>
      </c>
      <c r="E521" t="s">
        <v>1212</v>
      </c>
      <c r="F521" t="s">
        <v>156</v>
      </c>
      <c r="G521" s="17">
        <v>0</v>
      </c>
      <c r="H521" s="17" t="str">
        <f t="shared" si="24"/>
        <v>240</v>
      </c>
      <c r="I521" s="17">
        <v>1.2</v>
      </c>
      <c r="J521" s="17">
        <v>2.2000000000000002</v>
      </c>
      <c r="K521" s="17">
        <f t="shared" si="25"/>
        <v>864.21400000000006</v>
      </c>
      <c r="L521" s="17">
        <f t="shared" si="26"/>
        <v>868.21400000000006</v>
      </c>
      <c r="M521" s="17">
        <v>0</v>
      </c>
      <c r="N521" s="17">
        <v>50</v>
      </c>
      <c r="O521" s="17">
        <v>0</v>
      </c>
    </row>
    <row r="522" spans="1:15" x14ac:dyDescent="0.2">
      <c r="A522" t="s">
        <v>1441</v>
      </c>
      <c r="B522">
        <v>866.21400000000006</v>
      </c>
      <c r="C522" t="s">
        <v>60</v>
      </c>
      <c r="D522" t="s">
        <v>61</v>
      </c>
      <c r="E522" t="s">
        <v>1212</v>
      </c>
      <c r="F522" t="s">
        <v>156</v>
      </c>
      <c r="G522" s="17">
        <v>0</v>
      </c>
      <c r="H522" s="17" t="str">
        <f t="shared" si="24"/>
        <v>240</v>
      </c>
      <c r="I522" s="17">
        <v>1.2</v>
      </c>
      <c r="J522" s="17">
        <v>2.2000000000000002</v>
      </c>
      <c r="K522" s="17">
        <f t="shared" si="25"/>
        <v>864.21400000000006</v>
      </c>
      <c r="L522" s="17">
        <f t="shared" si="26"/>
        <v>868.21400000000006</v>
      </c>
      <c r="M522" s="17">
        <v>0</v>
      </c>
      <c r="N522" s="17">
        <v>50</v>
      </c>
      <c r="O522" s="17">
        <v>0</v>
      </c>
    </row>
    <row r="523" spans="1:15" x14ac:dyDescent="0.2">
      <c r="A523" t="s">
        <v>1443</v>
      </c>
      <c r="B523">
        <v>866.21400000000006</v>
      </c>
      <c r="C523" t="s">
        <v>60</v>
      </c>
      <c r="D523" t="s">
        <v>61</v>
      </c>
      <c r="E523" t="s">
        <v>1212</v>
      </c>
      <c r="G523" s="17">
        <v>0</v>
      </c>
      <c r="H523" s="17" t="str">
        <f t="shared" si="24"/>
        <v>240</v>
      </c>
      <c r="I523" s="17">
        <v>1.2</v>
      </c>
      <c r="J523" s="17">
        <v>2.2000000000000002</v>
      </c>
      <c r="K523" s="17">
        <f t="shared" si="25"/>
        <v>864.21400000000006</v>
      </c>
      <c r="L523" s="17">
        <f t="shared" si="26"/>
        <v>868.21400000000006</v>
      </c>
      <c r="M523" s="17">
        <v>0</v>
      </c>
      <c r="N523" s="17">
        <v>50</v>
      </c>
      <c r="O523" s="17">
        <v>0</v>
      </c>
    </row>
    <row r="524" spans="1:15" x14ac:dyDescent="0.2">
      <c r="A524" t="s">
        <v>1445</v>
      </c>
      <c r="B524">
        <v>866.21400000000006</v>
      </c>
      <c r="C524" t="s">
        <v>60</v>
      </c>
      <c r="D524" t="s">
        <v>61</v>
      </c>
      <c r="E524" t="s">
        <v>1212</v>
      </c>
      <c r="F524" t="s">
        <v>111</v>
      </c>
      <c r="G524" s="17">
        <v>0</v>
      </c>
      <c r="H524" s="17" t="str">
        <f t="shared" si="24"/>
        <v>240</v>
      </c>
      <c r="I524" s="17">
        <v>1.2</v>
      </c>
      <c r="J524" s="17">
        <v>2.2000000000000002</v>
      </c>
      <c r="K524" s="17">
        <f t="shared" si="25"/>
        <v>864.21400000000006</v>
      </c>
      <c r="L524" s="17">
        <f t="shared" si="26"/>
        <v>868.21400000000006</v>
      </c>
      <c r="M524" s="17">
        <v>0</v>
      </c>
      <c r="N524" s="17">
        <v>50</v>
      </c>
      <c r="O524" s="17">
        <v>0</v>
      </c>
    </row>
    <row r="525" spans="1:15" x14ac:dyDescent="0.2">
      <c r="A525" t="s">
        <v>1447</v>
      </c>
      <c r="B525">
        <v>866.21400000000006</v>
      </c>
      <c r="C525" t="s">
        <v>60</v>
      </c>
      <c r="D525" t="s">
        <v>61</v>
      </c>
      <c r="E525" t="s">
        <v>1212</v>
      </c>
      <c r="F525" t="s">
        <v>156</v>
      </c>
      <c r="G525" s="17">
        <v>0</v>
      </c>
      <c r="H525" s="17" t="str">
        <f t="shared" si="24"/>
        <v>240</v>
      </c>
      <c r="I525" s="17">
        <v>1.2</v>
      </c>
      <c r="J525" s="17">
        <v>2.2000000000000002</v>
      </c>
      <c r="K525" s="17">
        <f t="shared" si="25"/>
        <v>864.21400000000006</v>
      </c>
      <c r="L525" s="17">
        <f t="shared" si="26"/>
        <v>868.21400000000006</v>
      </c>
      <c r="M525" s="17">
        <v>0</v>
      </c>
      <c r="N525" s="17">
        <v>50</v>
      </c>
      <c r="O525" s="17">
        <v>0</v>
      </c>
    </row>
    <row r="526" spans="1:15" x14ac:dyDescent="0.2">
      <c r="A526" t="s">
        <v>1449</v>
      </c>
      <c r="B526">
        <v>866.21400000000006</v>
      </c>
      <c r="C526" t="s">
        <v>60</v>
      </c>
      <c r="D526" t="s">
        <v>61</v>
      </c>
      <c r="E526" t="s">
        <v>1212</v>
      </c>
      <c r="F526" t="s">
        <v>306</v>
      </c>
      <c r="G526" s="17">
        <v>0</v>
      </c>
      <c r="H526" s="17" t="str">
        <f t="shared" si="24"/>
        <v>240</v>
      </c>
      <c r="I526" s="17">
        <v>1.2</v>
      </c>
      <c r="J526" s="17">
        <v>2.2000000000000002</v>
      </c>
      <c r="K526" s="17">
        <f t="shared" si="25"/>
        <v>864.21400000000006</v>
      </c>
      <c r="L526" s="17">
        <f t="shared" si="26"/>
        <v>868.21400000000006</v>
      </c>
      <c r="M526" s="17">
        <v>0</v>
      </c>
      <c r="N526" s="17">
        <v>50</v>
      </c>
      <c r="O526" s="17">
        <v>0</v>
      </c>
    </row>
    <row r="527" spans="1:15" x14ac:dyDescent="0.2">
      <c r="A527" t="s">
        <v>1451</v>
      </c>
      <c r="B527">
        <v>866.21400000000006</v>
      </c>
      <c r="C527" t="s">
        <v>60</v>
      </c>
      <c r="D527" t="s">
        <v>61</v>
      </c>
      <c r="E527" t="s">
        <v>1212</v>
      </c>
      <c r="F527" t="s">
        <v>156</v>
      </c>
      <c r="G527" s="17">
        <v>0</v>
      </c>
      <c r="H527" s="17" t="str">
        <f t="shared" si="24"/>
        <v>240</v>
      </c>
      <c r="I527" s="17">
        <v>1.2</v>
      </c>
      <c r="J527" s="17">
        <v>2.2000000000000002</v>
      </c>
      <c r="K527" s="17">
        <f t="shared" si="25"/>
        <v>864.21400000000006</v>
      </c>
      <c r="L527" s="17">
        <f t="shared" si="26"/>
        <v>868.21400000000006</v>
      </c>
      <c r="M527" s="17">
        <v>0</v>
      </c>
      <c r="N527" s="17">
        <v>50</v>
      </c>
      <c r="O527" s="17">
        <v>0</v>
      </c>
    </row>
    <row r="528" spans="1:15" x14ac:dyDescent="0.2">
      <c r="A528" t="s">
        <v>1453</v>
      </c>
      <c r="B528">
        <v>866.21400000000006</v>
      </c>
      <c r="C528" t="s">
        <v>60</v>
      </c>
      <c r="D528" t="s">
        <v>61</v>
      </c>
      <c r="E528" t="s">
        <v>445</v>
      </c>
      <c r="F528" t="s">
        <v>111</v>
      </c>
      <c r="G528" s="17">
        <v>0</v>
      </c>
      <c r="H528" s="17" t="str">
        <f t="shared" si="24"/>
        <v>120</v>
      </c>
      <c r="I528" s="17">
        <v>1.2</v>
      </c>
      <c r="J528" s="17">
        <v>2.2000000000000002</v>
      </c>
      <c r="K528" s="17">
        <f t="shared" si="25"/>
        <v>864.21400000000006</v>
      </c>
      <c r="L528" s="17">
        <f t="shared" si="26"/>
        <v>868.21400000000006</v>
      </c>
      <c r="M528" s="17">
        <v>0</v>
      </c>
      <c r="N528" s="17">
        <v>50</v>
      </c>
      <c r="O528" s="17">
        <v>0</v>
      </c>
    </row>
    <row r="529" spans="1:15" x14ac:dyDescent="0.2">
      <c r="A529" t="s">
        <v>1455</v>
      </c>
      <c r="B529">
        <v>866.21400000000006</v>
      </c>
      <c r="C529" t="s">
        <v>60</v>
      </c>
      <c r="D529" t="s">
        <v>61</v>
      </c>
      <c r="E529" t="s">
        <v>1207</v>
      </c>
      <c r="F529" t="s">
        <v>111</v>
      </c>
      <c r="G529" s="17">
        <v>0</v>
      </c>
      <c r="H529" s="17" t="str">
        <f t="shared" si="24"/>
        <v>25</v>
      </c>
      <c r="I529" s="17">
        <v>1.2</v>
      </c>
      <c r="J529" s="17">
        <v>2.2000000000000002</v>
      </c>
      <c r="K529" s="17">
        <f t="shared" si="25"/>
        <v>864.21400000000006</v>
      </c>
      <c r="L529" s="17">
        <f t="shared" si="26"/>
        <v>868.21400000000006</v>
      </c>
      <c r="M529" s="17">
        <v>0</v>
      </c>
      <c r="N529" s="17">
        <v>50</v>
      </c>
      <c r="O529" s="17">
        <v>0</v>
      </c>
    </row>
    <row r="530" spans="1:15" x14ac:dyDescent="0.2">
      <c r="A530" t="s">
        <v>1457</v>
      </c>
      <c r="B530">
        <v>866.21400000000006</v>
      </c>
      <c r="C530" t="s">
        <v>60</v>
      </c>
      <c r="D530" t="s">
        <v>61</v>
      </c>
      <c r="E530" t="s">
        <v>1212</v>
      </c>
      <c r="F530" t="s">
        <v>111</v>
      </c>
      <c r="G530" s="17">
        <v>0</v>
      </c>
      <c r="H530" s="17" t="str">
        <f t="shared" si="24"/>
        <v>240</v>
      </c>
      <c r="I530" s="17">
        <v>1.2</v>
      </c>
      <c r="J530" s="17">
        <v>2.2000000000000002</v>
      </c>
      <c r="K530" s="17">
        <f t="shared" si="25"/>
        <v>864.21400000000006</v>
      </c>
      <c r="L530" s="17">
        <f t="shared" si="26"/>
        <v>868.21400000000006</v>
      </c>
      <c r="M530" s="17">
        <v>0</v>
      </c>
      <c r="N530" s="17">
        <v>50</v>
      </c>
      <c r="O530" s="17">
        <v>0</v>
      </c>
    </row>
    <row r="531" spans="1:15" x14ac:dyDescent="0.2">
      <c r="A531" t="s">
        <v>1459</v>
      </c>
      <c r="B531">
        <v>866.21400000000006</v>
      </c>
      <c r="C531" t="s">
        <v>60</v>
      </c>
      <c r="D531" t="s">
        <v>61</v>
      </c>
      <c r="E531" t="s">
        <v>1212</v>
      </c>
      <c r="F531" t="s">
        <v>111</v>
      </c>
      <c r="G531" s="17">
        <v>0</v>
      </c>
      <c r="H531" s="17" t="str">
        <f t="shared" si="24"/>
        <v>240</v>
      </c>
      <c r="I531" s="17">
        <v>1.2</v>
      </c>
      <c r="J531" s="17">
        <v>2.2000000000000002</v>
      </c>
      <c r="K531" s="17">
        <f t="shared" si="25"/>
        <v>864.21400000000006</v>
      </c>
      <c r="L531" s="17">
        <f t="shared" si="26"/>
        <v>868.21400000000006</v>
      </c>
      <c r="M531" s="17">
        <v>0</v>
      </c>
      <c r="N531" s="17">
        <v>50</v>
      </c>
      <c r="O531" s="17">
        <v>0</v>
      </c>
    </row>
    <row r="532" spans="1:15" x14ac:dyDescent="0.2">
      <c r="A532" t="s">
        <v>1461</v>
      </c>
      <c r="B532">
        <v>866.21400000000006</v>
      </c>
      <c r="C532" t="s">
        <v>60</v>
      </c>
      <c r="D532" t="s">
        <v>61</v>
      </c>
      <c r="E532" t="s">
        <v>1212</v>
      </c>
      <c r="F532" t="s">
        <v>111</v>
      </c>
      <c r="G532" s="17">
        <v>0</v>
      </c>
      <c r="H532" s="17" t="str">
        <f t="shared" si="24"/>
        <v>240</v>
      </c>
      <c r="I532" s="17">
        <v>1.2</v>
      </c>
      <c r="J532" s="17">
        <v>2.2000000000000002</v>
      </c>
      <c r="K532" s="17">
        <f t="shared" si="25"/>
        <v>864.21400000000006</v>
      </c>
      <c r="L532" s="17">
        <f t="shared" si="26"/>
        <v>868.21400000000006</v>
      </c>
      <c r="M532" s="17">
        <v>0</v>
      </c>
      <c r="N532" s="17">
        <v>50</v>
      </c>
      <c r="O532" s="17">
        <v>0</v>
      </c>
    </row>
    <row r="533" spans="1:15" x14ac:dyDescent="0.2">
      <c r="A533" t="s">
        <v>1463</v>
      </c>
      <c r="B533">
        <v>866.21400000000006</v>
      </c>
      <c r="C533" t="s">
        <v>60</v>
      </c>
      <c r="D533" t="s">
        <v>61</v>
      </c>
      <c r="E533" t="s">
        <v>1212</v>
      </c>
      <c r="F533" t="s">
        <v>306</v>
      </c>
      <c r="G533" s="17">
        <v>0</v>
      </c>
      <c r="H533" s="17" t="str">
        <f t="shared" si="24"/>
        <v>240</v>
      </c>
      <c r="I533" s="17">
        <v>1.2</v>
      </c>
      <c r="J533" s="17">
        <v>2.2000000000000002</v>
      </c>
      <c r="K533" s="17">
        <f t="shared" si="25"/>
        <v>864.21400000000006</v>
      </c>
      <c r="L533" s="17">
        <f t="shared" si="26"/>
        <v>868.21400000000006</v>
      </c>
      <c r="M533" s="17">
        <v>0</v>
      </c>
      <c r="N533" s="17">
        <v>50</v>
      </c>
      <c r="O533" s="17">
        <v>0</v>
      </c>
    </row>
    <row r="534" spans="1:15" x14ac:dyDescent="0.2">
      <c r="A534" t="s">
        <v>1465</v>
      </c>
      <c r="B534">
        <v>866.21400000000006</v>
      </c>
      <c r="C534" t="s">
        <v>60</v>
      </c>
      <c r="D534" t="s">
        <v>61</v>
      </c>
      <c r="E534" t="s">
        <v>1212</v>
      </c>
      <c r="F534" t="s">
        <v>306</v>
      </c>
      <c r="G534" s="17">
        <v>0</v>
      </c>
      <c r="H534" s="17" t="str">
        <f t="shared" si="24"/>
        <v>240</v>
      </c>
      <c r="I534" s="17">
        <v>1.2</v>
      </c>
      <c r="J534" s="17">
        <v>2.2000000000000002</v>
      </c>
      <c r="K534" s="17">
        <f t="shared" si="25"/>
        <v>864.21400000000006</v>
      </c>
      <c r="L534" s="17">
        <f t="shared" si="26"/>
        <v>868.21400000000006</v>
      </c>
      <c r="M534" s="17">
        <v>0</v>
      </c>
      <c r="N534" s="17">
        <v>50</v>
      </c>
      <c r="O534" s="17">
        <v>0</v>
      </c>
    </row>
    <row r="535" spans="1:15" x14ac:dyDescent="0.2">
      <c r="A535" t="s">
        <v>1467</v>
      </c>
      <c r="B535">
        <v>866.21400000000006</v>
      </c>
      <c r="C535" t="s">
        <v>60</v>
      </c>
      <c r="D535" t="s">
        <v>61</v>
      </c>
      <c r="E535" t="s">
        <v>1212</v>
      </c>
      <c r="F535" t="s">
        <v>306</v>
      </c>
      <c r="G535" s="17">
        <v>0</v>
      </c>
      <c r="H535" s="17" t="str">
        <f t="shared" si="24"/>
        <v>240</v>
      </c>
      <c r="I535" s="17">
        <v>1.2</v>
      </c>
      <c r="J535" s="17">
        <v>2.2000000000000002</v>
      </c>
      <c r="K535" s="17">
        <f t="shared" si="25"/>
        <v>864.21400000000006</v>
      </c>
      <c r="L535" s="17">
        <f t="shared" si="26"/>
        <v>868.21400000000006</v>
      </c>
      <c r="M535" s="17">
        <v>0</v>
      </c>
      <c r="N535" s="17">
        <v>50</v>
      </c>
      <c r="O535" s="17">
        <v>0</v>
      </c>
    </row>
    <row r="536" spans="1:15" x14ac:dyDescent="0.2">
      <c r="A536" t="s">
        <v>1469</v>
      </c>
      <c r="B536">
        <v>866.21400000000006</v>
      </c>
      <c r="C536" t="s">
        <v>60</v>
      </c>
      <c r="D536" t="s">
        <v>61</v>
      </c>
      <c r="E536" t="s">
        <v>1212</v>
      </c>
      <c r="G536" s="17">
        <v>0</v>
      </c>
      <c r="H536" s="17" t="str">
        <f t="shared" si="24"/>
        <v>240</v>
      </c>
      <c r="I536" s="17">
        <v>1.2</v>
      </c>
      <c r="J536" s="17">
        <v>2.2000000000000002</v>
      </c>
      <c r="K536" s="17">
        <f t="shared" si="25"/>
        <v>864.21400000000006</v>
      </c>
      <c r="L536" s="17">
        <f t="shared" si="26"/>
        <v>868.21400000000006</v>
      </c>
      <c r="M536" s="17">
        <v>0</v>
      </c>
      <c r="N536" s="17">
        <v>50</v>
      </c>
      <c r="O536" s="17">
        <v>0</v>
      </c>
    </row>
    <row r="537" spans="1:15" x14ac:dyDescent="0.2">
      <c r="A537" t="s">
        <v>1471</v>
      </c>
      <c r="B537" t="s">
        <v>1472</v>
      </c>
      <c r="C537" t="s">
        <v>60</v>
      </c>
      <c r="D537" t="s">
        <v>61</v>
      </c>
      <c r="E537" t="s">
        <v>512</v>
      </c>
      <c r="F537" t="s">
        <v>159</v>
      </c>
      <c r="G537" s="17">
        <v>0</v>
      </c>
      <c r="H537" s="17" t="str">
        <f t="shared" si="24"/>
        <v>180</v>
      </c>
      <c r="I537" s="17">
        <v>1.2</v>
      </c>
      <c r="J537" s="17">
        <v>2.2000000000000002</v>
      </c>
      <c r="K537" s="17">
        <f t="shared" si="25"/>
        <v>821</v>
      </c>
      <c r="L537" s="17">
        <f t="shared" si="26"/>
        <v>825</v>
      </c>
      <c r="M537" s="17">
        <v>0</v>
      </c>
      <c r="N537" s="17">
        <v>50</v>
      </c>
      <c r="O537" s="17">
        <v>0</v>
      </c>
    </row>
    <row r="538" spans="1:15" x14ac:dyDescent="0.2">
      <c r="A538" t="s">
        <v>1474</v>
      </c>
      <c r="B538">
        <v>894.59199999999998</v>
      </c>
      <c r="C538" t="s">
        <v>60</v>
      </c>
      <c r="D538" t="s">
        <v>61</v>
      </c>
      <c r="E538" t="s">
        <v>445</v>
      </c>
      <c r="G538" s="17">
        <v>0</v>
      </c>
      <c r="H538" s="17" t="str">
        <f t="shared" si="24"/>
        <v>120</v>
      </c>
      <c r="I538" s="17">
        <v>1.2</v>
      </c>
      <c r="J538" s="17">
        <v>2.2000000000000002</v>
      </c>
      <c r="K538" s="17">
        <f t="shared" si="25"/>
        <v>892.59199999999998</v>
      </c>
      <c r="L538" s="17">
        <f t="shared" si="26"/>
        <v>896.59199999999998</v>
      </c>
      <c r="M538" s="17">
        <v>0</v>
      </c>
      <c r="N538" s="17">
        <v>50</v>
      </c>
      <c r="O538" s="17">
        <v>0</v>
      </c>
    </row>
    <row r="539" spans="1:15" x14ac:dyDescent="0.2">
      <c r="A539" t="s">
        <v>1478</v>
      </c>
      <c r="B539">
        <v>894.59199999999998</v>
      </c>
      <c r="C539" t="s">
        <v>60</v>
      </c>
      <c r="D539" t="s">
        <v>61</v>
      </c>
      <c r="E539" t="s">
        <v>650</v>
      </c>
      <c r="G539" s="17">
        <v>0</v>
      </c>
      <c r="H539" s="17" t="str">
        <f t="shared" si="24"/>
        <v>15</v>
      </c>
      <c r="I539" s="17">
        <v>1.2</v>
      </c>
      <c r="J539" s="17">
        <v>2.2000000000000002</v>
      </c>
      <c r="K539" s="17">
        <f t="shared" si="25"/>
        <v>892.59199999999998</v>
      </c>
      <c r="L539" s="17">
        <f t="shared" si="26"/>
        <v>896.59199999999998</v>
      </c>
      <c r="M539" s="17">
        <v>0</v>
      </c>
      <c r="N539" s="17">
        <v>50</v>
      </c>
      <c r="O539" s="17">
        <v>0</v>
      </c>
    </row>
    <row r="540" spans="1:15" x14ac:dyDescent="0.2">
      <c r="A540" t="s">
        <v>1482</v>
      </c>
      <c r="B540">
        <v>894.59199999999998</v>
      </c>
      <c r="C540" t="s">
        <v>60</v>
      </c>
      <c r="D540" t="s">
        <v>61</v>
      </c>
      <c r="E540" t="s">
        <v>1212</v>
      </c>
      <c r="G540" s="17">
        <v>0</v>
      </c>
      <c r="H540" s="17" t="str">
        <f t="shared" si="24"/>
        <v>240</v>
      </c>
      <c r="I540" s="17">
        <v>1.2</v>
      </c>
      <c r="J540" s="17">
        <v>2.2000000000000002</v>
      </c>
      <c r="K540" s="17">
        <f t="shared" si="25"/>
        <v>892.59199999999998</v>
      </c>
      <c r="L540" s="17">
        <f t="shared" si="26"/>
        <v>896.59199999999998</v>
      </c>
      <c r="M540" s="17">
        <v>0</v>
      </c>
      <c r="N540" s="17">
        <v>50</v>
      </c>
      <c r="O540" s="17">
        <v>0</v>
      </c>
    </row>
    <row r="541" spans="1:15" x14ac:dyDescent="0.2">
      <c r="A541" t="s">
        <v>1484</v>
      </c>
      <c r="B541">
        <v>894.59199999999998</v>
      </c>
      <c r="C541" t="s">
        <v>60</v>
      </c>
      <c r="D541" t="s">
        <v>61</v>
      </c>
      <c r="E541" t="s">
        <v>1212</v>
      </c>
      <c r="G541" s="17">
        <v>0</v>
      </c>
      <c r="H541" s="17" t="str">
        <f t="shared" si="24"/>
        <v>240</v>
      </c>
      <c r="I541" s="17">
        <v>1.2</v>
      </c>
      <c r="J541" s="17">
        <v>2.2000000000000002</v>
      </c>
      <c r="K541" s="17">
        <f t="shared" si="25"/>
        <v>892.59199999999998</v>
      </c>
      <c r="L541" s="17">
        <f t="shared" si="26"/>
        <v>896.59199999999998</v>
      </c>
      <c r="M541" s="17">
        <v>0</v>
      </c>
      <c r="N541" s="17">
        <v>50</v>
      </c>
      <c r="O541" s="17">
        <v>0</v>
      </c>
    </row>
    <row r="542" spans="1:15" x14ac:dyDescent="0.2">
      <c r="A542" t="s">
        <v>1486</v>
      </c>
      <c r="B542">
        <v>894.59199999999998</v>
      </c>
      <c r="C542" t="s">
        <v>60</v>
      </c>
      <c r="D542" t="s">
        <v>61</v>
      </c>
      <c r="E542" t="s">
        <v>1212</v>
      </c>
      <c r="F542" t="s">
        <v>156</v>
      </c>
      <c r="G542" s="17">
        <v>0</v>
      </c>
      <c r="H542" s="17" t="str">
        <f t="shared" si="24"/>
        <v>240</v>
      </c>
      <c r="I542" s="17">
        <v>1.2</v>
      </c>
      <c r="J542" s="17">
        <v>2.2000000000000002</v>
      </c>
      <c r="K542" s="17">
        <f t="shared" si="25"/>
        <v>892.59199999999998</v>
      </c>
      <c r="L542" s="17">
        <f t="shared" si="26"/>
        <v>896.59199999999998</v>
      </c>
      <c r="M542" s="17">
        <v>0</v>
      </c>
      <c r="N542" s="17">
        <v>50</v>
      </c>
      <c r="O542" s="17">
        <v>0</v>
      </c>
    </row>
    <row r="543" spans="1:15" x14ac:dyDescent="0.2">
      <c r="A543" t="s">
        <v>1488</v>
      </c>
      <c r="B543">
        <v>894.59199999999998</v>
      </c>
      <c r="C543" t="s">
        <v>60</v>
      </c>
      <c r="D543" t="s">
        <v>61</v>
      </c>
      <c r="E543" t="s">
        <v>1212</v>
      </c>
      <c r="F543" t="s">
        <v>156</v>
      </c>
      <c r="G543" s="17">
        <v>0</v>
      </c>
      <c r="H543" s="17" t="str">
        <f t="shared" si="24"/>
        <v>240</v>
      </c>
      <c r="I543" s="17">
        <v>1.2</v>
      </c>
      <c r="J543" s="17">
        <v>2.2000000000000002</v>
      </c>
      <c r="K543" s="17">
        <f t="shared" si="25"/>
        <v>892.59199999999998</v>
      </c>
      <c r="L543" s="17">
        <f t="shared" si="26"/>
        <v>896.59199999999998</v>
      </c>
      <c r="M543" s="17">
        <v>0</v>
      </c>
      <c r="N543" s="17">
        <v>50</v>
      </c>
      <c r="O543" s="17">
        <v>0</v>
      </c>
    </row>
    <row r="544" spans="1:15" x14ac:dyDescent="0.2">
      <c r="A544" t="s">
        <v>1490</v>
      </c>
      <c r="B544">
        <v>894.59199999999998</v>
      </c>
      <c r="C544" t="s">
        <v>60</v>
      </c>
      <c r="D544" t="s">
        <v>61</v>
      </c>
      <c r="E544" t="s">
        <v>1212</v>
      </c>
      <c r="F544" t="s">
        <v>156</v>
      </c>
      <c r="G544" s="17">
        <v>0</v>
      </c>
      <c r="H544" s="17" t="str">
        <f t="shared" si="24"/>
        <v>240</v>
      </c>
      <c r="I544" s="17">
        <v>1.2</v>
      </c>
      <c r="J544" s="17">
        <v>2.2000000000000002</v>
      </c>
      <c r="K544" s="17">
        <f t="shared" si="25"/>
        <v>892.59199999999998</v>
      </c>
      <c r="L544" s="17">
        <f t="shared" si="26"/>
        <v>896.59199999999998</v>
      </c>
      <c r="M544" s="17">
        <v>0</v>
      </c>
      <c r="N544" s="17">
        <v>50</v>
      </c>
      <c r="O544" s="17">
        <v>0</v>
      </c>
    </row>
    <row r="545" spans="1:15" x14ac:dyDescent="0.2">
      <c r="A545" t="s">
        <v>1492</v>
      </c>
      <c r="B545">
        <v>894.59199999999998</v>
      </c>
      <c r="C545" t="s">
        <v>60</v>
      </c>
      <c r="D545" t="s">
        <v>61</v>
      </c>
      <c r="E545" t="s">
        <v>445</v>
      </c>
      <c r="F545" t="s">
        <v>111</v>
      </c>
      <c r="G545" s="17">
        <v>0</v>
      </c>
      <c r="H545" s="17" t="str">
        <f t="shared" si="24"/>
        <v>120</v>
      </c>
      <c r="I545" s="17">
        <v>1.2</v>
      </c>
      <c r="J545" s="17">
        <v>2.2000000000000002</v>
      </c>
      <c r="K545" s="17">
        <f t="shared" si="25"/>
        <v>892.59199999999998</v>
      </c>
      <c r="L545" s="17">
        <f t="shared" si="26"/>
        <v>896.59199999999998</v>
      </c>
      <c r="M545" s="17">
        <v>0</v>
      </c>
      <c r="N545" s="17">
        <v>50</v>
      </c>
      <c r="O545" s="17">
        <v>0</v>
      </c>
    </row>
    <row r="546" spans="1:15" x14ac:dyDescent="0.2">
      <c r="A546" t="s">
        <v>1494</v>
      </c>
      <c r="B546">
        <v>894.59199999999998</v>
      </c>
      <c r="C546" t="s">
        <v>60</v>
      </c>
      <c r="D546" t="s">
        <v>61</v>
      </c>
      <c r="E546" t="s">
        <v>650</v>
      </c>
      <c r="F546" t="s">
        <v>111</v>
      </c>
      <c r="G546" s="17">
        <v>0</v>
      </c>
      <c r="H546" s="17" t="str">
        <f t="shared" si="24"/>
        <v>15</v>
      </c>
      <c r="I546" s="17">
        <v>1.2</v>
      </c>
      <c r="J546" s="17">
        <v>2.2000000000000002</v>
      </c>
      <c r="K546" s="17">
        <f t="shared" si="25"/>
        <v>892.59199999999998</v>
      </c>
      <c r="L546" s="17">
        <f t="shared" si="26"/>
        <v>896.59199999999998</v>
      </c>
      <c r="M546" s="17">
        <v>0</v>
      </c>
      <c r="N546" s="17">
        <v>50</v>
      </c>
      <c r="O546" s="17">
        <v>0</v>
      </c>
    </row>
    <row r="547" spans="1:15" x14ac:dyDescent="0.2">
      <c r="A547" t="s">
        <v>1496</v>
      </c>
      <c r="B547">
        <v>894.59199999999998</v>
      </c>
      <c r="C547" t="s">
        <v>60</v>
      </c>
      <c r="D547" t="s">
        <v>61</v>
      </c>
      <c r="E547" t="s">
        <v>1212</v>
      </c>
      <c r="F547" t="s">
        <v>111</v>
      </c>
      <c r="G547" s="17">
        <v>0</v>
      </c>
      <c r="H547" s="17" t="str">
        <f t="shared" si="24"/>
        <v>240</v>
      </c>
      <c r="I547" s="17">
        <v>1.2</v>
      </c>
      <c r="J547" s="17">
        <v>2.2000000000000002</v>
      </c>
      <c r="K547" s="17">
        <f t="shared" si="25"/>
        <v>892.59199999999998</v>
      </c>
      <c r="L547" s="17">
        <f t="shared" si="26"/>
        <v>896.59199999999998</v>
      </c>
      <c r="M547" s="17">
        <v>0</v>
      </c>
      <c r="N547" s="17">
        <v>50</v>
      </c>
      <c r="O547" s="17">
        <v>0</v>
      </c>
    </row>
    <row r="548" spans="1:15" x14ac:dyDescent="0.2">
      <c r="A548" t="s">
        <v>1498</v>
      </c>
      <c r="B548">
        <v>894.59199999999998</v>
      </c>
      <c r="C548" t="s">
        <v>60</v>
      </c>
      <c r="D548" t="s">
        <v>61</v>
      </c>
      <c r="E548" t="s">
        <v>1212</v>
      </c>
      <c r="F548" t="s">
        <v>111</v>
      </c>
      <c r="G548" s="17">
        <v>0</v>
      </c>
      <c r="H548" s="17" t="str">
        <f t="shared" si="24"/>
        <v>240</v>
      </c>
      <c r="I548" s="17">
        <v>1.2</v>
      </c>
      <c r="J548" s="17">
        <v>2.2000000000000002</v>
      </c>
      <c r="K548" s="17">
        <f t="shared" si="25"/>
        <v>892.59199999999998</v>
      </c>
      <c r="L548" s="17">
        <f t="shared" si="26"/>
        <v>896.59199999999998</v>
      </c>
      <c r="M548" s="17">
        <v>0</v>
      </c>
      <c r="N548" s="17">
        <v>50</v>
      </c>
      <c r="O548" s="17">
        <v>0</v>
      </c>
    </row>
    <row r="549" spans="1:15" x14ac:dyDescent="0.2">
      <c r="A549" t="s">
        <v>1500</v>
      </c>
      <c r="B549">
        <v>894.59199999999998</v>
      </c>
      <c r="C549" t="s">
        <v>60</v>
      </c>
      <c r="D549" t="s">
        <v>61</v>
      </c>
      <c r="E549" t="s">
        <v>1212</v>
      </c>
      <c r="F549" t="s">
        <v>111</v>
      </c>
      <c r="G549" s="17">
        <v>0</v>
      </c>
      <c r="H549" s="17" t="str">
        <f t="shared" si="24"/>
        <v>240</v>
      </c>
      <c r="I549" s="17">
        <v>1.2</v>
      </c>
      <c r="J549" s="17">
        <v>2.2000000000000002</v>
      </c>
      <c r="K549" s="17">
        <f t="shared" si="25"/>
        <v>892.59199999999998</v>
      </c>
      <c r="L549" s="17">
        <f t="shared" si="26"/>
        <v>896.59199999999998</v>
      </c>
      <c r="M549" s="17">
        <v>0</v>
      </c>
      <c r="N549" s="17">
        <v>50</v>
      </c>
      <c r="O549" s="17">
        <v>0</v>
      </c>
    </row>
    <row r="550" spans="1:15" x14ac:dyDescent="0.2">
      <c r="A550" t="s">
        <v>1502</v>
      </c>
      <c r="B550">
        <v>894.59199999999998</v>
      </c>
      <c r="C550" t="s">
        <v>60</v>
      </c>
      <c r="D550" t="s">
        <v>61</v>
      </c>
      <c r="E550" t="s">
        <v>1212</v>
      </c>
      <c r="F550" t="s">
        <v>306</v>
      </c>
      <c r="G550" s="17">
        <v>0</v>
      </c>
      <c r="H550" s="17" t="str">
        <f t="shared" si="24"/>
        <v>240</v>
      </c>
      <c r="I550" s="17">
        <v>1.2</v>
      </c>
      <c r="J550" s="17">
        <v>2.2000000000000002</v>
      </c>
      <c r="K550" s="17">
        <f t="shared" si="25"/>
        <v>892.59199999999998</v>
      </c>
      <c r="L550" s="17">
        <f t="shared" si="26"/>
        <v>896.59199999999998</v>
      </c>
      <c r="M550" s="17">
        <v>0</v>
      </c>
      <c r="N550" s="17">
        <v>50</v>
      </c>
      <c r="O550" s="17">
        <v>0</v>
      </c>
    </row>
    <row r="551" spans="1:15" x14ac:dyDescent="0.2">
      <c r="A551" t="s">
        <v>1504</v>
      </c>
      <c r="B551">
        <v>894.59199999999998</v>
      </c>
      <c r="C551" t="s">
        <v>60</v>
      </c>
      <c r="D551" t="s">
        <v>61</v>
      </c>
      <c r="E551" t="s">
        <v>1212</v>
      </c>
      <c r="F551" t="s">
        <v>306</v>
      </c>
      <c r="G551" s="17">
        <v>0</v>
      </c>
      <c r="H551" s="17" t="str">
        <f t="shared" si="24"/>
        <v>240</v>
      </c>
      <c r="I551" s="17">
        <v>1.2</v>
      </c>
      <c r="J551" s="17">
        <v>2.2000000000000002</v>
      </c>
      <c r="K551" s="17">
        <f t="shared" si="25"/>
        <v>892.59199999999998</v>
      </c>
      <c r="L551" s="17">
        <f t="shared" si="26"/>
        <v>896.59199999999998</v>
      </c>
      <c r="M551" s="17">
        <v>0</v>
      </c>
      <c r="N551" s="17">
        <v>50</v>
      </c>
      <c r="O551" s="17">
        <v>0</v>
      </c>
    </row>
    <row r="552" spans="1:15" x14ac:dyDescent="0.2">
      <c r="A552" t="s">
        <v>1506</v>
      </c>
      <c r="B552">
        <v>894.59199999999998</v>
      </c>
      <c r="C552" t="s">
        <v>60</v>
      </c>
      <c r="D552" t="s">
        <v>61</v>
      </c>
      <c r="E552" t="s">
        <v>1212</v>
      </c>
      <c r="F552" t="s">
        <v>306</v>
      </c>
      <c r="G552" s="17">
        <v>0</v>
      </c>
      <c r="H552" s="17" t="str">
        <f t="shared" si="24"/>
        <v>240</v>
      </c>
      <c r="I552" s="17">
        <v>1.2</v>
      </c>
      <c r="J552" s="17">
        <v>2.2000000000000002</v>
      </c>
      <c r="K552" s="17">
        <f t="shared" si="25"/>
        <v>892.59199999999998</v>
      </c>
      <c r="L552" s="17">
        <f t="shared" si="26"/>
        <v>896.59199999999998</v>
      </c>
      <c r="M552" s="17">
        <v>0</v>
      </c>
      <c r="N552" s="17">
        <v>50</v>
      </c>
      <c r="O552" s="17">
        <v>0</v>
      </c>
    </row>
    <row r="553" spans="1:15" x14ac:dyDescent="0.2">
      <c r="A553" t="s">
        <v>1508</v>
      </c>
      <c r="B553">
        <v>894.59199999999998</v>
      </c>
      <c r="C553" t="s">
        <v>60</v>
      </c>
      <c r="D553" t="s">
        <v>61</v>
      </c>
      <c r="E553" t="s">
        <v>1212</v>
      </c>
      <c r="G553" s="17">
        <v>0</v>
      </c>
      <c r="H553" s="17" t="str">
        <f t="shared" si="24"/>
        <v>240</v>
      </c>
      <c r="I553" s="17">
        <v>1.2</v>
      </c>
      <c r="J553" s="17">
        <v>2.2000000000000002</v>
      </c>
      <c r="K553" s="17">
        <f t="shared" si="25"/>
        <v>892.59199999999998</v>
      </c>
      <c r="L553" s="17">
        <f t="shared" si="26"/>
        <v>896.59199999999998</v>
      </c>
      <c r="M553" s="17">
        <v>0</v>
      </c>
      <c r="N553" s="17">
        <v>50</v>
      </c>
      <c r="O553" s="17">
        <v>0</v>
      </c>
    </row>
    <row r="554" spans="1:15" x14ac:dyDescent="0.2">
      <c r="A554" t="s">
        <v>1510</v>
      </c>
      <c r="B554">
        <v>894.59199999999998</v>
      </c>
      <c r="C554" t="s">
        <v>60</v>
      </c>
      <c r="D554" t="s">
        <v>156</v>
      </c>
      <c r="E554" t="s">
        <v>445</v>
      </c>
      <c r="G554" s="17">
        <v>0</v>
      </c>
      <c r="H554" s="17" t="str">
        <f t="shared" si="24"/>
        <v>120</v>
      </c>
      <c r="I554" s="17">
        <v>1.2</v>
      </c>
      <c r="J554" s="17">
        <v>2.2000000000000002</v>
      </c>
      <c r="K554" s="17">
        <f t="shared" si="25"/>
        <v>892.59199999999998</v>
      </c>
      <c r="L554" s="17">
        <f t="shared" si="26"/>
        <v>896.59199999999998</v>
      </c>
      <c r="M554" s="17">
        <v>0</v>
      </c>
      <c r="N554" s="17">
        <v>50</v>
      </c>
      <c r="O554" s="17">
        <v>0</v>
      </c>
    </row>
    <row r="555" spans="1:15" x14ac:dyDescent="0.2">
      <c r="A555" t="s">
        <v>1512</v>
      </c>
      <c r="B555">
        <v>894.59199999999998</v>
      </c>
      <c r="C555" t="s">
        <v>60</v>
      </c>
      <c r="D555" t="s">
        <v>156</v>
      </c>
      <c r="E555" t="s">
        <v>1513</v>
      </c>
      <c r="G555" s="17">
        <v>0</v>
      </c>
      <c r="H555" s="17" t="str">
        <f t="shared" si="24"/>
        <v>60</v>
      </c>
      <c r="I555" s="17">
        <v>1.2</v>
      </c>
      <c r="J555" s="17">
        <v>2.2000000000000002</v>
      </c>
      <c r="K555" s="17">
        <f t="shared" si="25"/>
        <v>892.59199999999998</v>
      </c>
      <c r="L555" s="17">
        <f t="shared" si="26"/>
        <v>896.59199999999998</v>
      </c>
      <c r="M555" s="17">
        <v>0</v>
      </c>
      <c r="N555" s="17">
        <v>50</v>
      </c>
      <c r="O555" s="17">
        <v>0</v>
      </c>
    </row>
    <row r="556" spans="1:15" x14ac:dyDescent="0.2">
      <c r="A556" t="s">
        <v>1517</v>
      </c>
      <c r="B556">
        <v>894.59199999999998</v>
      </c>
      <c r="C556" t="s">
        <v>60</v>
      </c>
      <c r="D556" t="s">
        <v>156</v>
      </c>
      <c r="E556" t="s">
        <v>445</v>
      </c>
      <c r="G556" s="17">
        <v>0</v>
      </c>
      <c r="H556" s="17" t="str">
        <f t="shared" si="24"/>
        <v>120</v>
      </c>
      <c r="I556" s="17">
        <v>1.2</v>
      </c>
      <c r="J556" s="17">
        <v>2.2000000000000002</v>
      </c>
      <c r="K556" s="17">
        <f t="shared" si="25"/>
        <v>892.59199999999998</v>
      </c>
      <c r="L556" s="17">
        <f t="shared" si="26"/>
        <v>896.59199999999998</v>
      </c>
      <c r="M556" s="17">
        <v>0</v>
      </c>
      <c r="N556" s="17">
        <v>50</v>
      </c>
      <c r="O556" s="17">
        <v>0</v>
      </c>
    </row>
    <row r="557" spans="1:15" x14ac:dyDescent="0.2">
      <c r="A557" t="s">
        <v>1519</v>
      </c>
      <c r="B557">
        <v>894.59199999999998</v>
      </c>
      <c r="C557" t="s">
        <v>60</v>
      </c>
      <c r="D557" t="s">
        <v>156</v>
      </c>
      <c r="E557" t="s">
        <v>445</v>
      </c>
      <c r="G557" s="17">
        <v>0</v>
      </c>
      <c r="H557" s="17" t="str">
        <f t="shared" si="24"/>
        <v>120</v>
      </c>
      <c r="I557" s="17">
        <v>1.2</v>
      </c>
      <c r="J557" s="17">
        <v>2.2000000000000002</v>
      </c>
      <c r="K557" s="17">
        <f t="shared" si="25"/>
        <v>892.59199999999998</v>
      </c>
      <c r="L557" s="17">
        <f t="shared" si="26"/>
        <v>896.59199999999998</v>
      </c>
      <c r="M557" s="17">
        <v>0</v>
      </c>
      <c r="N557" s="17">
        <v>50</v>
      </c>
      <c r="O557" s="17">
        <v>0</v>
      </c>
    </row>
    <row r="558" spans="1:15" x14ac:dyDescent="0.2">
      <c r="A558" t="s">
        <v>1521</v>
      </c>
      <c r="B558">
        <v>894.59199999999998</v>
      </c>
      <c r="C558" t="s">
        <v>60</v>
      </c>
      <c r="D558" t="s">
        <v>156</v>
      </c>
      <c r="E558" t="s">
        <v>445</v>
      </c>
      <c r="F558" t="s">
        <v>156</v>
      </c>
      <c r="G558" s="17">
        <v>0</v>
      </c>
      <c r="H558" s="17" t="str">
        <f t="shared" si="24"/>
        <v>120</v>
      </c>
      <c r="I558" s="17">
        <v>1.2</v>
      </c>
      <c r="J558" s="17">
        <v>2.2000000000000002</v>
      </c>
      <c r="K558" s="17">
        <f t="shared" si="25"/>
        <v>892.59199999999998</v>
      </c>
      <c r="L558" s="17">
        <f t="shared" si="26"/>
        <v>896.59199999999998</v>
      </c>
      <c r="M558" s="17">
        <v>0</v>
      </c>
      <c r="N558" s="17">
        <v>50</v>
      </c>
      <c r="O558" s="17">
        <v>0</v>
      </c>
    </row>
    <row r="559" spans="1:15" x14ac:dyDescent="0.2">
      <c r="A559" t="s">
        <v>1523</v>
      </c>
      <c r="B559">
        <v>894.59199999999998</v>
      </c>
      <c r="C559" t="s">
        <v>60</v>
      </c>
      <c r="D559" t="s">
        <v>156</v>
      </c>
      <c r="E559" t="s">
        <v>445</v>
      </c>
      <c r="F559" t="s">
        <v>156</v>
      </c>
      <c r="G559" s="17">
        <v>0</v>
      </c>
      <c r="H559" s="17" t="str">
        <f t="shared" si="24"/>
        <v>120</v>
      </c>
      <c r="I559" s="17">
        <v>1.2</v>
      </c>
      <c r="J559" s="17">
        <v>2.2000000000000002</v>
      </c>
      <c r="K559" s="17">
        <f t="shared" si="25"/>
        <v>892.59199999999998</v>
      </c>
      <c r="L559" s="17">
        <f t="shared" si="26"/>
        <v>896.59199999999998</v>
      </c>
      <c r="M559" s="17">
        <v>0</v>
      </c>
      <c r="N559" s="17">
        <v>50</v>
      </c>
      <c r="O559" s="17">
        <v>0</v>
      </c>
    </row>
    <row r="560" spans="1:15" x14ac:dyDescent="0.2">
      <c r="A560" t="s">
        <v>1525</v>
      </c>
      <c r="B560">
        <v>894.59199999999998</v>
      </c>
      <c r="C560" t="s">
        <v>60</v>
      </c>
      <c r="D560" t="s">
        <v>156</v>
      </c>
      <c r="E560" t="s">
        <v>445</v>
      </c>
      <c r="F560" t="s">
        <v>156</v>
      </c>
      <c r="G560" s="17">
        <v>0</v>
      </c>
      <c r="H560" s="17" t="str">
        <f t="shared" si="24"/>
        <v>120</v>
      </c>
      <c r="I560" s="17">
        <v>1.2</v>
      </c>
      <c r="J560" s="17">
        <v>2.2000000000000002</v>
      </c>
      <c r="K560" s="17">
        <f t="shared" si="25"/>
        <v>892.59199999999998</v>
      </c>
      <c r="L560" s="17">
        <f t="shared" si="26"/>
        <v>896.59199999999998</v>
      </c>
      <c r="M560" s="17">
        <v>0</v>
      </c>
      <c r="N560" s="17">
        <v>50</v>
      </c>
      <c r="O560" s="17">
        <v>0</v>
      </c>
    </row>
    <row r="561" spans="1:15" x14ac:dyDescent="0.2">
      <c r="A561" t="s">
        <v>1527</v>
      </c>
      <c r="B561">
        <v>894.59199999999998</v>
      </c>
      <c r="C561" t="s">
        <v>60</v>
      </c>
      <c r="D561" t="s">
        <v>156</v>
      </c>
      <c r="E561" t="s">
        <v>445</v>
      </c>
      <c r="F561" t="s">
        <v>156</v>
      </c>
      <c r="G561" s="17">
        <v>0</v>
      </c>
      <c r="H561" s="17" t="str">
        <f t="shared" si="24"/>
        <v>120</v>
      </c>
      <c r="I561" s="17">
        <v>1.2</v>
      </c>
      <c r="J561" s="17">
        <v>2.2000000000000002</v>
      </c>
      <c r="K561" s="17">
        <f t="shared" si="25"/>
        <v>892.59199999999998</v>
      </c>
      <c r="L561" s="17">
        <f t="shared" si="26"/>
        <v>896.59199999999998</v>
      </c>
      <c r="M561" s="17">
        <v>0</v>
      </c>
      <c r="N561" s="17">
        <v>50</v>
      </c>
      <c r="O561" s="17">
        <v>0</v>
      </c>
    </row>
    <row r="562" spans="1:15" x14ac:dyDescent="0.2">
      <c r="A562" t="s">
        <v>1529</v>
      </c>
      <c r="B562">
        <v>894.59199999999998</v>
      </c>
      <c r="C562" t="s">
        <v>60</v>
      </c>
      <c r="D562" t="s">
        <v>61</v>
      </c>
      <c r="E562" t="s">
        <v>1212</v>
      </c>
      <c r="F562" t="s">
        <v>156</v>
      </c>
      <c r="G562" s="17">
        <v>0</v>
      </c>
      <c r="H562" s="17" t="str">
        <f t="shared" si="24"/>
        <v>240</v>
      </c>
      <c r="I562" s="17">
        <v>1.2</v>
      </c>
      <c r="J562" s="17">
        <v>2.2000000000000002</v>
      </c>
      <c r="K562" s="17">
        <f t="shared" si="25"/>
        <v>892.59199999999998</v>
      </c>
      <c r="L562" s="17">
        <f t="shared" si="26"/>
        <v>896.59199999999998</v>
      </c>
      <c r="M562" s="17">
        <v>0</v>
      </c>
      <c r="N562" s="17">
        <v>50</v>
      </c>
      <c r="O562" s="17">
        <v>0</v>
      </c>
    </row>
    <row r="563" spans="1:15" x14ac:dyDescent="0.2">
      <c r="A563" t="s">
        <v>1531</v>
      </c>
      <c r="B563">
        <v>894.59199999999998</v>
      </c>
      <c r="C563" t="s">
        <v>60</v>
      </c>
      <c r="D563" t="s">
        <v>156</v>
      </c>
      <c r="E563" t="s">
        <v>1513</v>
      </c>
      <c r="F563" t="s">
        <v>111</v>
      </c>
      <c r="G563" s="17">
        <v>0</v>
      </c>
      <c r="H563" s="17" t="str">
        <f t="shared" si="24"/>
        <v>60</v>
      </c>
      <c r="I563" s="17">
        <v>1.2</v>
      </c>
      <c r="J563" s="17">
        <v>2.2000000000000002</v>
      </c>
      <c r="K563" s="17">
        <f t="shared" si="25"/>
        <v>892.59199999999998</v>
      </c>
      <c r="L563" s="17">
        <f t="shared" si="26"/>
        <v>896.59199999999998</v>
      </c>
      <c r="M563" s="17">
        <v>0</v>
      </c>
      <c r="N563" s="17">
        <v>50</v>
      </c>
      <c r="O563" s="17">
        <v>0</v>
      </c>
    </row>
    <row r="564" spans="1:15" x14ac:dyDescent="0.2">
      <c r="A564" t="s">
        <v>1533</v>
      </c>
      <c r="B564">
        <v>894.59199999999998</v>
      </c>
      <c r="C564" t="s">
        <v>60</v>
      </c>
      <c r="D564" t="s">
        <v>156</v>
      </c>
      <c r="E564" t="s">
        <v>445</v>
      </c>
      <c r="F564" t="s">
        <v>111</v>
      </c>
      <c r="G564" s="17">
        <v>0</v>
      </c>
      <c r="H564" s="17" t="str">
        <f t="shared" si="24"/>
        <v>120</v>
      </c>
      <c r="I564" s="17">
        <v>1.2</v>
      </c>
      <c r="J564" s="17">
        <v>2.2000000000000002</v>
      </c>
      <c r="K564" s="17">
        <f t="shared" si="25"/>
        <v>892.59199999999998</v>
      </c>
      <c r="L564" s="17">
        <f t="shared" si="26"/>
        <v>896.59199999999998</v>
      </c>
      <c r="M564" s="17">
        <v>0</v>
      </c>
      <c r="N564" s="17">
        <v>50</v>
      </c>
      <c r="O564" s="17">
        <v>0</v>
      </c>
    </row>
    <row r="565" spans="1:15" x14ac:dyDescent="0.2">
      <c r="A565" t="s">
        <v>1535</v>
      </c>
      <c r="B565">
        <v>894.59199999999998</v>
      </c>
      <c r="C565" t="s">
        <v>60</v>
      </c>
      <c r="D565" t="s">
        <v>156</v>
      </c>
      <c r="E565" t="s">
        <v>445</v>
      </c>
      <c r="F565" t="s">
        <v>111</v>
      </c>
      <c r="G565" s="17">
        <v>0</v>
      </c>
      <c r="H565" s="17" t="str">
        <f t="shared" si="24"/>
        <v>120</v>
      </c>
      <c r="I565" s="17">
        <v>1.2</v>
      </c>
      <c r="J565" s="17">
        <v>2.2000000000000002</v>
      </c>
      <c r="K565" s="17">
        <f t="shared" si="25"/>
        <v>892.59199999999998</v>
      </c>
      <c r="L565" s="17">
        <f t="shared" si="26"/>
        <v>896.59199999999998</v>
      </c>
      <c r="M565" s="17">
        <v>0</v>
      </c>
      <c r="N565" s="17">
        <v>50</v>
      </c>
      <c r="O565" s="17">
        <v>0</v>
      </c>
    </row>
    <row r="566" spans="1:15" x14ac:dyDescent="0.2">
      <c r="A566" t="s">
        <v>1537</v>
      </c>
      <c r="B566">
        <v>894.59199999999998</v>
      </c>
      <c r="C566" t="s">
        <v>60</v>
      </c>
      <c r="D566" t="s">
        <v>156</v>
      </c>
      <c r="E566" t="s">
        <v>445</v>
      </c>
      <c r="F566" t="s">
        <v>111</v>
      </c>
      <c r="G566" s="17">
        <v>0</v>
      </c>
      <c r="H566" s="17" t="str">
        <f t="shared" si="24"/>
        <v>120</v>
      </c>
      <c r="I566" s="17">
        <v>1.2</v>
      </c>
      <c r="J566" s="17">
        <v>2.2000000000000002</v>
      </c>
      <c r="K566" s="17">
        <f t="shared" si="25"/>
        <v>892.59199999999998</v>
      </c>
      <c r="L566" s="17">
        <f t="shared" si="26"/>
        <v>896.59199999999998</v>
      </c>
      <c r="M566" s="17">
        <v>0</v>
      </c>
      <c r="N566" s="17">
        <v>50</v>
      </c>
      <c r="O566" s="17">
        <v>0</v>
      </c>
    </row>
    <row r="567" spans="1:15" x14ac:dyDescent="0.2">
      <c r="A567" t="s">
        <v>1539</v>
      </c>
      <c r="B567">
        <v>894.59199999999998</v>
      </c>
      <c r="C567" t="s">
        <v>60</v>
      </c>
      <c r="D567" t="s">
        <v>156</v>
      </c>
      <c r="E567" t="s">
        <v>445</v>
      </c>
      <c r="F567" t="s">
        <v>111</v>
      </c>
      <c r="G567" s="17">
        <v>0</v>
      </c>
      <c r="H567" s="17" t="str">
        <f t="shared" si="24"/>
        <v>120</v>
      </c>
      <c r="I567" s="17">
        <v>1.2</v>
      </c>
      <c r="J567" s="17">
        <v>2.2000000000000002</v>
      </c>
      <c r="K567" s="17">
        <f t="shared" si="25"/>
        <v>892.59199999999998</v>
      </c>
      <c r="L567" s="17">
        <f t="shared" si="26"/>
        <v>896.59199999999998</v>
      </c>
      <c r="M567" s="17">
        <v>0</v>
      </c>
      <c r="N567" s="17">
        <v>50</v>
      </c>
      <c r="O567" s="17">
        <v>0</v>
      </c>
    </row>
    <row r="568" spans="1:15" x14ac:dyDescent="0.2">
      <c r="A568" t="s">
        <v>1541</v>
      </c>
      <c r="B568">
        <v>894.59199999999998</v>
      </c>
      <c r="C568" t="s">
        <v>60</v>
      </c>
      <c r="D568" t="s">
        <v>61</v>
      </c>
      <c r="E568" t="s">
        <v>1212</v>
      </c>
      <c r="F568" t="s">
        <v>111</v>
      </c>
      <c r="G568" s="17">
        <v>0</v>
      </c>
      <c r="H568" s="17" t="str">
        <f t="shared" si="24"/>
        <v>240</v>
      </c>
      <c r="I568" s="17">
        <v>1.2</v>
      </c>
      <c r="J568" s="17">
        <v>2.2000000000000002</v>
      </c>
      <c r="K568" s="17">
        <f t="shared" si="25"/>
        <v>892.59199999999998</v>
      </c>
      <c r="L568" s="17">
        <f t="shared" si="26"/>
        <v>896.59199999999998</v>
      </c>
      <c r="M568" s="17">
        <v>0</v>
      </c>
      <c r="N568" s="17">
        <v>50</v>
      </c>
      <c r="O568" s="17">
        <v>0</v>
      </c>
    </row>
    <row r="569" spans="1:15" x14ac:dyDescent="0.2">
      <c r="A569" t="s">
        <v>1543</v>
      </c>
      <c r="B569">
        <v>894.59199999999998</v>
      </c>
      <c r="C569" t="s">
        <v>60</v>
      </c>
      <c r="D569" t="s">
        <v>156</v>
      </c>
      <c r="E569" t="s">
        <v>445</v>
      </c>
      <c r="F569" t="s">
        <v>306</v>
      </c>
      <c r="G569" s="17">
        <v>0</v>
      </c>
      <c r="H569" s="17" t="str">
        <f t="shared" si="24"/>
        <v>120</v>
      </c>
      <c r="I569" s="17">
        <v>1.2</v>
      </c>
      <c r="J569" s="17">
        <v>2.2000000000000002</v>
      </c>
      <c r="K569" s="17">
        <f t="shared" si="25"/>
        <v>892.59199999999998</v>
      </c>
      <c r="L569" s="17">
        <f t="shared" si="26"/>
        <v>896.59199999999998</v>
      </c>
      <c r="M569" s="17">
        <v>0</v>
      </c>
      <c r="N569" s="17">
        <v>50</v>
      </c>
      <c r="O569" s="17">
        <v>0</v>
      </c>
    </row>
    <row r="570" spans="1:15" x14ac:dyDescent="0.2">
      <c r="A570" t="s">
        <v>1545</v>
      </c>
      <c r="B570">
        <v>894.59199999999998</v>
      </c>
      <c r="C570" t="s">
        <v>60</v>
      </c>
      <c r="D570" t="s">
        <v>156</v>
      </c>
      <c r="E570" t="s">
        <v>445</v>
      </c>
      <c r="F570" t="s">
        <v>306</v>
      </c>
      <c r="G570" s="17">
        <v>0</v>
      </c>
      <c r="H570" s="17" t="str">
        <f t="shared" si="24"/>
        <v>120</v>
      </c>
      <c r="I570" s="17">
        <v>1.2</v>
      </c>
      <c r="J570" s="17">
        <v>2.2000000000000002</v>
      </c>
      <c r="K570" s="17">
        <f t="shared" si="25"/>
        <v>892.59199999999998</v>
      </c>
      <c r="L570" s="17">
        <f t="shared" si="26"/>
        <v>896.59199999999998</v>
      </c>
      <c r="M570" s="17">
        <v>0</v>
      </c>
      <c r="N570" s="17">
        <v>50</v>
      </c>
      <c r="O570" s="17">
        <v>0</v>
      </c>
    </row>
    <row r="571" spans="1:15" x14ac:dyDescent="0.2">
      <c r="A571" t="s">
        <v>1547</v>
      </c>
      <c r="B571">
        <v>894.59199999999998</v>
      </c>
      <c r="C571" t="s">
        <v>60</v>
      </c>
      <c r="D571" t="s">
        <v>156</v>
      </c>
      <c r="E571" t="s">
        <v>445</v>
      </c>
      <c r="F571" t="s">
        <v>306</v>
      </c>
      <c r="G571" s="17">
        <v>0</v>
      </c>
      <c r="H571" s="17" t="str">
        <f t="shared" si="24"/>
        <v>120</v>
      </c>
      <c r="I571" s="17">
        <v>1.2</v>
      </c>
      <c r="J571" s="17">
        <v>2.2000000000000002</v>
      </c>
      <c r="K571" s="17">
        <f t="shared" si="25"/>
        <v>892.59199999999998</v>
      </c>
      <c r="L571" s="17">
        <f t="shared" si="26"/>
        <v>896.59199999999998</v>
      </c>
      <c r="M571" s="17">
        <v>0</v>
      </c>
      <c r="N571" s="17">
        <v>50</v>
      </c>
      <c r="O571" s="17">
        <v>0</v>
      </c>
    </row>
    <row r="572" spans="1:15" x14ac:dyDescent="0.2">
      <c r="A572" t="s">
        <v>1549</v>
      </c>
      <c r="B572">
        <v>894.59199999999998</v>
      </c>
      <c r="C572" t="s">
        <v>60</v>
      </c>
      <c r="D572" t="s">
        <v>156</v>
      </c>
      <c r="E572" t="s">
        <v>445</v>
      </c>
      <c r="F572" t="s">
        <v>306</v>
      </c>
      <c r="G572" s="17">
        <v>0</v>
      </c>
      <c r="H572" s="17" t="str">
        <f t="shared" si="24"/>
        <v>120</v>
      </c>
      <c r="I572" s="17">
        <v>1.2</v>
      </c>
      <c r="J572" s="17">
        <v>2.2000000000000002</v>
      </c>
      <c r="K572" s="17">
        <f t="shared" si="25"/>
        <v>892.59199999999998</v>
      </c>
      <c r="L572" s="17">
        <f t="shared" si="26"/>
        <v>896.59199999999998</v>
      </c>
      <c r="M572" s="17">
        <v>0</v>
      </c>
      <c r="N572" s="17">
        <v>50</v>
      </c>
      <c r="O572" s="17">
        <v>0</v>
      </c>
    </row>
    <row r="573" spans="1:15" x14ac:dyDescent="0.2">
      <c r="A573" t="s">
        <v>1551</v>
      </c>
      <c r="B573">
        <v>894.59199999999998</v>
      </c>
      <c r="C573" t="s">
        <v>60</v>
      </c>
      <c r="D573" t="s">
        <v>61</v>
      </c>
      <c r="E573" t="s">
        <v>1212</v>
      </c>
      <c r="F573" t="s">
        <v>306</v>
      </c>
      <c r="G573" s="17">
        <v>0</v>
      </c>
      <c r="H573" s="17" t="str">
        <f t="shared" si="24"/>
        <v>240</v>
      </c>
      <c r="I573" s="17">
        <v>1.2</v>
      </c>
      <c r="J573" s="17">
        <v>2.2000000000000002</v>
      </c>
      <c r="K573" s="17">
        <f t="shared" si="25"/>
        <v>892.59199999999998</v>
      </c>
      <c r="L573" s="17">
        <f t="shared" si="26"/>
        <v>896.59199999999998</v>
      </c>
      <c r="M573" s="17">
        <v>0</v>
      </c>
      <c r="N573" s="17">
        <v>50</v>
      </c>
      <c r="O573" s="17">
        <v>0</v>
      </c>
    </row>
    <row r="574" spans="1:15" x14ac:dyDescent="0.2">
      <c r="A574" t="s">
        <v>1553</v>
      </c>
      <c r="B574">
        <v>894.59199999999998</v>
      </c>
      <c r="C574" t="s">
        <v>60</v>
      </c>
      <c r="D574" t="s">
        <v>156</v>
      </c>
      <c r="E574" t="s">
        <v>445</v>
      </c>
      <c r="G574" s="17">
        <v>0</v>
      </c>
      <c r="H574" s="17" t="str">
        <f t="shared" si="24"/>
        <v>120</v>
      </c>
      <c r="I574" s="17">
        <v>1.2</v>
      </c>
      <c r="J574" s="17">
        <v>2.2000000000000002</v>
      </c>
      <c r="K574" s="17">
        <f t="shared" si="25"/>
        <v>892.59199999999998</v>
      </c>
      <c r="L574" s="17">
        <f t="shared" si="26"/>
        <v>896.59199999999998</v>
      </c>
      <c r="M574" s="17">
        <v>0</v>
      </c>
      <c r="N574" s="17">
        <v>50</v>
      </c>
      <c r="O574" s="17">
        <v>0</v>
      </c>
    </row>
    <row r="575" spans="1:15" x14ac:dyDescent="0.2">
      <c r="A575" t="s">
        <v>1555</v>
      </c>
      <c r="B575">
        <v>894.59199999999998</v>
      </c>
      <c r="C575" t="s">
        <v>60</v>
      </c>
      <c r="D575" t="s">
        <v>156</v>
      </c>
      <c r="E575" t="s">
        <v>445</v>
      </c>
      <c r="G575" s="17">
        <v>0</v>
      </c>
      <c r="H575" s="17" t="str">
        <f t="shared" si="24"/>
        <v>120</v>
      </c>
      <c r="I575" s="17">
        <v>1.2</v>
      </c>
      <c r="J575" s="17">
        <v>2.2000000000000002</v>
      </c>
      <c r="K575" s="17">
        <f t="shared" si="25"/>
        <v>892.59199999999998</v>
      </c>
      <c r="L575" s="17">
        <f t="shared" si="26"/>
        <v>896.59199999999998</v>
      </c>
      <c r="M575" s="17">
        <v>0</v>
      </c>
      <c r="N575" s="17">
        <v>50</v>
      </c>
      <c r="O575" s="17">
        <v>0</v>
      </c>
    </row>
    <row r="576" spans="1:15" x14ac:dyDescent="0.2">
      <c r="A576" t="s">
        <v>1557</v>
      </c>
      <c r="B576">
        <v>894.59199999999998</v>
      </c>
      <c r="C576" t="s">
        <v>60</v>
      </c>
      <c r="D576" t="s">
        <v>61</v>
      </c>
      <c r="E576" t="s">
        <v>1212</v>
      </c>
      <c r="G576" s="17">
        <v>0</v>
      </c>
      <c r="H576" s="17" t="str">
        <f t="shared" si="24"/>
        <v>240</v>
      </c>
      <c r="I576" s="17">
        <v>1.2</v>
      </c>
      <c r="J576" s="17">
        <v>2.2000000000000002</v>
      </c>
      <c r="K576" s="17">
        <f t="shared" si="25"/>
        <v>892.59199999999998</v>
      </c>
      <c r="L576" s="17">
        <f t="shared" si="26"/>
        <v>896.59199999999998</v>
      </c>
      <c r="M576" s="17">
        <v>0</v>
      </c>
      <c r="N576" s="17">
        <v>50</v>
      </c>
      <c r="O576" s="17">
        <v>0</v>
      </c>
    </row>
    <row r="577" spans="1:15" x14ac:dyDescent="0.2">
      <c r="A577" t="s">
        <v>1559</v>
      </c>
      <c r="B577" t="s">
        <v>1560</v>
      </c>
      <c r="C577" t="s">
        <v>60</v>
      </c>
      <c r="D577" t="s">
        <v>61</v>
      </c>
      <c r="E577" t="s">
        <v>512</v>
      </c>
      <c r="F577" t="s">
        <v>159</v>
      </c>
      <c r="G577" s="17">
        <v>0</v>
      </c>
      <c r="H577" s="17" t="str">
        <f t="shared" si="24"/>
        <v>180</v>
      </c>
      <c r="I577" s="17">
        <v>1.2</v>
      </c>
      <c r="J577" s="17">
        <v>2.2000000000000002</v>
      </c>
      <c r="K577" s="17">
        <f t="shared" si="25"/>
        <v>826</v>
      </c>
      <c r="L577" s="17">
        <f t="shared" si="26"/>
        <v>830</v>
      </c>
      <c r="M577" s="17">
        <v>0</v>
      </c>
      <c r="N577" s="17">
        <v>50</v>
      </c>
      <c r="O577" s="17">
        <v>0</v>
      </c>
    </row>
    <row r="578" spans="1:15" x14ac:dyDescent="0.2">
      <c r="A578" t="s">
        <v>1562</v>
      </c>
      <c r="B578" t="s">
        <v>1563</v>
      </c>
      <c r="C578" t="s">
        <v>60</v>
      </c>
      <c r="D578" t="s">
        <v>61</v>
      </c>
      <c r="E578" t="s">
        <v>512</v>
      </c>
      <c r="F578" t="s">
        <v>159</v>
      </c>
      <c r="G578" s="17">
        <v>0</v>
      </c>
      <c r="H578" s="17" t="str">
        <f t="shared" si="24"/>
        <v>180</v>
      </c>
      <c r="I578" s="17">
        <v>1.2</v>
      </c>
      <c r="J578" s="17">
        <v>2.2000000000000002</v>
      </c>
      <c r="K578" s="17">
        <f t="shared" si="25"/>
        <v>828</v>
      </c>
      <c r="L578" s="17">
        <f t="shared" si="26"/>
        <v>832</v>
      </c>
      <c r="M578" s="17">
        <v>0</v>
      </c>
      <c r="N578" s="17">
        <v>50</v>
      </c>
      <c r="O578" s="17">
        <v>0</v>
      </c>
    </row>
    <row r="579" spans="1:15" x14ac:dyDescent="0.2">
      <c r="A579" t="s">
        <v>1565</v>
      </c>
      <c r="B579">
        <v>920</v>
      </c>
      <c r="C579" t="s">
        <v>60</v>
      </c>
      <c r="D579" t="s">
        <v>61</v>
      </c>
      <c r="E579" t="s">
        <v>445</v>
      </c>
      <c r="G579" s="17">
        <v>0</v>
      </c>
      <c r="H579" s="17" t="str">
        <f t="shared" ref="H579:H642" si="27">_xlfn.TEXTAFTER(E579,"-",1)</f>
        <v>120</v>
      </c>
      <c r="I579" s="17">
        <v>1.2</v>
      </c>
      <c r="J579" s="17">
        <v>2.2000000000000002</v>
      </c>
      <c r="K579" s="17">
        <f t="shared" ref="K579:K642" si="28">B579-2</f>
        <v>918</v>
      </c>
      <c r="L579" s="17">
        <f t="shared" ref="L579:L642" si="29">B579+2</f>
        <v>922</v>
      </c>
      <c r="M579" s="17">
        <v>0</v>
      </c>
      <c r="N579" s="17">
        <v>50</v>
      </c>
      <c r="O579" s="17">
        <v>0</v>
      </c>
    </row>
    <row r="580" spans="1:15" x14ac:dyDescent="0.2">
      <c r="A580" t="s">
        <v>1571</v>
      </c>
      <c r="B580">
        <v>920</v>
      </c>
      <c r="C580" t="s">
        <v>60</v>
      </c>
      <c r="D580" t="s">
        <v>61</v>
      </c>
      <c r="E580" t="s">
        <v>650</v>
      </c>
      <c r="G580" s="17">
        <v>0</v>
      </c>
      <c r="H580" s="17" t="str">
        <f t="shared" si="27"/>
        <v>15</v>
      </c>
      <c r="I580" s="17">
        <v>1.2</v>
      </c>
      <c r="J580" s="17">
        <v>2.2000000000000002</v>
      </c>
      <c r="K580" s="17">
        <f t="shared" si="28"/>
        <v>918</v>
      </c>
      <c r="L580" s="17">
        <f t="shared" si="29"/>
        <v>922</v>
      </c>
      <c r="M580" s="17">
        <v>0</v>
      </c>
      <c r="N580" s="17">
        <v>50</v>
      </c>
      <c r="O580" s="17">
        <v>0</v>
      </c>
    </row>
    <row r="581" spans="1:15" x14ac:dyDescent="0.2">
      <c r="A581" t="s">
        <v>1575</v>
      </c>
      <c r="B581">
        <v>920</v>
      </c>
      <c r="C581" t="s">
        <v>60</v>
      </c>
      <c r="D581" t="s">
        <v>61</v>
      </c>
      <c r="E581" t="s">
        <v>1212</v>
      </c>
      <c r="G581" s="17">
        <v>0</v>
      </c>
      <c r="H581" s="17" t="str">
        <f t="shared" si="27"/>
        <v>240</v>
      </c>
      <c r="I581" s="17">
        <v>1.2</v>
      </c>
      <c r="J581" s="17">
        <v>2.2000000000000002</v>
      </c>
      <c r="K581" s="17">
        <f t="shared" si="28"/>
        <v>918</v>
      </c>
      <c r="L581" s="17">
        <f t="shared" si="29"/>
        <v>922</v>
      </c>
      <c r="M581" s="17">
        <v>0</v>
      </c>
      <c r="N581" s="17">
        <v>50</v>
      </c>
      <c r="O581" s="17">
        <v>0</v>
      </c>
    </row>
    <row r="582" spans="1:15" x14ac:dyDescent="0.2">
      <c r="A582" t="s">
        <v>1579</v>
      </c>
      <c r="B582">
        <v>920</v>
      </c>
      <c r="C582" t="s">
        <v>60</v>
      </c>
      <c r="D582" t="s">
        <v>61</v>
      </c>
      <c r="E582" t="s">
        <v>1212</v>
      </c>
      <c r="G582" s="17">
        <v>0</v>
      </c>
      <c r="H582" s="17" t="str">
        <f t="shared" si="27"/>
        <v>240</v>
      </c>
      <c r="I582" s="17">
        <v>1.2</v>
      </c>
      <c r="J582" s="17">
        <v>2.2000000000000002</v>
      </c>
      <c r="K582" s="17">
        <f t="shared" si="28"/>
        <v>918</v>
      </c>
      <c r="L582" s="17">
        <f t="shared" si="29"/>
        <v>922</v>
      </c>
      <c r="M582" s="17">
        <v>0</v>
      </c>
      <c r="N582" s="17">
        <v>50</v>
      </c>
      <c r="O582" s="17">
        <v>0</v>
      </c>
    </row>
    <row r="583" spans="1:15" x14ac:dyDescent="0.2">
      <c r="A583" t="s">
        <v>1582</v>
      </c>
      <c r="B583">
        <v>920</v>
      </c>
      <c r="C583" t="s">
        <v>60</v>
      </c>
      <c r="D583" t="s">
        <v>61</v>
      </c>
      <c r="E583" t="s">
        <v>445</v>
      </c>
      <c r="F583" t="s">
        <v>111</v>
      </c>
      <c r="G583" s="17">
        <v>0</v>
      </c>
      <c r="H583" s="17" t="str">
        <f t="shared" si="27"/>
        <v>120</v>
      </c>
      <c r="I583" s="17">
        <v>1.2</v>
      </c>
      <c r="J583" s="17">
        <v>2.2000000000000002</v>
      </c>
      <c r="K583" s="17">
        <f t="shared" si="28"/>
        <v>918</v>
      </c>
      <c r="L583" s="17">
        <f t="shared" si="29"/>
        <v>922</v>
      </c>
      <c r="M583" s="17">
        <v>0</v>
      </c>
      <c r="N583" s="17">
        <v>50</v>
      </c>
      <c r="O583" s="17">
        <v>0</v>
      </c>
    </row>
    <row r="584" spans="1:15" x14ac:dyDescent="0.2">
      <c r="A584" t="s">
        <v>1585</v>
      </c>
      <c r="B584">
        <v>920</v>
      </c>
      <c r="C584" t="s">
        <v>60</v>
      </c>
      <c r="D584" t="s">
        <v>61</v>
      </c>
      <c r="E584" t="s">
        <v>650</v>
      </c>
      <c r="F584" t="s">
        <v>111</v>
      </c>
      <c r="G584" s="17">
        <v>0</v>
      </c>
      <c r="H584" s="17" t="str">
        <f t="shared" si="27"/>
        <v>15</v>
      </c>
      <c r="I584" s="17">
        <v>1.2</v>
      </c>
      <c r="J584" s="17">
        <v>2.2000000000000002</v>
      </c>
      <c r="K584" s="17">
        <f t="shared" si="28"/>
        <v>918</v>
      </c>
      <c r="L584" s="17">
        <f t="shared" si="29"/>
        <v>922</v>
      </c>
      <c r="M584" s="17">
        <v>0</v>
      </c>
      <c r="N584" s="17">
        <v>50</v>
      </c>
      <c r="O584" s="17">
        <v>0</v>
      </c>
    </row>
    <row r="585" spans="1:15" x14ac:dyDescent="0.2">
      <c r="A585" t="s">
        <v>1588</v>
      </c>
      <c r="B585">
        <v>920</v>
      </c>
      <c r="C585" t="s">
        <v>60</v>
      </c>
      <c r="D585" t="s">
        <v>61</v>
      </c>
      <c r="E585" t="s">
        <v>1212</v>
      </c>
      <c r="F585" t="s">
        <v>111</v>
      </c>
      <c r="G585" s="17">
        <v>0</v>
      </c>
      <c r="H585" s="17" t="str">
        <f t="shared" si="27"/>
        <v>240</v>
      </c>
      <c r="I585" s="17">
        <v>1.2</v>
      </c>
      <c r="J585" s="17">
        <v>2.2000000000000002</v>
      </c>
      <c r="K585" s="17">
        <f t="shared" si="28"/>
        <v>918</v>
      </c>
      <c r="L585" s="17">
        <f t="shared" si="29"/>
        <v>922</v>
      </c>
      <c r="M585" s="17">
        <v>0</v>
      </c>
      <c r="N585" s="17">
        <v>50</v>
      </c>
      <c r="O585" s="17">
        <v>0</v>
      </c>
    </row>
    <row r="586" spans="1:15" x14ac:dyDescent="0.2">
      <c r="A586" t="s">
        <v>1591</v>
      </c>
      <c r="B586">
        <v>920</v>
      </c>
      <c r="C586" t="s">
        <v>60</v>
      </c>
      <c r="D586" t="s">
        <v>61</v>
      </c>
      <c r="E586" t="s">
        <v>1212</v>
      </c>
      <c r="F586" t="s">
        <v>111</v>
      </c>
      <c r="G586" s="17">
        <v>0</v>
      </c>
      <c r="H586" s="17" t="str">
        <f t="shared" si="27"/>
        <v>240</v>
      </c>
      <c r="I586" s="17">
        <v>1.2</v>
      </c>
      <c r="J586" s="17">
        <v>2.2000000000000002</v>
      </c>
      <c r="K586" s="17">
        <f t="shared" si="28"/>
        <v>918</v>
      </c>
      <c r="L586" s="17">
        <f t="shared" si="29"/>
        <v>922</v>
      </c>
      <c r="M586" s="17">
        <v>0</v>
      </c>
      <c r="N586" s="17">
        <v>50</v>
      </c>
      <c r="O586" s="17">
        <v>0</v>
      </c>
    </row>
    <row r="587" spans="1:15" x14ac:dyDescent="0.2">
      <c r="A587" t="s">
        <v>1594</v>
      </c>
      <c r="B587">
        <v>920</v>
      </c>
      <c r="C587" t="s">
        <v>60</v>
      </c>
      <c r="D587" t="s">
        <v>61</v>
      </c>
      <c r="E587" t="s">
        <v>1212</v>
      </c>
      <c r="F587" t="s">
        <v>111</v>
      </c>
      <c r="G587" s="17">
        <v>0</v>
      </c>
      <c r="H587" s="17" t="str">
        <f t="shared" si="27"/>
        <v>240</v>
      </c>
      <c r="I587" s="17">
        <v>1.2</v>
      </c>
      <c r="J587" s="17">
        <v>2.2000000000000002</v>
      </c>
      <c r="K587" s="17">
        <f t="shared" si="28"/>
        <v>918</v>
      </c>
      <c r="L587" s="17">
        <f t="shared" si="29"/>
        <v>922</v>
      </c>
      <c r="M587" s="17">
        <v>0</v>
      </c>
      <c r="N587" s="17">
        <v>50</v>
      </c>
      <c r="O587" s="17">
        <v>0</v>
      </c>
    </row>
    <row r="588" spans="1:15" x14ac:dyDescent="0.2">
      <c r="A588" t="s">
        <v>1597</v>
      </c>
      <c r="B588">
        <v>920</v>
      </c>
      <c r="C588" t="s">
        <v>60</v>
      </c>
      <c r="D588" t="s">
        <v>61</v>
      </c>
      <c r="E588" t="s">
        <v>1212</v>
      </c>
      <c r="F588" t="s">
        <v>111</v>
      </c>
      <c r="G588" s="17">
        <v>0</v>
      </c>
      <c r="H588" s="17" t="str">
        <f t="shared" si="27"/>
        <v>240</v>
      </c>
      <c r="I588" s="17">
        <v>1.2</v>
      </c>
      <c r="J588" s="17">
        <v>2.2000000000000002</v>
      </c>
      <c r="K588" s="17">
        <f t="shared" si="28"/>
        <v>918</v>
      </c>
      <c r="L588" s="17">
        <f t="shared" si="29"/>
        <v>922</v>
      </c>
      <c r="M588" s="17">
        <v>0</v>
      </c>
      <c r="N588" s="17">
        <v>50</v>
      </c>
      <c r="O588" s="17">
        <v>0</v>
      </c>
    </row>
    <row r="589" spans="1:15" x14ac:dyDescent="0.2">
      <c r="A589" t="s">
        <v>1600</v>
      </c>
      <c r="B589">
        <v>920</v>
      </c>
      <c r="C589" t="s">
        <v>60</v>
      </c>
      <c r="D589" t="s">
        <v>61</v>
      </c>
      <c r="E589" t="s">
        <v>1212</v>
      </c>
      <c r="G589" s="17">
        <v>0</v>
      </c>
      <c r="H589" s="17" t="str">
        <f t="shared" si="27"/>
        <v>240</v>
      </c>
      <c r="I589" s="17">
        <v>1.2</v>
      </c>
      <c r="J589" s="17">
        <v>2.2000000000000002</v>
      </c>
      <c r="K589" s="17">
        <f t="shared" si="28"/>
        <v>918</v>
      </c>
      <c r="L589" s="17">
        <f t="shared" si="29"/>
        <v>922</v>
      </c>
      <c r="M589" s="17">
        <v>0</v>
      </c>
      <c r="N589" s="17">
        <v>50</v>
      </c>
      <c r="O589" s="17">
        <v>0</v>
      </c>
    </row>
    <row r="590" spans="1:15" x14ac:dyDescent="0.2">
      <c r="A590" t="s">
        <v>1603</v>
      </c>
      <c r="B590">
        <v>920</v>
      </c>
      <c r="C590" t="s">
        <v>60</v>
      </c>
      <c r="D590" t="s">
        <v>61</v>
      </c>
      <c r="E590" t="s">
        <v>1212</v>
      </c>
      <c r="G590" s="17">
        <v>0</v>
      </c>
      <c r="H590" s="17" t="str">
        <f t="shared" si="27"/>
        <v>240</v>
      </c>
      <c r="I590" s="17">
        <v>1.2</v>
      </c>
      <c r="J590" s="17">
        <v>2.2000000000000002</v>
      </c>
      <c r="K590" s="17">
        <f t="shared" si="28"/>
        <v>918</v>
      </c>
      <c r="L590" s="17">
        <f t="shared" si="29"/>
        <v>922</v>
      </c>
      <c r="M590" s="17">
        <v>0</v>
      </c>
      <c r="N590" s="17">
        <v>50</v>
      </c>
      <c r="O590" s="17">
        <v>0</v>
      </c>
    </row>
    <row r="591" spans="1:15" x14ac:dyDescent="0.2">
      <c r="A591" t="s">
        <v>1606</v>
      </c>
      <c r="B591">
        <v>845.58399999999995</v>
      </c>
      <c r="C591" t="s">
        <v>60</v>
      </c>
      <c r="D591" t="s">
        <v>61</v>
      </c>
      <c r="E591" t="s">
        <v>1212</v>
      </c>
      <c r="F591" t="s">
        <v>159</v>
      </c>
      <c r="G591" s="17">
        <v>0</v>
      </c>
      <c r="H591" s="17" t="str">
        <f t="shared" si="27"/>
        <v>240</v>
      </c>
      <c r="I591" s="17">
        <v>1.2</v>
      </c>
      <c r="J591" s="17">
        <v>2.2000000000000002</v>
      </c>
      <c r="K591" s="17">
        <f t="shared" si="28"/>
        <v>843.58399999999995</v>
      </c>
      <c r="L591" s="17">
        <f t="shared" si="29"/>
        <v>847.58399999999995</v>
      </c>
      <c r="M591" s="17">
        <v>0</v>
      </c>
      <c r="N591" s="17">
        <v>50</v>
      </c>
      <c r="O591" s="17">
        <v>0</v>
      </c>
    </row>
    <row r="592" spans="1:15" x14ac:dyDescent="0.2">
      <c r="A592" t="s">
        <v>1608</v>
      </c>
      <c r="B592">
        <v>935</v>
      </c>
      <c r="C592" t="s">
        <v>60</v>
      </c>
      <c r="D592" t="s">
        <v>61</v>
      </c>
      <c r="E592" t="s">
        <v>445</v>
      </c>
      <c r="G592" s="17">
        <v>0</v>
      </c>
      <c r="H592" s="17" t="str">
        <f t="shared" si="27"/>
        <v>120</v>
      </c>
      <c r="I592" s="17">
        <v>1.2</v>
      </c>
      <c r="J592" s="17">
        <v>2.2000000000000002</v>
      </c>
      <c r="K592" s="17">
        <f t="shared" si="28"/>
        <v>933</v>
      </c>
      <c r="L592" s="17">
        <f t="shared" si="29"/>
        <v>937</v>
      </c>
      <c r="M592" s="17">
        <v>0</v>
      </c>
      <c r="N592" s="17">
        <v>50</v>
      </c>
      <c r="O592" s="17">
        <v>0</v>
      </c>
    </row>
    <row r="593" spans="1:15" x14ac:dyDescent="0.2">
      <c r="A593" t="s">
        <v>1613</v>
      </c>
      <c r="B593">
        <v>935</v>
      </c>
      <c r="C593" t="s">
        <v>60</v>
      </c>
      <c r="D593" t="s">
        <v>61</v>
      </c>
      <c r="E593" t="s">
        <v>1212</v>
      </c>
      <c r="G593" s="17">
        <v>0</v>
      </c>
      <c r="H593" s="17" t="str">
        <f t="shared" si="27"/>
        <v>240</v>
      </c>
      <c r="I593" s="17">
        <v>1.2</v>
      </c>
      <c r="J593" s="17">
        <v>2.2000000000000002</v>
      </c>
      <c r="K593" s="17">
        <f t="shared" si="28"/>
        <v>933</v>
      </c>
      <c r="L593" s="17">
        <f t="shared" si="29"/>
        <v>937</v>
      </c>
      <c r="M593" s="17">
        <v>0</v>
      </c>
      <c r="N593" s="17">
        <v>50</v>
      </c>
      <c r="O593" s="17">
        <v>0</v>
      </c>
    </row>
    <row r="594" spans="1:15" x14ac:dyDescent="0.2">
      <c r="A594" t="s">
        <v>1615</v>
      </c>
      <c r="B594">
        <v>935</v>
      </c>
      <c r="C594" t="s">
        <v>60</v>
      </c>
      <c r="D594" t="s">
        <v>61</v>
      </c>
      <c r="E594" t="s">
        <v>1212</v>
      </c>
      <c r="F594" t="s">
        <v>111</v>
      </c>
      <c r="G594" s="17">
        <v>0</v>
      </c>
      <c r="H594" s="17" t="str">
        <f t="shared" si="27"/>
        <v>240</v>
      </c>
      <c r="I594" s="17">
        <v>1.2</v>
      </c>
      <c r="J594" s="17">
        <v>2.2000000000000002</v>
      </c>
      <c r="K594" s="17">
        <f t="shared" si="28"/>
        <v>933</v>
      </c>
      <c r="L594" s="17">
        <f t="shared" si="29"/>
        <v>937</v>
      </c>
      <c r="M594" s="17">
        <v>0</v>
      </c>
      <c r="N594" s="17">
        <v>50</v>
      </c>
      <c r="O594" s="17">
        <v>0</v>
      </c>
    </row>
    <row r="595" spans="1:15" x14ac:dyDescent="0.2">
      <c r="A595" t="s">
        <v>1617</v>
      </c>
      <c r="B595">
        <v>935</v>
      </c>
      <c r="C595" t="s">
        <v>60</v>
      </c>
      <c r="D595" t="s">
        <v>61</v>
      </c>
      <c r="E595" t="s">
        <v>650</v>
      </c>
      <c r="G595" s="17">
        <v>0</v>
      </c>
      <c r="H595" s="17" t="str">
        <f t="shared" si="27"/>
        <v>15</v>
      </c>
      <c r="I595" s="17">
        <v>1.2</v>
      </c>
      <c r="J595" s="17">
        <v>2.2000000000000002</v>
      </c>
      <c r="K595" s="17">
        <f t="shared" si="28"/>
        <v>933</v>
      </c>
      <c r="L595" s="17">
        <f t="shared" si="29"/>
        <v>937</v>
      </c>
      <c r="M595" s="17">
        <v>0</v>
      </c>
      <c r="N595" s="17">
        <v>50</v>
      </c>
      <c r="O595" s="17">
        <v>0</v>
      </c>
    </row>
    <row r="596" spans="1:15" x14ac:dyDescent="0.2">
      <c r="A596" t="s">
        <v>1619</v>
      </c>
      <c r="B596">
        <v>935</v>
      </c>
      <c r="C596" t="s">
        <v>60</v>
      </c>
      <c r="D596" t="s">
        <v>61</v>
      </c>
      <c r="E596" t="s">
        <v>1212</v>
      </c>
      <c r="G596" s="17">
        <v>0</v>
      </c>
      <c r="H596" s="17" t="str">
        <f t="shared" si="27"/>
        <v>240</v>
      </c>
      <c r="I596" s="17">
        <v>1.2</v>
      </c>
      <c r="J596" s="17">
        <v>2.2000000000000002</v>
      </c>
      <c r="K596" s="17">
        <f t="shared" si="28"/>
        <v>933</v>
      </c>
      <c r="L596" s="17">
        <f t="shared" si="29"/>
        <v>937</v>
      </c>
      <c r="M596" s="17">
        <v>0</v>
      </c>
      <c r="N596" s="17">
        <v>50</v>
      </c>
      <c r="O596" s="17">
        <v>0</v>
      </c>
    </row>
    <row r="597" spans="1:15" x14ac:dyDescent="0.2">
      <c r="A597" t="s">
        <v>1621</v>
      </c>
      <c r="B597">
        <v>935</v>
      </c>
      <c r="C597" t="s">
        <v>60</v>
      </c>
      <c r="D597" t="s">
        <v>61</v>
      </c>
      <c r="E597" t="s">
        <v>1212</v>
      </c>
      <c r="G597" s="17">
        <v>0</v>
      </c>
      <c r="H597" s="17" t="str">
        <f t="shared" si="27"/>
        <v>240</v>
      </c>
      <c r="I597" s="17">
        <v>1.2</v>
      </c>
      <c r="J597" s="17">
        <v>2.2000000000000002</v>
      </c>
      <c r="K597" s="17">
        <f t="shared" si="28"/>
        <v>933</v>
      </c>
      <c r="L597" s="17">
        <f t="shared" si="29"/>
        <v>937</v>
      </c>
      <c r="M597" s="17">
        <v>0</v>
      </c>
      <c r="N597" s="17">
        <v>50</v>
      </c>
      <c r="O597" s="17">
        <v>0</v>
      </c>
    </row>
    <row r="598" spans="1:15" x14ac:dyDescent="0.2">
      <c r="A598" t="s">
        <v>1623</v>
      </c>
      <c r="B598">
        <v>935</v>
      </c>
      <c r="C598" t="s">
        <v>60</v>
      </c>
      <c r="D598" t="s">
        <v>61</v>
      </c>
      <c r="E598" t="s">
        <v>445</v>
      </c>
      <c r="F598" t="s">
        <v>111</v>
      </c>
      <c r="G598" s="17">
        <v>0</v>
      </c>
      <c r="H598" s="17" t="str">
        <f t="shared" si="27"/>
        <v>120</v>
      </c>
      <c r="I598" s="17">
        <v>1.2</v>
      </c>
      <c r="J598" s="17">
        <v>2.2000000000000002</v>
      </c>
      <c r="K598" s="17">
        <f t="shared" si="28"/>
        <v>933</v>
      </c>
      <c r="L598" s="17">
        <f t="shared" si="29"/>
        <v>937</v>
      </c>
      <c r="M598" s="17">
        <v>0</v>
      </c>
      <c r="N598" s="17">
        <v>50</v>
      </c>
      <c r="O598" s="17">
        <v>0</v>
      </c>
    </row>
    <row r="599" spans="1:15" x14ac:dyDescent="0.2">
      <c r="A599" t="s">
        <v>1625</v>
      </c>
      <c r="B599">
        <v>935</v>
      </c>
      <c r="C599" t="s">
        <v>60</v>
      </c>
      <c r="D599" t="s">
        <v>61</v>
      </c>
      <c r="E599" t="s">
        <v>650</v>
      </c>
      <c r="F599" t="s">
        <v>111</v>
      </c>
      <c r="G599" s="17">
        <v>0</v>
      </c>
      <c r="H599" s="17" t="str">
        <f t="shared" si="27"/>
        <v>15</v>
      </c>
      <c r="I599" s="17">
        <v>1.2</v>
      </c>
      <c r="J599" s="17">
        <v>2.2000000000000002</v>
      </c>
      <c r="K599" s="17">
        <f t="shared" si="28"/>
        <v>933</v>
      </c>
      <c r="L599" s="17">
        <f t="shared" si="29"/>
        <v>937</v>
      </c>
      <c r="M599" s="17">
        <v>0</v>
      </c>
      <c r="N599" s="17">
        <v>50</v>
      </c>
      <c r="O599" s="17">
        <v>0</v>
      </c>
    </row>
    <row r="600" spans="1:15" x14ac:dyDescent="0.2">
      <c r="A600" t="s">
        <v>1627</v>
      </c>
      <c r="B600">
        <v>935</v>
      </c>
      <c r="C600" t="s">
        <v>60</v>
      </c>
      <c r="D600" t="s">
        <v>61</v>
      </c>
      <c r="E600" t="s">
        <v>1212</v>
      </c>
      <c r="F600" t="s">
        <v>111</v>
      </c>
      <c r="G600" s="17">
        <v>0</v>
      </c>
      <c r="H600" s="17" t="str">
        <f t="shared" si="27"/>
        <v>240</v>
      </c>
      <c r="I600" s="17">
        <v>1.2</v>
      </c>
      <c r="J600" s="17">
        <v>2.2000000000000002</v>
      </c>
      <c r="K600" s="17">
        <f t="shared" si="28"/>
        <v>933</v>
      </c>
      <c r="L600" s="17">
        <f t="shared" si="29"/>
        <v>937</v>
      </c>
      <c r="M600" s="17">
        <v>0</v>
      </c>
      <c r="N600" s="17">
        <v>50</v>
      </c>
      <c r="O600" s="17">
        <v>0</v>
      </c>
    </row>
    <row r="601" spans="1:15" x14ac:dyDescent="0.2">
      <c r="A601" t="s">
        <v>1629</v>
      </c>
      <c r="B601">
        <v>935</v>
      </c>
      <c r="C601" t="s">
        <v>60</v>
      </c>
      <c r="D601" t="s">
        <v>61</v>
      </c>
      <c r="E601" t="s">
        <v>1212</v>
      </c>
      <c r="F601" t="s">
        <v>111</v>
      </c>
      <c r="G601" s="17">
        <v>0</v>
      </c>
      <c r="H601" s="17" t="str">
        <f t="shared" si="27"/>
        <v>240</v>
      </c>
      <c r="I601" s="17">
        <v>1.2</v>
      </c>
      <c r="J601" s="17">
        <v>2.2000000000000002</v>
      </c>
      <c r="K601" s="17">
        <f t="shared" si="28"/>
        <v>933</v>
      </c>
      <c r="L601" s="17">
        <f t="shared" si="29"/>
        <v>937</v>
      </c>
      <c r="M601" s="17">
        <v>0</v>
      </c>
      <c r="N601" s="17">
        <v>50</v>
      </c>
      <c r="O601" s="17">
        <v>0</v>
      </c>
    </row>
    <row r="602" spans="1:15" x14ac:dyDescent="0.2">
      <c r="A602" t="s">
        <v>1631</v>
      </c>
      <c r="B602">
        <v>935</v>
      </c>
      <c r="C602" t="s">
        <v>60</v>
      </c>
      <c r="D602" t="s">
        <v>61</v>
      </c>
      <c r="E602" t="s">
        <v>1212</v>
      </c>
      <c r="F602" t="s">
        <v>111</v>
      </c>
      <c r="G602" s="17">
        <v>0</v>
      </c>
      <c r="H602" s="17" t="str">
        <f t="shared" si="27"/>
        <v>240</v>
      </c>
      <c r="I602" s="17">
        <v>1.2</v>
      </c>
      <c r="J602" s="17">
        <v>2.2000000000000002</v>
      </c>
      <c r="K602" s="17">
        <f t="shared" si="28"/>
        <v>933</v>
      </c>
      <c r="L602" s="17">
        <f t="shared" si="29"/>
        <v>937</v>
      </c>
      <c r="M602" s="17">
        <v>0</v>
      </c>
      <c r="N602" s="17">
        <v>50</v>
      </c>
      <c r="O602" s="17">
        <v>0</v>
      </c>
    </row>
    <row r="603" spans="1:15" x14ac:dyDescent="0.2">
      <c r="A603" t="s">
        <v>1633</v>
      </c>
      <c r="B603">
        <v>935</v>
      </c>
      <c r="C603" t="s">
        <v>60</v>
      </c>
      <c r="D603" t="s">
        <v>61</v>
      </c>
      <c r="E603" t="s">
        <v>1212</v>
      </c>
      <c r="G603" s="17">
        <v>0</v>
      </c>
      <c r="H603" s="17" t="str">
        <f t="shared" si="27"/>
        <v>240</v>
      </c>
      <c r="I603" s="17">
        <v>1.2</v>
      </c>
      <c r="J603" s="17">
        <v>2.2000000000000002</v>
      </c>
      <c r="K603" s="17">
        <f t="shared" si="28"/>
        <v>933</v>
      </c>
      <c r="L603" s="17">
        <f t="shared" si="29"/>
        <v>937</v>
      </c>
      <c r="M603" s="17">
        <v>0</v>
      </c>
      <c r="N603" s="17">
        <v>50</v>
      </c>
      <c r="O603" s="17">
        <v>0</v>
      </c>
    </row>
    <row r="604" spans="1:15" x14ac:dyDescent="0.2">
      <c r="A604" t="s">
        <v>1635</v>
      </c>
      <c r="B604" t="s">
        <v>1636</v>
      </c>
      <c r="C604" t="s">
        <v>60</v>
      </c>
      <c r="D604" t="s">
        <v>61</v>
      </c>
      <c r="E604" t="s">
        <v>1212</v>
      </c>
      <c r="F604" t="s">
        <v>159</v>
      </c>
      <c r="G604" s="17">
        <v>0</v>
      </c>
      <c r="H604" s="17" t="str">
        <f t="shared" si="27"/>
        <v>240</v>
      </c>
      <c r="I604" s="17">
        <v>1.2</v>
      </c>
      <c r="J604" s="17">
        <v>2.2000000000000002</v>
      </c>
      <c r="K604" s="17">
        <f t="shared" si="28"/>
        <v>850.34699999999998</v>
      </c>
      <c r="L604" s="17">
        <f t="shared" si="29"/>
        <v>854.34699999999998</v>
      </c>
      <c r="M604" s="17">
        <v>0</v>
      </c>
      <c r="N604" s="17">
        <v>50</v>
      </c>
      <c r="O604" s="17">
        <v>0</v>
      </c>
    </row>
    <row r="605" spans="1:15" x14ac:dyDescent="0.2">
      <c r="A605" t="s">
        <v>1638</v>
      </c>
      <c r="B605">
        <v>976</v>
      </c>
      <c r="C605" t="s">
        <v>60</v>
      </c>
      <c r="D605" t="s">
        <v>61</v>
      </c>
      <c r="E605" t="s">
        <v>157</v>
      </c>
      <c r="G605" s="17">
        <v>0</v>
      </c>
      <c r="H605" s="17" t="str">
        <f t="shared" si="27"/>
        <v>180</v>
      </c>
      <c r="I605" s="17">
        <v>1.2</v>
      </c>
      <c r="J605" s="17">
        <v>2.2000000000000002</v>
      </c>
      <c r="K605" s="17">
        <f t="shared" si="28"/>
        <v>974</v>
      </c>
      <c r="L605" s="17">
        <f t="shared" si="29"/>
        <v>978</v>
      </c>
      <c r="M605" s="17">
        <v>0</v>
      </c>
      <c r="N605" s="17">
        <v>50</v>
      </c>
      <c r="O605" s="17">
        <v>0</v>
      </c>
    </row>
    <row r="606" spans="1:15" x14ac:dyDescent="0.2">
      <c r="A606" t="s">
        <v>1644</v>
      </c>
      <c r="B606">
        <v>976</v>
      </c>
      <c r="C606" t="s">
        <v>60</v>
      </c>
      <c r="D606" t="s">
        <v>61</v>
      </c>
      <c r="E606" t="s">
        <v>62</v>
      </c>
      <c r="G606" s="17">
        <v>0</v>
      </c>
      <c r="H606" s="17" t="str">
        <f t="shared" si="27"/>
        <v>40</v>
      </c>
      <c r="I606" s="17">
        <v>1.2</v>
      </c>
      <c r="J606" s="17">
        <v>2.2000000000000002</v>
      </c>
      <c r="K606" s="17">
        <f t="shared" si="28"/>
        <v>974</v>
      </c>
      <c r="L606" s="17">
        <f t="shared" si="29"/>
        <v>978</v>
      </c>
      <c r="M606" s="17">
        <v>0</v>
      </c>
      <c r="N606" s="17">
        <v>50</v>
      </c>
      <c r="O606" s="17">
        <v>0</v>
      </c>
    </row>
    <row r="607" spans="1:15" x14ac:dyDescent="0.2">
      <c r="A607" t="s">
        <v>1646</v>
      </c>
      <c r="B607">
        <v>976</v>
      </c>
      <c r="C607" t="s">
        <v>60</v>
      </c>
      <c r="D607" t="s">
        <v>61</v>
      </c>
      <c r="E607" t="s">
        <v>1647</v>
      </c>
      <c r="G607" s="17">
        <v>0</v>
      </c>
      <c r="H607" s="17" t="str">
        <f t="shared" si="27"/>
        <v>350</v>
      </c>
      <c r="I607" s="17">
        <v>1.2</v>
      </c>
      <c r="J607" s="17">
        <v>2.2000000000000002</v>
      </c>
      <c r="K607" s="17">
        <f t="shared" si="28"/>
        <v>974</v>
      </c>
      <c r="L607" s="17">
        <f t="shared" si="29"/>
        <v>978</v>
      </c>
      <c r="M607" s="17">
        <v>0</v>
      </c>
      <c r="N607" s="17">
        <v>50</v>
      </c>
      <c r="O607" s="17">
        <v>0</v>
      </c>
    </row>
    <row r="608" spans="1:15" x14ac:dyDescent="0.2">
      <c r="A608" t="s">
        <v>1651</v>
      </c>
      <c r="B608">
        <v>976</v>
      </c>
      <c r="C608" t="s">
        <v>60</v>
      </c>
      <c r="D608" t="s">
        <v>61</v>
      </c>
      <c r="E608" t="s">
        <v>1647</v>
      </c>
      <c r="G608" s="17">
        <v>0</v>
      </c>
      <c r="H608" s="17" t="str">
        <f t="shared" si="27"/>
        <v>350</v>
      </c>
      <c r="I608" s="17">
        <v>1.2</v>
      </c>
      <c r="J608" s="17">
        <v>2.2000000000000002</v>
      </c>
      <c r="K608" s="17">
        <f t="shared" si="28"/>
        <v>974</v>
      </c>
      <c r="L608" s="17">
        <f t="shared" si="29"/>
        <v>978</v>
      </c>
      <c r="M608" s="17">
        <v>0</v>
      </c>
      <c r="N608" s="17">
        <v>50</v>
      </c>
      <c r="O608" s="17">
        <v>0</v>
      </c>
    </row>
    <row r="609" spans="1:15" x14ac:dyDescent="0.2">
      <c r="A609" t="s">
        <v>1653</v>
      </c>
      <c r="B609">
        <v>976</v>
      </c>
      <c r="C609" t="s">
        <v>60</v>
      </c>
      <c r="D609" t="s">
        <v>61</v>
      </c>
      <c r="E609" t="s">
        <v>157</v>
      </c>
      <c r="F609" t="s">
        <v>111</v>
      </c>
      <c r="G609" s="17">
        <v>0</v>
      </c>
      <c r="H609" s="17" t="str">
        <f t="shared" si="27"/>
        <v>180</v>
      </c>
      <c r="I609" s="17">
        <v>1.2</v>
      </c>
      <c r="J609" s="17">
        <v>2.2000000000000002</v>
      </c>
      <c r="K609" s="17">
        <f t="shared" si="28"/>
        <v>974</v>
      </c>
      <c r="L609" s="17">
        <f t="shared" si="29"/>
        <v>978</v>
      </c>
      <c r="M609" s="17">
        <v>0</v>
      </c>
      <c r="N609" s="17">
        <v>50</v>
      </c>
      <c r="O609" s="17">
        <v>0</v>
      </c>
    </row>
    <row r="610" spans="1:15" x14ac:dyDescent="0.2">
      <c r="A610" t="s">
        <v>1655</v>
      </c>
      <c r="B610">
        <v>976</v>
      </c>
      <c r="C610" t="s">
        <v>60</v>
      </c>
      <c r="D610" t="s">
        <v>61</v>
      </c>
      <c r="E610" t="s">
        <v>62</v>
      </c>
      <c r="F610" t="s">
        <v>111</v>
      </c>
      <c r="G610" s="17">
        <v>0</v>
      </c>
      <c r="H610" s="17" t="str">
        <f t="shared" si="27"/>
        <v>40</v>
      </c>
      <c r="I610" s="17">
        <v>1.2</v>
      </c>
      <c r="J610" s="17">
        <v>2.2000000000000002</v>
      </c>
      <c r="K610" s="17">
        <f t="shared" si="28"/>
        <v>974</v>
      </c>
      <c r="L610" s="17">
        <f t="shared" si="29"/>
        <v>978</v>
      </c>
      <c r="M610" s="17">
        <v>0</v>
      </c>
      <c r="N610" s="17">
        <v>50</v>
      </c>
      <c r="O610" s="17">
        <v>0</v>
      </c>
    </row>
    <row r="611" spans="1:15" x14ac:dyDescent="0.2">
      <c r="A611" t="s">
        <v>1657</v>
      </c>
      <c r="B611">
        <v>976</v>
      </c>
      <c r="C611" t="s">
        <v>60</v>
      </c>
      <c r="D611" t="s">
        <v>61</v>
      </c>
      <c r="E611" t="s">
        <v>1647</v>
      </c>
      <c r="F611" t="s">
        <v>111</v>
      </c>
      <c r="G611" s="17">
        <v>0</v>
      </c>
      <c r="H611" s="17" t="str">
        <f t="shared" si="27"/>
        <v>350</v>
      </c>
      <c r="I611" s="17">
        <v>1.2</v>
      </c>
      <c r="J611" s="17">
        <v>2.2000000000000002</v>
      </c>
      <c r="K611" s="17">
        <f t="shared" si="28"/>
        <v>974</v>
      </c>
      <c r="L611" s="17">
        <f t="shared" si="29"/>
        <v>978</v>
      </c>
      <c r="M611" s="17">
        <v>0</v>
      </c>
      <c r="N611" s="17">
        <v>50</v>
      </c>
      <c r="O611" s="17">
        <v>0</v>
      </c>
    </row>
    <row r="612" spans="1:15" x14ac:dyDescent="0.2">
      <c r="A612" t="s">
        <v>1659</v>
      </c>
      <c r="B612">
        <v>976</v>
      </c>
      <c r="C612" t="s">
        <v>60</v>
      </c>
      <c r="D612" t="s">
        <v>61</v>
      </c>
      <c r="E612" t="s">
        <v>1647</v>
      </c>
      <c r="F612" t="s">
        <v>111</v>
      </c>
      <c r="G612" s="17">
        <v>0</v>
      </c>
      <c r="H612" s="17" t="str">
        <f t="shared" si="27"/>
        <v>350</v>
      </c>
      <c r="I612" s="17">
        <v>1.2</v>
      </c>
      <c r="J612" s="17">
        <v>2.2000000000000002</v>
      </c>
      <c r="K612" s="17">
        <f t="shared" si="28"/>
        <v>974</v>
      </c>
      <c r="L612" s="17">
        <f t="shared" si="29"/>
        <v>978</v>
      </c>
      <c r="M612" s="17">
        <v>0</v>
      </c>
      <c r="N612" s="17">
        <v>50</v>
      </c>
      <c r="O612" s="17">
        <v>0</v>
      </c>
    </row>
    <row r="613" spans="1:15" x14ac:dyDescent="0.2">
      <c r="A613" t="s">
        <v>1661</v>
      </c>
      <c r="B613">
        <v>976</v>
      </c>
      <c r="C613" t="s">
        <v>60</v>
      </c>
      <c r="D613" t="s">
        <v>61</v>
      </c>
      <c r="E613" t="s">
        <v>1647</v>
      </c>
      <c r="F613" t="s">
        <v>111</v>
      </c>
      <c r="G613" s="17">
        <v>0</v>
      </c>
      <c r="H613" s="17" t="str">
        <f t="shared" si="27"/>
        <v>350</v>
      </c>
      <c r="I613" s="17">
        <v>1.2</v>
      </c>
      <c r="J613" s="17">
        <v>2.2000000000000002</v>
      </c>
      <c r="K613" s="17">
        <f t="shared" si="28"/>
        <v>974</v>
      </c>
      <c r="L613" s="17">
        <f t="shared" si="29"/>
        <v>978</v>
      </c>
      <c r="M613" s="17">
        <v>0</v>
      </c>
      <c r="N613" s="17">
        <v>50</v>
      </c>
      <c r="O613" s="17">
        <v>0</v>
      </c>
    </row>
    <row r="614" spans="1:15" x14ac:dyDescent="0.2">
      <c r="A614" t="s">
        <v>1663</v>
      </c>
      <c r="B614">
        <v>976</v>
      </c>
      <c r="C614" t="s">
        <v>60</v>
      </c>
      <c r="D614" t="s">
        <v>61</v>
      </c>
      <c r="E614" t="s">
        <v>1647</v>
      </c>
      <c r="G614" s="17">
        <v>0</v>
      </c>
      <c r="H614" s="17" t="str">
        <f t="shared" si="27"/>
        <v>350</v>
      </c>
      <c r="I614" s="17">
        <v>1.2</v>
      </c>
      <c r="J614" s="17">
        <v>2.2000000000000002</v>
      </c>
      <c r="K614" s="17">
        <f t="shared" si="28"/>
        <v>974</v>
      </c>
      <c r="L614" s="17">
        <f t="shared" si="29"/>
        <v>978</v>
      </c>
      <c r="M614" s="17">
        <v>0</v>
      </c>
      <c r="N614" s="17">
        <v>50</v>
      </c>
      <c r="O614" s="17">
        <v>0</v>
      </c>
    </row>
    <row r="615" spans="1:15" x14ac:dyDescent="0.2">
      <c r="A615" t="s">
        <v>1665</v>
      </c>
      <c r="B615">
        <v>976</v>
      </c>
      <c r="C615" t="s">
        <v>60</v>
      </c>
      <c r="D615" t="s">
        <v>156</v>
      </c>
      <c r="E615" t="s">
        <v>1666</v>
      </c>
      <c r="G615" s="17">
        <v>0</v>
      </c>
      <c r="H615" s="17" t="str">
        <f t="shared" si="27"/>
        <v>200</v>
      </c>
      <c r="I615" s="17">
        <v>1.2</v>
      </c>
      <c r="J615" s="17">
        <v>2.2000000000000002</v>
      </c>
      <c r="K615" s="17">
        <f t="shared" si="28"/>
        <v>974</v>
      </c>
      <c r="L615" s="17">
        <f t="shared" si="29"/>
        <v>978</v>
      </c>
      <c r="M615" s="17">
        <v>0</v>
      </c>
      <c r="N615" s="17">
        <v>50</v>
      </c>
      <c r="O615" s="17">
        <v>0</v>
      </c>
    </row>
    <row r="616" spans="1:15" x14ac:dyDescent="0.2">
      <c r="A616" t="s">
        <v>1670</v>
      </c>
      <c r="B616">
        <v>976</v>
      </c>
      <c r="C616" t="s">
        <v>60</v>
      </c>
      <c r="D616" t="s">
        <v>156</v>
      </c>
      <c r="E616" t="s">
        <v>1671</v>
      </c>
      <c r="G616" s="17">
        <v>0</v>
      </c>
      <c r="H616" s="17" t="str">
        <f t="shared" si="27"/>
        <v>100</v>
      </c>
      <c r="I616" s="17">
        <v>1.2</v>
      </c>
      <c r="J616" s="17">
        <v>2.2000000000000002</v>
      </c>
      <c r="K616" s="17">
        <f t="shared" si="28"/>
        <v>974</v>
      </c>
      <c r="L616" s="17">
        <f t="shared" si="29"/>
        <v>978</v>
      </c>
      <c r="M616" s="17">
        <v>0</v>
      </c>
      <c r="N616" s="17">
        <v>50</v>
      </c>
      <c r="O616" s="17">
        <v>0</v>
      </c>
    </row>
    <row r="617" spans="1:15" x14ac:dyDescent="0.2">
      <c r="A617" t="s">
        <v>1675</v>
      </c>
      <c r="B617">
        <v>976</v>
      </c>
      <c r="C617" t="s">
        <v>60</v>
      </c>
      <c r="D617" t="s">
        <v>156</v>
      </c>
      <c r="E617" t="s">
        <v>1676</v>
      </c>
      <c r="G617" s="17">
        <v>0</v>
      </c>
      <c r="H617" s="17" t="str">
        <f t="shared" si="27"/>
        <v>20</v>
      </c>
      <c r="I617" s="17">
        <v>1.2</v>
      </c>
      <c r="J617" s="17">
        <v>2.2000000000000002</v>
      </c>
      <c r="K617" s="17">
        <f t="shared" si="28"/>
        <v>974</v>
      </c>
      <c r="L617" s="17">
        <f t="shared" si="29"/>
        <v>978</v>
      </c>
      <c r="M617" s="17">
        <v>0</v>
      </c>
      <c r="N617" s="17">
        <v>50</v>
      </c>
      <c r="O617" s="17">
        <v>0</v>
      </c>
    </row>
    <row r="618" spans="1:15" x14ac:dyDescent="0.2">
      <c r="A618" t="s">
        <v>1680</v>
      </c>
      <c r="B618">
        <v>976</v>
      </c>
      <c r="C618" t="s">
        <v>60</v>
      </c>
      <c r="D618" t="s">
        <v>156</v>
      </c>
      <c r="E618" t="s">
        <v>1666</v>
      </c>
      <c r="G618" s="17">
        <v>0</v>
      </c>
      <c r="H618" s="17" t="str">
        <f t="shared" si="27"/>
        <v>200</v>
      </c>
      <c r="I618" s="17">
        <v>1.2</v>
      </c>
      <c r="J618" s="17">
        <v>2.2000000000000002</v>
      </c>
      <c r="K618" s="17">
        <f t="shared" si="28"/>
        <v>974</v>
      </c>
      <c r="L618" s="17">
        <f t="shared" si="29"/>
        <v>978</v>
      </c>
      <c r="M618" s="17">
        <v>0</v>
      </c>
      <c r="N618" s="17">
        <v>50</v>
      </c>
      <c r="O618" s="17">
        <v>0</v>
      </c>
    </row>
    <row r="619" spans="1:15" x14ac:dyDescent="0.2">
      <c r="A619" t="s">
        <v>1682</v>
      </c>
      <c r="B619">
        <v>976</v>
      </c>
      <c r="C619" t="s">
        <v>60</v>
      </c>
      <c r="D619" t="s">
        <v>156</v>
      </c>
      <c r="E619" t="s">
        <v>1666</v>
      </c>
      <c r="G619" s="17">
        <v>0</v>
      </c>
      <c r="H619" s="17" t="str">
        <f t="shared" si="27"/>
        <v>200</v>
      </c>
      <c r="I619" s="17">
        <v>1.2</v>
      </c>
      <c r="J619" s="17">
        <v>2.2000000000000002</v>
      </c>
      <c r="K619" s="17">
        <f t="shared" si="28"/>
        <v>974</v>
      </c>
      <c r="L619" s="17">
        <f t="shared" si="29"/>
        <v>978</v>
      </c>
      <c r="M619" s="17">
        <v>0</v>
      </c>
      <c r="N619" s="17">
        <v>50</v>
      </c>
      <c r="O619" s="17">
        <v>0</v>
      </c>
    </row>
    <row r="620" spans="1:15" x14ac:dyDescent="0.2">
      <c r="A620" t="s">
        <v>1684</v>
      </c>
      <c r="B620">
        <v>976</v>
      </c>
      <c r="C620" t="s">
        <v>60</v>
      </c>
      <c r="D620" t="s">
        <v>156</v>
      </c>
      <c r="E620" t="s">
        <v>1671</v>
      </c>
      <c r="F620" t="s">
        <v>111</v>
      </c>
      <c r="G620" s="17">
        <v>0</v>
      </c>
      <c r="H620" s="17" t="str">
        <f t="shared" si="27"/>
        <v>100</v>
      </c>
      <c r="I620" s="17">
        <v>1.2</v>
      </c>
      <c r="J620" s="17">
        <v>2.2000000000000002</v>
      </c>
      <c r="K620" s="17">
        <f t="shared" si="28"/>
        <v>974</v>
      </c>
      <c r="L620" s="17">
        <f t="shared" si="29"/>
        <v>978</v>
      </c>
      <c r="M620" s="17">
        <v>0</v>
      </c>
      <c r="N620" s="17">
        <v>50</v>
      </c>
      <c r="O620" s="17">
        <v>0</v>
      </c>
    </row>
    <row r="621" spans="1:15" x14ac:dyDescent="0.2">
      <c r="A621" t="s">
        <v>1686</v>
      </c>
      <c r="B621">
        <v>976</v>
      </c>
      <c r="C621" t="s">
        <v>60</v>
      </c>
      <c r="D621" t="s">
        <v>156</v>
      </c>
      <c r="E621" t="s">
        <v>1676</v>
      </c>
      <c r="F621" t="s">
        <v>111</v>
      </c>
      <c r="G621" s="17">
        <v>0</v>
      </c>
      <c r="H621" s="17" t="str">
        <f t="shared" si="27"/>
        <v>20</v>
      </c>
      <c r="I621" s="17">
        <v>1.2</v>
      </c>
      <c r="J621" s="17">
        <v>2.2000000000000002</v>
      </c>
      <c r="K621" s="17">
        <f t="shared" si="28"/>
        <v>974</v>
      </c>
      <c r="L621" s="17">
        <f t="shared" si="29"/>
        <v>978</v>
      </c>
      <c r="M621" s="17">
        <v>0</v>
      </c>
      <c r="N621" s="17">
        <v>50</v>
      </c>
      <c r="O621" s="17">
        <v>0</v>
      </c>
    </row>
    <row r="622" spans="1:15" x14ac:dyDescent="0.2">
      <c r="A622" t="s">
        <v>1688</v>
      </c>
      <c r="B622">
        <v>976</v>
      </c>
      <c r="C622" t="s">
        <v>60</v>
      </c>
      <c r="D622" t="s">
        <v>156</v>
      </c>
      <c r="E622" t="s">
        <v>1666</v>
      </c>
      <c r="F622" t="s">
        <v>111</v>
      </c>
      <c r="G622" s="17">
        <v>0</v>
      </c>
      <c r="H622" s="17" t="str">
        <f t="shared" si="27"/>
        <v>200</v>
      </c>
      <c r="I622" s="17">
        <v>1.2</v>
      </c>
      <c r="J622" s="17">
        <v>2.2000000000000002</v>
      </c>
      <c r="K622" s="17">
        <f t="shared" si="28"/>
        <v>974</v>
      </c>
      <c r="L622" s="17">
        <f t="shared" si="29"/>
        <v>978</v>
      </c>
      <c r="M622" s="17">
        <v>0</v>
      </c>
      <c r="N622" s="17">
        <v>50</v>
      </c>
      <c r="O622" s="17">
        <v>0</v>
      </c>
    </row>
    <row r="623" spans="1:15" x14ac:dyDescent="0.2">
      <c r="A623" t="s">
        <v>1690</v>
      </c>
      <c r="B623">
        <v>976</v>
      </c>
      <c r="C623" t="s">
        <v>60</v>
      </c>
      <c r="D623" t="s">
        <v>156</v>
      </c>
      <c r="E623" t="s">
        <v>1666</v>
      </c>
      <c r="F623" t="s">
        <v>111</v>
      </c>
      <c r="G623" s="17">
        <v>0</v>
      </c>
      <c r="H623" s="17" t="str">
        <f t="shared" si="27"/>
        <v>200</v>
      </c>
      <c r="I623" s="17">
        <v>1.2</v>
      </c>
      <c r="J623" s="17">
        <v>2.2000000000000002</v>
      </c>
      <c r="K623" s="17">
        <f t="shared" si="28"/>
        <v>974</v>
      </c>
      <c r="L623" s="17">
        <f t="shared" si="29"/>
        <v>978</v>
      </c>
      <c r="M623" s="17">
        <v>0</v>
      </c>
      <c r="N623" s="17">
        <v>50</v>
      </c>
      <c r="O623" s="17">
        <v>0</v>
      </c>
    </row>
    <row r="624" spans="1:15" x14ac:dyDescent="0.2">
      <c r="A624" t="s">
        <v>1692</v>
      </c>
      <c r="B624">
        <v>976</v>
      </c>
      <c r="C624" t="s">
        <v>60</v>
      </c>
      <c r="D624" t="s">
        <v>156</v>
      </c>
      <c r="E624" t="s">
        <v>1666</v>
      </c>
      <c r="F624" t="s">
        <v>111</v>
      </c>
      <c r="G624" s="17">
        <v>0</v>
      </c>
      <c r="H624" s="17" t="str">
        <f t="shared" si="27"/>
        <v>200</v>
      </c>
      <c r="I624" s="17">
        <v>1.2</v>
      </c>
      <c r="J624" s="17">
        <v>2.2000000000000002</v>
      </c>
      <c r="K624" s="17">
        <f t="shared" si="28"/>
        <v>974</v>
      </c>
      <c r="L624" s="17">
        <f t="shared" si="29"/>
        <v>978</v>
      </c>
      <c r="M624" s="17">
        <v>0</v>
      </c>
      <c r="N624" s="17">
        <v>50</v>
      </c>
      <c r="O624" s="17">
        <v>0</v>
      </c>
    </row>
    <row r="625" spans="1:15" x14ac:dyDescent="0.2">
      <c r="A625" t="s">
        <v>1694</v>
      </c>
      <c r="B625">
        <v>976</v>
      </c>
      <c r="C625" t="s">
        <v>60</v>
      </c>
      <c r="D625" t="s">
        <v>156</v>
      </c>
      <c r="E625" t="s">
        <v>1666</v>
      </c>
      <c r="F625" t="s">
        <v>111</v>
      </c>
      <c r="G625" s="17">
        <v>0</v>
      </c>
      <c r="H625" s="17" t="str">
        <f t="shared" si="27"/>
        <v>200</v>
      </c>
      <c r="I625" s="17">
        <v>1.2</v>
      </c>
      <c r="J625" s="17">
        <v>2.2000000000000002</v>
      </c>
      <c r="K625" s="17">
        <f t="shared" si="28"/>
        <v>974</v>
      </c>
      <c r="L625" s="17">
        <f t="shared" si="29"/>
        <v>978</v>
      </c>
      <c r="M625" s="17">
        <v>0</v>
      </c>
      <c r="N625" s="17">
        <v>50</v>
      </c>
      <c r="O625" s="17">
        <v>0</v>
      </c>
    </row>
    <row r="626" spans="1:15" x14ac:dyDescent="0.2">
      <c r="A626" t="s">
        <v>1696</v>
      </c>
      <c r="B626">
        <v>976</v>
      </c>
      <c r="C626" t="s">
        <v>60</v>
      </c>
      <c r="D626" t="s">
        <v>61</v>
      </c>
      <c r="E626" t="s">
        <v>1647</v>
      </c>
      <c r="G626" s="17">
        <v>0</v>
      </c>
      <c r="H626" s="17" t="str">
        <f t="shared" si="27"/>
        <v>350</v>
      </c>
      <c r="I626" s="17">
        <v>1.2</v>
      </c>
      <c r="J626" s="17">
        <v>2.2000000000000002</v>
      </c>
      <c r="K626" s="17">
        <f t="shared" si="28"/>
        <v>974</v>
      </c>
      <c r="L626" s="17">
        <f t="shared" si="29"/>
        <v>978</v>
      </c>
      <c r="M626" s="17">
        <v>0</v>
      </c>
      <c r="N626" s="17">
        <v>50</v>
      </c>
      <c r="O626" s="17">
        <v>0</v>
      </c>
    </row>
    <row r="627" spans="1:15" x14ac:dyDescent="0.2">
      <c r="A627" t="s">
        <v>1698</v>
      </c>
      <c r="B627">
        <v>976</v>
      </c>
      <c r="C627" t="s">
        <v>60</v>
      </c>
      <c r="D627" t="s">
        <v>61</v>
      </c>
      <c r="E627" t="s">
        <v>1647</v>
      </c>
      <c r="F627" t="s">
        <v>111</v>
      </c>
      <c r="G627" s="17">
        <v>0</v>
      </c>
      <c r="H627" s="17" t="str">
        <f t="shared" si="27"/>
        <v>350</v>
      </c>
      <c r="I627" s="17">
        <v>1.2</v>
      </c>
      <c r="J627" s="17">
        <v>2.2000000000000002</v>
      </c>
      <c r="K627" s="17">
        <f t="shared" si="28"/>
        <v>974</v>
      </c>
      <c r="L627" s="17">
        <f t="shared" si="29"/>
        <v>978</v>
      </c>
      <c r="M627" s="17">
        <v>0</v>
      </c>
      <c r="N627" s="17">
        <v>50</v>
      </c>
      <c r="O627" s="17">
        <v>0</v>
      </c>
    </row>
    <row r="628" spans="1:15" x14ac:dyDescent="0.2">
      <c r="A628" t="s">
        <v>1700</v>
      </c>
      <c r="B628">
        <v>976</v>
      </c>
      <c r="C628" t="s">
        <v>60</v>
      </c>
      <c r="D628" t="s">
        <v>156</v>
      </c>
      <c r="E628" t="s">
        <v>1666</v>
      </c>
      <c r="G628" s="17">
        <v>0</v>
      </c>
      <c r="H628" s="17" t="str">
        <f t="shared" si="27"/>
        <v>200</v>
      </c>
      <c r="I628" s="17">
        <v>1.2</v>
      </c>
      <c r="J628" s="17">
        <v>2.2000000000000002</v>
      </c>
      <c r="K628" s="17">
        <f t="shared" si="28"/>
        <v>974</v>
      </c>
      <c r="L628" s="17">
        <f t="shared" si="29"/>
        <v>978</v>
      </c>
      <c r="M628" s="17">
        <v>0</v>
      </c>
      <c r="N628" s="17">
        <v>50</v>
      </c>
      <c r="O628" s="17">
        <v>0</v>
      </c>
    </row>
    <row r="629" spans="1:15" x14ac:dyDescent="0.2">
      <c r="A629" t="s">
        <v>1702</v>
      </c>
      <c r="B629">
        <v>976</v>
      </c>
      <c r="C629" t="s">
        <v>60</v>
      </c>
      <c r="D629" t="s">
        <v>156</v>
      </c>
      <c r="E629" t="s">
        <v>1666</v>
      </c>
      <c r="G629" s="17">
        <v>0</v>
      </c>
      <c r="H629" s="17" t="str">
        <f t="shared" si="27"/>
        <v>200</v>
      </c>
      <c r="I629" s="17">
        <v>1.2</v>
      </c>
      <c r="J629" s="17">
        <v>2.2000000000000002</v>
      </c>
      <c r="K629" s="17">
        <f t="shared" si="28"/>
        <v>974</v>
      </c>
      <c r="L629" s="17">
        <f t="shared" si="29"/>
        <v>978</v>
      </c>
      <c r="M629" s="17">
        <v>0</v>
      </c>
      <c r="N629" s="17">
        <v>50</v>
      </c>
      <c r="O629" s="17">
        <v>0</v>
      </c>
    </row>
    <row r="630" spans="1:15" x14ac:dyDescent="0.2">
      <c r="A630" t="s">
        <v>1704</v>
      </c>
      <c r="B630" t="s">
        <v>1636</v>
      </c>
      <c r="C630" t="s">
        <v>60</v>
      </c>
      <c r="D630" t="s">
        <v>612</v>
      </c>
      <c r="E630" t="s">
        <v>613</v>
      </c>
      <c r="F630" t="s">
        <v>159</v>
      </c>
      <c r="G630" s="17">
        <v>0</v>
      </c>
      <c r="H630" s="17" t="str">
        <f t="shared" si="27"/>
        <v>30</v>
      </c>
      <c r="I630" s="17">
        <v>1.2</v>
      </c>
      <c r="J630" s="17">
        <v>2.2000000000000002</v>
      </c>
      <c r="K630" s="17">
        <f t="shared" si="28"/>
        <v>850.34699999999998</v>
      </c>
      <c r="L630" s="17">
        <f t="shared" si="29"/>
        <v>854.34699999999998</v>
      </c>
      <c r="M630" s="17">
        <v>0</v>
      </c>
      <c r="N630" s="17">
        <v>50</v>
      </c>
      <c r="O630" s="17">
        <v>0</v>
      </c>
    </row>
    <row r="631" spans="1:15" x14ac:dyDescent="0.2">
      <c r="A631" t="s">
        <v>1706</v>
      </c>
      <c r="B631" t="s">
        <v>1636</v>
      </c>
      <c r="C631" t="s">
        <v>60</v>
      </c>
      <c r="D631" t="s">
        <v>156</v>
      </c>
      <c r="E631" t="s">
        <v>89</v>
      </c>
      <c r="F631" t="s">
        <v>159</v>
      </c>
      <c r="G631" s="17">
        <v>0</v>
      </c>
      <c r="H631" s="17" t="str">
        <f t="shared" si="27"/>
        <v>80</v>
      </c>
      <c r="I631" s="17">
        <v>1.2</v>
      </c>
      <c r="J631" s="17">
        <v>2.2000000000000002</v>
      </c>
      <c r="K631" s="17">
        <f t="shared" si="28"/>
        <v>850.34699999999998</v>
      </c>
      <c r="L631" s="17">
        <f t="shared" si="29"/>
        <v>854.34699999999998</v>
      </c>
      <c r="M631" s="17">
        <v>0</v>
      </c>
      <c r="N631" s="17">
        <v>50</v>
      </c>
      <c r="O631" s="17">
        <v>0</v>
      </c>
    </row>
    <row r="632" spans="1:15" x14ac:dyDescent="0.2">
      <c r="A632" t="s">
        <v>1708</v>
      </c>
      <c r="B632">
        <v>1036</v>
      </c>
      <c r="C632" t="s">
        <v>60</v>
      </c>
      <c r="D632" t="s">
        <v>156</v>
      </c>
      <c r="E632" t="s">
        <v>157</v>
      </c>
      <c r="G632" s="17">
        <v>0</v>
      </c>
      <c r="H632" s="17" t="str">
        <f t="shared" si="27"/>
        <v>180</v>
      </c>
      <c r="I632" s="17">
        <v>1.2</v>
      </c>
      <c r="J632" s="17">
        <v>2.2000000000000002</v>
      </c>
      <c r="K632" s="17">
        <f t="shared" si="28"/>
        <v>1034</v>
      </c>
      <c r="L632" s="17">
        <f t="shared" si="29"/>
        <v>1038</v>
      </c>
      <c r="M632" s="17">
        <v>0</v>
      </c>
      <c r="N632" s="17">
        <v>50</v>
      </c>
      <c r="O632" s="17">
        <v>0</v>
      </c>
    </row>
    <row r="633" spans="1:15" x14ac:dyDescent="0.2">
      <c r="A633" t="s">
        <v>1710</v>
      </c>
      <c r="B633">
        <v>1036</v>
      </c>
      <c r="C633" t="s">
        <v>60</v>
      </c>
      <c r="D633" t="s">
        <v>156</v>
      </c>
      <c r="E633" t="s">
        <v>1711</v>
      </c>
      <c r="G633" s="17">
        <v>0</v>
      </c>
      <c r="H633" s="17" t="str">
        <f t="shared" si="27"/>
        <v>90</v>
      </c>
      <c r="I633" s="17">
        <v>1.2</v>
      </c>
      <c r="J633" s="17">
        <v>2.2000000000000002</v>
      </c>
      <c r="K633" s="17">
        <f t="shared" si="28"/>
        <v>1034</v>
      </c>
      <c r="L633" s="17">
        <f t="shared" si="29"/>
        <v>1038</v>
      </c>
      <c r="M633" s="17">
        <v>0</v>
      </c>
      <c r="N633" s="17">
        <v>50</v>
      </c>
      <c r="O633" s="17">
        <v>0</v>
      </c>
    </row>
    <row r="634" spans="1:15" x14ac:dyDescent="0.2">
      <c r="A634" t="s">
        <v>1715</v>
      </c>
      <c r="B634">
        <v>1036</v>
      </c>
      <c r="C634" t="s">
        <v>60</v>
      </c>
      <c r="D634" t="s">
        <v>156</v>
      </c>
      <c r="E634" t="s">
        <v>1716</v>
      </c>
      <c r="G634" s="17">
        <v>0</v>
      </c>
      <c r="H634" s="17" t="str">
        <f t="shared" si="27"/>
        <v>80</v>
      </c>
      <c r="I634" s="17">
        <v>1.2</v>
      </c>
      <c r="J634" s="17">
        <v>2.2000000000000002</v>
      </c>
      <c r="K634" s="17">
        <f t="shared" si="28"/>
        <v>1034</v>
      </c>
      <c r="L634" s="17">
        <f t="shared" si="29"/>
        <v>1038</v>
      </c>
      <c r="M634" s="17">
        <v>0</v>
      </c>
      <c r="N634" s="17">
        <v>50</v>
      </c>
      <c r="O634" s="17">
        <v>0</v>
      </c>
    </row>
    <row r="635" spans="1:15" x14ac:dyDescent="0.2">
      <c r="A635" t="s">
        <v>1720</v>
      </c>
      <c r="B635">
        <v>1036</v>
      </c>
      <c r="C635" t="s">
        <v>60</v>
      </c>
      <c r="D635" t="s">
        <v>156</v>
      </c>
      <c r="E635" t="s">
        <v>157</v>
      </c>
      <c r="G635" s="17">
        <v>0</v>
      </c>
      <c r="H635" s="17" t="str">
        <f t="shared" si="27"/>
        <v>180</v>
      </c>
      <c r="I635" s="17">
        <v>1.2</v>
      </c>
      <c r="J635" s="17">
        <v>2.2000000000000002</v>
      </c>
      <c r="K635" s="17">
        <f t="shared" si="28"/>
        <v>1034</v>
      </c>
      <c r="L635" s="17">
        <f t="shared" si="29"/>
        <v>1038</v>
      </c>
      <c r="M635" s="17">
        <v>0</v>
      </c>
      <c r="N635" s="17">
        <v>50</v>
      </c>
      <c r="O635" s="17">
        <v>0</v>
      </c>
    </row>
    <row r="636" spans="1:15" x14ac:dyDescent="0.2">
      <c r="A636" t="s">
        <v>1722</v>
      </c>
      <c r="B636">
        <v>1036</v>
      </c>
      <c r="C636" t="s">
        <v>60</v>
      </c>
      <c r="D636" t="s">
        <v>156</v>
      </c>
      <c r="E636" t="s">
        <v>157</v>
      </c>
      <c r="G636" s="17">
        <v>0</v>
      </c>
      <c r="H636" s="17" t="str">
        <f t="shared" si="27"/>
        <v>180</v>
      </c>
      <c r="I636" s="17">
        <v>1.2</v>
      </c>
      <c r="J636" s="17">
        <v>2.2000000000000002</v>
      </c>
      <c r="K636" s="17">
        <f t="shared" si="28"/>
        <v>1034</v>
      </c>
      <c r="L636" s="17">
        <f t="shared" si="29"/>
        <v>1038</v>
      </c>
      <c r="M636" s="17">
        <v>0</v>
      </c>
      <c r="N636" s="17">
        <v>50</v>
      </c>
      <c r="O636" s="17">
        <v>0</v>
      </c>
    </row>
    <row r="637" spans="1:15" x14ac:dyDescent="0.2">
      <c r="A637" t="s">
        <v>1724</v>
      </c>
      <c r="B637">
        <v>1036</v>
      </c>
      <c r="C637" t="s">
        <v>60</v>
      </c>
      <c r="D637" t="s">
        <v>156</v>
      </c>
      <c r="E637" t="s">
        <v>1711</v>
      </c>
      <c r="F637" t="s">
        <v>111</v>
      </c>
      <c r="G637" s="17">
        <v>0</v>
      </c>
      <c r="H637" s="17" t="str">
        <f t="shared" si="27"/>
        <v>90</v>
      </c>
      <c r="I637" s="17">
        <v>1.2</v>
      </c>
      <c r="J637" s="17">
        <v>2.2000000000000002</v>
      </c>
      <c r="K637" s="17">
        <f t="shared" si="28"/>
        <v>1034</v>
      </c>
      <c r="L637" s="17">
        <f t="shared" si="29"/>
        <v>1038</v>
      </c>
      <c r="M637" s="17">
        <v>0</v>
      </c>
      <c r="N637" s="17">
        <v>50</v>
      </c>
      <c r="O637" s="17">
        <v>0</v>
      </c>
    </row>
    <row r="638" spans="1:15" x14ac:dyDescent="0.2">
      <c r="A638" t="s">
        <v>1726</v>
      </c>
      <c r="B638">
        <v>1036</v>
      </c>
      <c r="C638" t="s">
        <v>60</v>
      </c>
      <c r="D638" t="s">
        <v>156</v>
      </c>
      <c r="E638" t="s">
        <v>1716</v>
      </c>
      <c r="F638" t="s">
        <v>111</v>
      </c>
      <c r="G638" s="17">
        <v>0</v>
      </c>
      <c r="H638" s="17" t="str">
        <f t="shared" si="27"/>
        <v>80</v>
      </c>
      <c r="I638" s="17">
        <v>1.2</v>
      </c>
      <c r="J638" s="17">
        <v>2.2000000000000002</v>
      </c>
      <c r="K638" s="17">
        <f t="shared" si="28"/>
        <v>1034</v>
      </c>
      <c r="L638" s="17">
        <f t="shared" si="29"/>
        <v>1038</v>
      </c>
      <c r="M638" s="17">
        <v>0</v>
      </c>
      <c r="N638" s="17">
        <v>50</v>
      </c>
      <c r="O638" s="17">
        <v>0</v>
      </c>
    </row>
    <row r="639" spans="1:15" x14ac:dyDescent="0.2">
      <c r="A639" t="s">
        <v>1728</v>
      </c>
      <c r="B639">
        <v>1036</v>
      </c>
      <c r="C639" t="s">
        <v>60</v>
      </c>
      <c r="D639" t="s">
        <v>156</v>
      </c>
      <c r="E639" t="s">
        <v>157</v>
      </c>
      <c r="F639" t="s">
        <v>111</v>
      </c>
      <c r="G639" s="17">
        <v>0</v>
      </c>
      <c r="H639" s="17" t="str">
        <f t="shared" si="27"/>
        <v>180</v>
      </c>
      <c r="I639" s="17">
        <v>1.2</v>
      </c>
      <c r="J639" s="17">
        <v>2.2000000000000002</v>
      </c>
      <c r="K639" s="17">
        <f t="shared" si="28"/>
        <v>1034</v>
      </c>
      <c r="L639" s="17">
        <f t="shared" si="29"/>
        <v>1038</v>
      </c>
      <c r="M639" s="17">
        <v>0</v>
      </c>
      <c r="N639" s="17">
        <v>50</v>
      </c>
      <c r="O639" s="17">
        <v>0</v>
      </c>
    </row>
    <row r="640" spans="1:15" x14ac:dyDescent="0.2">
      <c r="A640" t="s">
        <v>1730</v>
      </c>
      <c r="B640">
        <v>1036</v>
      </c>
      <c r="C640" t="s">
        <v>60</v>
      </c>
      <c r="D640" t="s">
        <v>156</v>
      </c>
      <c r="E640" t="s">
        <v>157</v>
      </c>
      <c r="F640" t="s">
        <v>111</v>
      </c>
      <c r="G640" s="17">
        <v>0</v>
      </c>
      <c r="H640" s="17" t="str">
        <f t="shared" si="27"/>
        <v>180</v>
      </c>
      <c r="I640" s="17">
        <v>1.2</v>
      </c>
      <c r="J640" s="17">
        <v>2.2000000000000002</v>
      </c>
      <c r="K640" s="17">
        <f t="shared" si="28"/>
        <v>1034</v>
      </c>
      <c r="L640" s="17">
        <f t="shared" si="29"/>
        <v>1038</v>
      </c>
      <c r="M640" s="17">
        <v>0</v>
      </c>
      <c r="N640" s="17">
        <v>50</v>
      </c>
      <c r="O640" s="17">
        <v>0</v>
      </c>
    </row>
    <row r="641" spans="1:15" x14ac:dyDescent="0.2">
      <c r="A641" t="s">
        <v>1732</v>
      </c>
      <c r="B641">
        <v>1036</v>
      </c>
      <c r="C641" t="s">
        <v>60</v>
      </c>
      <c r="D641" t="s">
        <v>156</v>
      </c>
      <c r="E641" t="s">
        <v>157</v>
      </c>
      <c r="F641" t="s">
        <v>111</v>
      </c>
      <c r="G641" s="17">
        <v>0</v>
      </c>
      <c r="H641" s="17" t="str">
        <f t="shared" si="27"/>
        <v>180</v>
      </c>
      <c r="I641" s="17">
        <v>1.2</v>
      </c>
      <c r="J641" s="17">
        <v>2.2000000000000002</v>
      </c>
      <c r="K641" s="17">
        <f t="shared" si="28"/>
        <v>1034</v>
      </c>
      <c r="L641" s="17">
        <f t="shared" si="29"/>
        <v>1038</v>
      </c>
      <c r="M641" s="17">
        <v>0</v>
      </c>
      <c r="N641" s="17">
        <v>50</v>
      </c>
      <c r="O641" s="17">
        <v>0</v>
      </c>
    </row>
    <row r="642" spans="1:15" x14ac:dyDescent="0.2">
      <c r="A642" t="s">
        <v>1734</v>
      </c>
      <c r="B642">
        <v>1036</v>
      </c>
      <c r="C642" t="s">
        <v>60</v>
      </c>
      <c r="D642" t="s">
        <v>156</v>
      </c>
      <c r="E642" t="s">
        <v>157</v>
      </c>
      <c r="F642" t="s">
        <v>111</v>
      </c>
      <c r="G642" s="17">
        <v>0</v>
      </c>
      <c r="H642" s="17" t="str">
        <f t="shared" si="27"/>
        <v>180</v>
      </c>
      <c r="I642" s="17">
        <v>1.2</v>
      </c>
      <c r="J642" s="17">
        <v>2.2000000000000002</v>
      </c>
      <c r="K642" s="17">
        <f t="shared" si="28"/>
        <v>1034</v>
      </c>
      <c r="L642" s="17">
        <f t="shared" si="29"/>
        <v>1038</v>
      </c>
      <c r="M642" s="17">
        <v>0</v>
      </c>
      <c r="N642" s="17">
        <v>50</v>
      </c>
      <c r="O642" s="17">
        <v>0</v>
      </c>
    </row>
    <row r="643" spans="1:15" x14ac:dyDescent="0.2">
      <c r="A643" t="s">
        <v>1736</v>
      </c>
      <c r="B643">
        <v>1036</v>
      </c>
      <c r="C643" t="s">
        <v>60</v>
      </c>
      <c r="D643" t="s">
        <v>156</v>
      </c>
      <c r="E643" t="s">
        <v>157</v>
      </c>
      <c r="G643" s="17">
        <v>0</v>
      </c>
      <c r="H643" s="17" t="str">
        <f t="shared" ref="H643:H706" si="30">_xlfn.TEXTAFTER(E643,"-",1)</f>
        <v>180</v>
      </c>
      <c r="I643" s="17">
        <v>1.2</v>
      </c>
      <c r="J643" s="17">
        <v>2.2000000000000002</v>
      </c>
      <c r="K643" s="17">
        <f t="shared" ref="K643:K706" si="31">B643-2</f>
        <v>1034</v>
      </c>
      <c r="L643" s="17">
        <f t="shared" ref="L643:L706" si="32">B643+2</f>
        <v>1038</v>
      </c>
      <c r="M643" s="17">
        <v>0</v>
      </c>
      <c r="N643" s="17">
        <v>50</v>
      </c>
      <c r="O643" s="17">
        <v>0</v>
      </c>
    </row>
    <row r="644" spans="1:15" x14ac:dyDescent="0.2">
      <c r="A644" t="s">
        <v>1738</v>
      </c>
      <c r="B644">
        <v>1036</v>
      </c>
      <c r="C644" t="s">
        <v>60</v>
      </c>
      <c r="D644" t="s">
        <v>156</v>
      </c>
      <c r="E644" t="s">
        <v>157</v>
      </c>
      <c r="G644" s="17">
        <v>0</v>
      </c>
      <c r="H644" s="17" t="str">
        <f t="shared" si="30"/>
        <v>180</v>
      </c>
      <c r="I644" s="17">
        <v>1.2</v>
      </c>
      <c r="J644" s="17">
        <v>2.2000000000000002</v>
      </c>
      <c r="K644" s="17">
        <f t="shared" si="31"/>
        <v>1034</v>
      </c>
      <c r="L644" s="17">
        <f t="shared" si="32"/>
        <v>1038</v>
      </c>
      <c r="M644" s="17">
        <v>0</v>
      </c>
      <c r="N644" s="17">
        <v>50</v>
      </c>
      <c r="O644" s="17">
        <v>0</v>
      </c>
    </row>
    <row r="645" spans="1:15" x14ac:dyDescent="0.2">
      <c r="A645" t="s">
        <v>1740</v>
      </c>
      <c r="B645" t="s">
        <v>1741</v>
      </c>
      <c r="C645" t="s">
        <v>60</v>
      </c>
      <c r="D645" t="s">
        <v>61</v>
      </c>
      <c r="E645" t="s">
        <v>1212</v>
      </c>
      <c r="F645" t="s">
        <v>159</v>
      </c>
      <c r="G645" s="17">
        <v>0</v>
      </c>
      <c r="H645" s="17" t="str">
        <f t="shared" si="30"/>
        <v>240</v>
      </c>
      <c r="I645" s="17">
        <v>1.2</v>
      </c>
      <c r="J645" s="17">
        <v>2.2000000000000002</v>
      </c>
      <c r="K645" s="17">
        <f t="shared" si="31"/>
        <v>852.20899999999995</v>
      </c>
      <c r="L645" s="17">
        <f t="shared" si="32"/>
        <v>856.20899999999995</v>
      </c>
      <c r="M645" s="17">
        <v>0</v>
      </c>
      <c r="N645" s="17">
        <v>50</v>
      </c>
      <c r="O645" s="17">
        <v>0</v>
      </c>
    </row>
    <row r="646" spans="1:15" x14ac:dyDescent="0.2">
      <c r="A646" t="s">
        <v>1743</v>
      </c>
      <c r="B646">
        <v>1039</v>
      </c>
      <c r="C646" t="s">
        <v>60</v>
      </c>
      <c r="D646" t="s">
        <v>156</v>
      </c>
      <c r="E646" t="s">
        <v>157</v>
      </c>
      <c r="G646" s="17">
        <v>0</v>
      </c>
      <c r="H646" s="17" t="str">
        <f t="shared" si="30"/>
        <v>180</v>
      </c>
      <c r="I646" s="17">
        <v>1.2</v>
      </c>
      <c r="J646" s="17">
        <v>2.2000000000000002</v>
      </c>
      <c r="K646" s="17">
        <f t="shared" si="31"/>
        <v>1037</v>
      </c>
      <c r="L646" s="17">
        <f t="shared" si="32"/>
        <v>1041</v>
      </c>
      <c r="M646" s="17">
        <v>0</v>
      </c>
      <c r="N646" s="17">
        <v>50</v>
      </c>
      <c r="O646" s="17">
        <v>0</v>
      </c>
    </row>
    <row r="647" spans="1:15" x14ac:dyDescent="0.2">
      <c r="A647" t="s">
        <v>1745</v>
      </c>
      <c r="B647">
        <v>1039</v>
      </c>
      <c r="C647" t="s">
        <v>60</v>
      </c>
      <c r="D647" t="s">
        <v>156</v>
      </c>
      <c r="E647" t="s">
        <v>1711</v>
      </c>
      <c r="G647" s="17">
        <v>0</v>
      </c>
      <c r="H647" s="17" t="str">
        <f t="shared" si="30"/>
        <v>90</v>
      </c>
      <c r="I647" s="17">
        <v>1.2</v>
      </c>
      <c r="J647" s="17">
        <v>2.2000000000000002</v>
      </c>
      <c r="K647" s="17">
        <f t="shared" si="31"/>
        <v>1037</v>
      </c>
      <c r="L647" s="17">
        <f t="shared" si="32"/>
        <v>1041</v>
      </c>
      <c r="M647" s="17">
        <v>0</v>
      </c>
      <c r="N647" s="17">
        <v>50</v>
      </c>
      <c r="O647" s="17">
        <v>0</v>
      </c>
    </row>
    <row r="648" spans="1:15" x14ac:dyDescent="0.2">
      <c r="A648" t="s">
        <v>1747</v>
      </c>
      <c r="B648">
        <v>1039</v>
      </c>
      <c r="C648" t="s">
        <v>60</v>
      </c>
      <c r="D648" t="s">
        <v>156</v>
      </c>
      <c r="E648" t="s">
        <v>1716</v>
      </c>
      <c r="G648" s="17">
        <v>0</v>
      </c>
      <c r="H648" s="17" t="str">
        <f t="shared" si="30"/>
        <v>80</v>
      </c>
      <c r="I648" s="17">
        <v>1.2</v>
      </c>
      <c r="J648" s="17">
        <v>2.2000000000000002</v>
      </c>
      <c r="K648" s="17">
        <f t="shared" si="31"/>
        <v>1037</v>
      </c>
      <c r="L648" s="17">
        <f t="shared" si="32"/>
        <v>1041</v>
      </c>
      <c r="M648" s="17">
        <v>0</v>
      </c>
      <c r="N648" s="17">
        <v>50</v>
      </c>
      <c r="O648" s="17">
        <v>0</v>
      </c>
    </row>
    <row r="649" spans="1:15" x14ac:dyDescent="0.2">
      <c r="A649" t="s">
        <v>1749</v>
      </c>
      <c r="B649">
        <v>1039</v>
      </c>
      <c r="C649" t="s">
        <v>60</v>
      </c>
      <c r="D649" t="s">
        <v>156</v>
      </c>
      <c r="E649" t="s">
        <v>157</v>
      </c>
      <c r="G649" s="17">
        <v>0</v>
      </c>
      <c r="H649" s="17" t="str">
        <f t="shared" si="30"/>
        <v>180</v>
      </c>
      <c r="I649" s="17">
        <v>1.2</v>
      </c>
      <c r="J649" s="17">
        <v>2.2000000000000002</v>
      </c>
      <c r="K649" s="17">
        <f t="shared" si="31"/>
        <v>1037</v>
      </c>
      <c r="L649" s="17">
        <f t="shared" si="32"/>
        <v>1041</v>
      </c>
      <c r="M649" s="17">
        <v>0</v>
      </c>
      <c r="N649" s="17">
        <v>50</v>
      </c>
      <c r="O649" s="17">
        <v>0</v>
      </c>
    </row>
    <row r="650" spans="1:15" x14ac:dyDescent="0.2">
      <c r="A650" t="s">
        <v>1751</v>
      </c>
      <c r="B650">
        <v>1039</v>
      </c>
      <c r="C650" t="s">
        <v>60</v>
      </c>
      <c r="D650" t="s">
        <v>156</v>
      </c>
      <c r="E650" t="s">
        <v>157</v>
      </c>
      <c r="G650" s="17">
        <v>0</v>
      </c>
      <c r="H650" s="17" t="str">
        <f t="shared" si="30"/>
        <v>180</v>
      </c>
      <c r="I650" s="17">
        <v>1.2</v>
      </c>
      <c r="J650" s="17">
        <v>2.2000000000000002</v>
      </c>
      <c r="K650" s="17">
        <f t="shared" si="31"/>
        <v>1037</v>
      </c>
      <c r="L650" s="17">
        <f t="shared" si="32"/>
        <v>1041</v>
      </c>
      <c r="M650" s="17">
        <v>0</v>
      </c>
      <c r="N650" s="17">
        <v>50</v>
      </c>
      <c r="O650" s="17">
        <v>0</v>
      </c>
    </row>
    <row r="651" spans="1:15" x14ac:dyDescent="0.2">
      <c r="A651" t="s">
        <v>1753</v>
      </c>
      <c r="B651">
        <v>1039</v>
      </c>
      <c r="C651" t="s">
        <v>60</v>
      </c>
      <c r="D651" t="s">
        <v>156</v>
      </c>
      <c r="E651" t="s">
        <v>1711</v>
      </c>
      <c r="F651" t="s">
        <v>111</v>
      </c>
      <c r="G651" s="17">
        <v>0</v>
      </c>
      <c r="H651" s="17" t="str">
        <f t="shared" si="30"/>
        <v>90</v>
      </c>
      <c r="I651" s="17">
        <v>1.2</v>
      </c>
      <c r="J651" s="17">
        <v>2.2000000000000002</v>
      </c>
      <c r="K651" s="17">
        <f t="shared" si="31"/>
        <v>1037</v>
      </c>
      <c r="L651" s="17">
        <f t="shared" si="32"/>
        <v>1041</v>
      </c>
      <c r="M651" s="17">
        <v>0</v>
      </c>
      <c r="N651" s="17">
        <v>50</v>
      </c>
      <c r="O651" s="17">
        <v>0</v>
      </c>
    </row>
    <row r="652" spans="1:15" x14ac:dyDescent="0.2">
      <c r="A652" t="s">
        <v>1755</v>
      </c>
      <c r="B652">
        <v>1039</v>
      </c>
      <c r="C652" t="s">
        <v>60</v>
      </c>
      <c r="D652" t="s">
        <v>156</v>
      </c>
      <c r="E652" t="s">
        <v>1716</v>
      </c>
      <c r="F652" t="s">
        <v>111</v>
      </c>
      <c r="G652" s="17">
        <v>0</v>
      </c>
      <c r="H652" s="17" t="str">
        <f t="shared" si="30"/>
        <v>80</v>
      </c>
      <c r="I652" s="17">
        <v>1.2</v>
      </c>
      <c r="J652" s="17">
        <v>2.2000000000000002</v>
      </c>
      <c r="K652" s="17">
        <f t="shared" si="31"/>
        <v>1037</v>
      </c>
      <c r="L652" s="17">
        <f t="shared" si="32"/>
        <v>1041</v>
      </c>
      <c r="M652" s="17">
        <v>0</v>
      </c>
      <c r="N652" s="17">
        <v>50</v>
      </c>
      <c r="O652" s="17">
        <v>0</v>
      </c>
    </row>
    <row r="653" spans="1:15" x14ac:dyDescent="0.2">
      <c r="A653" t="s">
        <v>1757</v>
      </c>
      <c r="B653">
        <v>1039</v>
      </c>
      <c r="C653" t="s">
        <v>60</v>
      </c>
      <c r="D653" t="s">
        <v>156</v>
      </c>
      <c r="E653" t="s">
        <v>157</v>
      </c>
      <c r="F653" t="s">
        <v>111</v>
      </c>
      <c r="G653" s="17">
        <v>0</v>
      </c>
      <c r="H653" s="17" t="str">
        <f t="shared" si="30"/>
        <v>180</v>
      </c>
      <c r="I653" s="17">
        <v>1.2</v>
      </c>
      <c r="J653" s="17">
        <v>2.2000000000000002</v>
      </c>
      <c r="K653" s="17">
        <f t="shared" si="31"/>
        <v>1037</v>
      </c>
      <c r="L653" s="17">
        <f t="shared" si="32"/>
        <v>1041</v>
      </c>
      <c r="M653" s="17">
        <v>0</v>
      </c>
      <c r="N653" s="17">
        <v>50</v>
      </c>
      <c r="O653" s="17">
        <v>0</v>
      </c>
    </row>
    <row r="654" spans="1:15" x14ac:dyDescent="0.2">
      <c r="A654" t="s">
        <v>1759</v>
      </c>
      <c r="B654">
        <v>1039</v>
      </c>
      <c r="C654" t="s">
        <v>60</v>
      </c>
      <c r="D654" t="s">
        <v>156</v>
      </c>
      <c r="E654" t="s">
        <v>157</v>
      </c>
      <c r="F654" t="s">
        <v>111</v>
      </c>
      <c r="G654" s="17">
        <v>0</v>
      </c>
      <c r="H654" s="17" t="str">
        <f t="shared" si="30"/>
        <v>180</v>
      </c>
      <c r="I654" s="17">
        <v>1.2</v>
      </c>
      <c r="J654" s="17">
        <v>2.2000000000000002</v>
      </c>
      <c r="K654" s="17">
        <f t="shared" si="31"/>
        <v>1037</v>
      </c>
      <c r="L654" s="17">
        <f t="shared" si="32"/>
        <v>1041</v>
      </c>
      <c r="M654" s="17">
        <v>0</v>
      </c>
      <c r="N654" s="17">
        <v>50</v>
      </c>
      <c r="O654" s="17">
        <v>0</v>
      </c>
    </row>
    <row r="655" spans="1:15" x14ac:dyDescent="0.2">
      <c r="A655" t="s">
        <v>1761</v>
      </c>
      <c r="B655">
        <v>1039</v>
      </c>
      <c r="C655" t="s">
        <v>60</v>
      </c>
      <c r="D655" t="s">
        <v>156</v>
      </c>
      <c r="E655" t="s">
        <v>157</v>
      </c>
      <c r="F655" t="s">
        <v>111</v>
      </c>
      <c r="G655" s="17">
        <v>0</v>
      </c>
      <c r="H655" s="17" t="str">
        <f t="shared" si="30"/>
        <v>180</v>
      </c>
      <c r="I655" s="17">
        <v>1.2</v>
      </c>
      <c r="J655" s="17">
        <v>2.2000000000000002</v>
      </c>
      <c r="K655" s="17">
        <f t="shared" si="31"/>
        <v>1037</v>
      </c>
      <c r="L655" s="17">
        <f t="shared" si="32"/>
        <v>1041</v>
      </c>
      <c r="M655" s="17">
        <v>0</v>
      </c>
      <c r="N655" s="17">
        <v>50</v>
      </c>
      <c r="O655" s="17">
        <v>0</v>
      </c>
    </row>
    <row r="656" spans="1:15" x14ac:dyDescent="0.2">
      <c r="A656" t="s">
        <v>1763</v>
      </c>
      <c r="B656">
        <v>1039</v>
      </c>
      <c r="C656" t="s">
        <v>60</v>
      </c>
      <c r="D656" t="s">
        <v>156</v>
      </c>
      <c r="E656" t="s">
        <v>157</v>
      </c>
      <c r="F656" t="s">
        <v>111</v>
      </c>
      <c r="G656" s="17">
        <v>0</v>
      </c>
      <c r="H656" s="17" t="str">
        <f t="shared" si="30"/>
        <v>180</v>
      </c>
      <c r="I656" s="17">
        <v>1.2</v>
      </c>
      <c r="J656" s="17">
        <v>2.2000000000000002</v>
      </c>
      <c r="K656" s="17">
        <f t="shared" si="31"/>
        <v>1037</v>
      </c>
      <c r="L656" s="17">
        <f t="shared" si="32"/>
        <v>1041</v>
      </c>
      <c r="M656" s="17">
        <v>0</v>
      </c>
      <c r="N656" s="17">
        <v>50</v>
      </c>
      <c r="O656" s="17">
        <v>0</v>
      </c>
    </row>
    <row r="657" spans="1:15" x14ac:dyDescent="0.2">
      <c r="A657" t="s">
        <v>1765</v>
      </c>
      <c r="B657">
        <v>1039</v>
      </c>
      <c r="C657" t="s">
        <v>60</v>
      </c>
      <c r="D657" t="s">
        <v>156</v>
      </c>
      <c r="E657" t="s">
        <v>157</v>
      </c>
      <c r="G657" s="17">
        <v>0</v>
      </c>
      <c r="H657" s="17" t="str">
        <f t="shared" si="30"/>
        <v>180</v>
      </c>
      <c r="I657" s="17">
        <v>1.2</v>
      </c>
      <c r="J657" s="17">
        <v>2.2000000000000002</v>
      </c>
      <c r="K657" s="17">
        <f t="shared" si="31"/>
        <v>1037</v>
      </c>
      <c r="L657" s="17">
        <f t="shared" si="32"/>
        <v>1041</v>
      </c>
      <c r="M657" s="17">
        <v>0</v>
      </c>
      <c r="N657" s="17">
        <v>50</v>
      </c>
      <c r="O657" s="17">
        <v>0</v>
      </c>
    </row>
    <row r="658" spans="1:15" x14ac:dyDescent="0.2">
      <c r="A658" t="s">
        <v>1767</v>
      </c>
      <c r="B658">
        <v>1039</v>
      </c>
      <c r="C658" t="s">
        <v>60</v>
      </c>
      <c r="D658" t="s">
        <v>156</v>
      </c>
      <c r="E658" t="s">
        <v>157</v>
      </c>
      <c r="G658" s="17">
        <v>0</v>
      </c>
      <c r="H658" s="17" t="str">
        <f t="shared" si="30"/>
        <v>180</v>
      </c>
      <c r="I658" s="17">
        <v>1.2</v>
      </c>
      <c r="J658" s="17">
        <v>2.2000000000000002</v>
      </c>
      <c r="K658" s="17">
        <f t="shared" si="31"/>
        <v>1037</v>
      </c>
      <c r="L658" s="17">
        <f t="shared" si="32"/>
        <v>1041</v>
      </c>
      <c r="M658" s="17">
        <v>0</v>
      </c>
      <c r="N658" s="17">
        <v>50</v>
      </c>
      <c r="O658" s="17">
        <v>0</v>
      </c>
    </row>
    <row r="659" spans="1:15" x14ac:dyDescent="0.2">
      <c r="A659" t="s">
        <v>1769</v>
      </c>
      <c r="B659" t="s">
        <v>1770</v>
      </c>
      <c r="C659" t="s">
        <v>60</v>
      </c>
      <c r="D659" t="s">
        <v>61</v>
      </c>
      <c r="E659" t="s">
        <v>1212</v>
      </c>
      <c r="F659" t="s">
        <v>159</v>
      </c>
      <c r="G659" s="17">
        <v>0</v>
      </c>
      <c r="H659" s="17" t="str">
        <f t="shared" si="30"/>
        <v>240</v>
      </c>
      <c r="I659" s="17">
        <v>1.2</v>
      </c>
      <c r="J659" s="17">
        <v>2.2000000000000002</v>
      </c>
      <c r="K659" s="17">
        <f t="shared" si="31"/>
        <v>864.21400000000006</v>
      </c>
      <c r="L659" s="17">
        <f t="shared" si="32"/>
        <v>868.21400000000006</v>
      </c>
      <c r="M659" s="17">
        <v>0</v>
      </c>
      <c r="N659" s="17">
        <v>50</v>
      </c>
      <c r="O659" s="17">
        <v>0</v>
      </c>
    </row>
    <row r="660" spans="1:15" x14ac:dyDescent="0.2">
      <c r="A660" t="s">
        <v>1772</v>
      </c>
      <c r="B660">
        <v>1064</v>
      </c>
      <c r="C660" t="s">
        <v>60</v>
      </c>
      <c r="D660" t="s">
        <v>61</v>
      </c>
      <c r="E660" t="s">
        <v>1773</v>
      </c>
      <c r="G660" s="17">
        <v>0</v>
      </c>
      <c r="H660" s="17" t="str">
        <f t="shared" si="30"/>
        <v>180</v>
      </c>
      <c r="I660" s="17">
        <v>1.2</v>
      </c>
      <c r="J660" s="17">
        <v>2.2000000000000002</v>
      </c>
      <c r="K660" s="17">
        <f t="shared" si="31"/>
        <v>1062</v>
      </c>
      <c r="L660" s="17">
        <f t="shared" si="32"/>
        <v>1066</v>
      </c>
      <c r="M660" s="17">
        <v>0</v>
      </c>
      <c r="N660" s="17">
        <v>50</v>
      </c>
      <c r="O660" s="17">
        <v>0</v>
      </c>
    </row>
    <row r="661" spans="1:15" x14ac:dyDescent="0.2">
      <c r="A661" t="s">
        <v>1777</v>
      </c>
      <c r="B661">
        <v>1064</v>
      </c>
      <c r="C661" t="s">
        <v>60</v>
      </c>
      <c r="D661" t="s">
        <v>61</v>
      </c>
      <c r="E661" t="s">
        <v>1778</v>
      </c>
      <c r="G661" s="17">
        <v>0</v>
      </c>
      <c r="H661" s="17" t="str">
        <f t="shared" si="30"/>
        <v>120</v>
      </c>
      <c r="I661" s="17">
        <v>1.2</v>
      </c>
      <c r="J661" s="17">
        <v>2.2000000000000002</v>
      </c>
      <c r="K661" s="17">
        <f t="shared" si="31"/>
        <v>1062</v>
      </c>
      <c r="L661" s="17">
        <f t="shared" si="32"/>
        <v>1066</v>
      </c>
      <c r="M661" s="17">
        <v>0</v>
      </c>
      <c r="N661" s="17">
        <v>50</v>
      </c>
      <c r="O661" s="17">
        <v>0</v>
      </c>
    </row>
    <row r="662" spans="1:15" x14ac:dyDescent="0.2">
      <c r="A662" t="s">
        <v>1782</v>
      </c>
      <c r="B662">
        <v>1064</v>
      </c>
      <c r="C662" t="s">
        <v>60</v>
      </c>
      <c r="D662" t="s">
        <v>61</v>
      </c>
      <c r="E662" t="s">
        <v>253</v>
      </c>
      <c r="G662" s="17">
        <v>0</v>
      </c>
      <c r="H662" s="17" t="str">
        <f t="shared" si="30"/>
        <v>350</v>
      </c>
      <c r="I662" s="17">
        <v>1.2</v>
      </c>
      <c r="J662" s="17">
        <v>2.2000000000000002</v>
      </c>
      <c r="K662" s="17">
        <f t="shared" si="31"/>
        <v>1062</v>
      </c>
      <c r="L662" s="17">
        <f t="shared" si="32"/>
        <v>1066</v>
      </c>
      <c r="M662" s="17">
        <v>0</v>
      </c>
      <c r="N662" s="17">
        <v>50</v>
      </c>
      <c r="O662" s="17">
        <v>0</v>
      </c>
    </row>
    <row r="663" spans="1:15" x14ac:dyDescent="0.2">
      <c r="A663" t="s">
        <v>1784</v>
      </c>
      <c r="B663">
        <v>1064</v>
      </c>
      <c r="C663" t="s">
        <v>60</v>
      </c>
      <c r="D663" t="s">
        <v>61</v>
      </c>
      <c r="E663" t="s">
        <v>253</v>
      </c>
      <c r="G663" s="17">
        <v>0</v>
      </c>
      <c r="H663" s="17" t="str">
        <f t="shared" si="30"/>
        <v>350</v>
      </c>
      <c r="I663" s="17">
        <v>1.2</v>
      </c>
      <c r="J663" s="17">
        <v>2.2000000000000002</v>
      </c>
      <c r="K663" s="17">
        <f t="shared" si="31"/>
        <v>1062</v>
      </c>
      <c r="L663" s="17">
        <f t="shared" si="32"/>
        <v>1066</v>
      </c>
      <c r="M663" s="17">
        <v>0</v>
      </c>
      <c r="N663" s="17">
        <v>50</v>
      </c>
      <c r="O663" s="17">
        <v>0</v>
      </c>
    </row>
    <row r="664" spans="1:15" x14ac:dyDescent="0.2">
      <c r="A664" t="s">
        <v>1786</v>
      </c>
      <c r="B664">
        <v>1064</v>
      </c>
      <c r="C664" t="s">
        <v>60</v>
      </c>
      <c r="D664" t="s">
        <v>61</v>
      </c>
      <c r="E664" t="s">
        <v>1773</v>
      </c>
      <c r="F664" t="s">
        <v>111</v>
      </c>
      <c r="G664" s="17">
        <v>0</v>
      </c>
      <c r="H664" s="17" t="str">
        <f t="shared" si="30"/>
        <v>180</v>
      </c>
      <c r="I664" s="17">
        <v>1.2</v>
      </c>
      <c r="J664" s="17">
        <v>2.2000000000000002</v>
      </c>
      <c r="K664" s="17">
        <f t="shared" si="31"/>
        <v>1062</v>
      </c>
      <c r="L664" s="17">
        <f t="shared" si="32"/>
        <v>1066</v>
      </c>
      <c r="M664" s="17">
        <v>0</v>
      </c>
      <c r="N664" s="17">
        <v>50</v>
      </c>
      <c r="O664" s="17">
        <v>0</v>
      </c>
    </row>
    <row r="665" spans="1:15" x14ac:dyDescent="0.2">
      <c r="A665" t="s">
        <v>1788</v>
      </c>
      <c r="B665">
        <v>1064</v>
      </c>
      <c r="C665" t="s">
        <v>60</v>
      </c>
      <c r="D665" t="s">
        <v>61</v>
      </c>
      <c r="E665" t="s">
        <v>1778</v>
      </c>
      <c r="F665" t="s">
        <v>111</v>
      </c>
      <c r="G665" s="17">
        <v>0</v>
      </c>
      <c r="H665" s="17" t="str">
        <f t="shared" si="30"/>
        <v>120</v>
      </c>
      <c r="I665" s="17">
        <v>1.2</v>
      </c>
      <c r="J665" s="17">
        <v>2.2000000000000002</v>
      </c>
      <c r="K665" s="17">
        <f t="shared" si="31"/>
        <v>1062</v>
      </c>
      <c r="L665" s="17">
        <f t="shared" si="32"/>
        <v>1066</v>
      </c>
      <c r="M665" s="17">
        <v>0</v>
      </c>
      <c r="N665" s="17">
        <v>50</v>
      </c>
      <c r="O665" s="17">
        <v>0</v>
      </c>
    </row>
    <row r="666" spans="1:15" x14ac:dyDescent="0.2">
      <c r="A666" t="s">
        <v>1790</v>
      </c>
      <c r="B666">
        <v>1064</v>
      </c>
      <c r="C666" t="s">
        <v>60</v>
      </c>
      <c r="D666" t="s">
        <v>61</v>
      </c>
      <c r="E666" t="s">
        <v>253</v>
      </c>
      <c r="F666" t="s">
        <v>111</v>
      </c>
      <c r="G666" s="17">
        <v>0</v>
      </c>
      <c r="H666" s="17" t="str">
        <f t="shared" si="30"/>
        <v>350</v>
      </c>
      <c r="I666" s="17">
        <v>1.2</v>
      </c>
      <c r="J666" s="17">
        <v>2.2000000000000002</v>
      </c>
      <c r="K666" s="17">
        <f t="shared" si="31"/>
        <v>1062</v>
      </c>
      <c r="L666" s="17">
        <f t="shared" si="32"/>
        <v>1066</v>
      </c>
      <c r="M666" s="17">
        <v>0</v>
      </c>
      <c r="N666" s="17">
        <v>50</v>
      </c>
      <c r="O666" s="17">
        <v>0</v>
      </c>
    </row>
    <row r="667" spans="1:15" x14ac:dyDescent="0.2">
      <c r="A667" t="s">
        <v>1792</v>
      </c>
      <c r="B667">
        <v>1064</v>
      </c>
      <c r="C667" t="s">
        <v>60</v>
      </c>
      <c r="D667" t="s">
        <v>61</v>
      </c>
      <c r="E667" t="s">
        <v>253</v>
      </c>
      <c r="F667" t="s">
        <v>111</v>
      </c>
      <c r="G667" s="17">
        <v>0</v>
      </c>
      <c r="H667" s="17" t="str">
        <f t="shared" si="30"/>
        <v>350</v>
      </c>
      <c r="I667" s="17">
        <v>1.2</v>
      </c>
      <c r="J667" s="17">
        <v>2.2000000000000002</v>
      </c>
      <c r="K667" s="17">
        <f t="shared" si="31"/>
        <v>1062</v>
      </c>
      <c r="L667" s="17">
        <f t="shared" si="32"/>
        <v>1066</v>
      </c>
      <c r="M667" s="17">
        <v>0</v>
      </c>
      <c r="N667" s="17">
        <v>50</v>
      </c>
      <c r="O667" s="17">
        <v>0</v>
      </c>
    </row>
    <row r="668" spans="1:15" x14ac:dyDescent="0.2">
      <c r="A668" t="s">
        <v>1794</v>
      </c>
      <c r="B668">
        <v>1064</v>
      </c>
      <c r="C668" t="s">
        <v>60</v>
      </c>
      <c r="D668" t="s">
        <v>61</v>
      </c>
      <c r="E668" t="s">
        <v>253</v>
      </c>
      <c r="F668" t="s">
        <v>111</v>
      </c>
      <c r="G668" s="17">
        <v>0</v>
      </c>
      <c r="H668" s="17" t="str">
        <f t="shared" si="30"/>
        <v>350</v>
      </c>
      <c r="I668" s="17">
        <v>1.2</v>
      </c>
      <c r="J668" s="17">
        <v>2.2000000000000002</v>
      </c>
      <c r="K668" s="17">
        <f t="shared" si="31"/>
        <v>1062</v>
      </c>
      <c r="L668" s="17">
        <f t="shared" si="32"/>
        <v>1066</v>
      </c>
      <c r="M668" s="17">
        <v>0</v>
      </c>
      <c r="N668" s="17">
        <v>50</v>
      </c>
      <c r="O668" s="17">
        <v>0</v>
      </c>
    </row>
    <row r="669" spans="1:15" x14ac:dyDescent="0.2">
      <c r="A669" t="s">
        <v>1796</v>
      </c>
      <c r="B669">
        <v>1064</v>
      </c>
      <c r="C669" t="s">
        <v>60</v>
      </c>
      <c r="D669" t="s">
        <v>61</v>
      </c>
      <c r="E669" t="s">
        <v>253</v>
      </c>
      <c r="G669" s="17">
        <v>0</v>
      </c>
      <c r="H669" s="17" t="str">
        <f t="shared" si="30"/>
        <v>350</v>
      </c>
      <c r="I669" s="17">
        <v>1.2</v>
      </c>
      <c r="J669" s="17">
        <v>2.2000000000000002</v>
      </c>
      <c r="K669" s="17">
        <f t="shared" si="31"/>
        <v>1062</v>
      </c>
      <c r="L669" s="17">
        <f t="shared" si="32"/>
        <v>1066</v>
      </c>
      <c r="M669" s="17">
        <v>0</v>
      </c>
      <c r="N669" s="17">
        <v>50</v>
      </c>
      <c r="O669" s="17">
        <v>0</v>
      </c>
    </row>
    <row r="670" spans="1:15" x14ac:dyDescent="0.2">
      <c r="A670" t="s">
        <v>1798</v>
      </c>
      <c r="B670">
        <v>1064</v>
      </c>
      <c r="C670" t="s">
        <v>60</v>
      </c>
      <c r="D670" t="s">
        <v>156</v>
      </c>
      <c r="E670" t="s">
        <v>157</v>
      </c>
      <c r="G670" s="17">
        <v>0</v>
      </c>
      <c r="H670" s="17" t="str">
        <f t="shared" si="30"/>
        <v>180</v>
      </c>
      <c r="I670" s="17">
        <v>1.2</v>
      </c>
      <c r="J670" s="17">
        <v>2.2000000000000002</v>
      </c>
      <c r="K670" s="17">
        <f t="shared" si="31"/>
        <v>1062</v>
      </c>
      <c r="L670" s="17">
        <f t="shared" si="32"/>
        <v>1066</v>
      </c>
      <c r="M670" s="17">
        <v>0</v>
      </c>
      <c r="N670" s="17">
        <v>50</v>
      </c>
      <c r="O670" s="17">
        <v>0</v>
      </c>
    </row>
    <row r="671" spans="1:15" x14ac:dyDescent="0.2">
      <c r="A671" t="s">
        <v>1800</v>
      </c>
      <c r="B671">
        <v>1064</v>
      </c>
      <c r="C671" t="s">
        <v>60</v>
      </c>
      <c r="D671" t="s">
        <v>156</v>
      </c>
      <c r="E671" t="s">
        <v>1801</v>
      </c>
      <c r="G671" s="17">
        <v>0</v>
      </c>
      <c r="H671" s="17" t="str">
        <f t="shared" si="30"/>
        <v>50</v>
      </c>
      <c r="I671" s="17">
        <v>1.2</v>
      </c>
      <c r="J671" s="17">
        <v>2.2000000000000002</v>
      </c>
      <c r="K671" s="17">
        <f t="shared" si="31"/>
        <v>1062</v>
      </c>
      <c r="L671" s="17">
        <f t="shared" si="32"/>
        <v>1066</v>
      </c>
      <c r="M671" s="17">
        <v>0</v>
      </c>
      <c r="N671" s="17">
        <v>50</v>
      </c>
      <c r="O671" s="17">
        <v>0</v>
      </c>
    </row>
    <row r="672" spans="1:15" x14ac:dyDescent="0.2">
      <c r="A672" t="s">
        <v>1805</v>
      </c>
      <c r="B672">
        <v>1064</v>
      </c>
      <c r="C672" t="s">
        <v>60</v>
      </c>
      <c r="D672" t="s">
        <v>156</v>
      </c>
      <c r="E672" t="s">
        <v>1806</v>
      </c>
      <c r="G672" s="17">
        <v>0</v>
      </c>
      <c r="H672" s="17" t="str">
        <f t="shared" si="30"/>
        <v>35</v>
      </c>
      <c r="I672" s="17">
        <v>1.2</v>
      </c>
      <c r="J672" s="17">
        <v>2.2000000000000002</v>
      </c>
      <c r="K672" s="17">
        <f t="shared" si="31"/>
        <v>1062</v>
      </c>
      <c r="L672" s="17">
        <f t="shared" si="32"/>
        <v>1066</v>
      </c>
      <c r="M672" s="17">
        <v>0</v>
      </c>
      <c r="N672" s="17">
        <v>50</v>
      </c>
      <c r="O672" s="17">
        <v>0</v>
      </c>
    </row>
    <row r="673" spans="1:15" x14ac:dyDescent="0.2">
      <c r="A673" t="s">
        <v>1810</v>
      </c>
      <c r="B673">
        <v>1064</v>
      </c>
      <c r="C673" t="s">
        <v>60</v>
      </c>
      <c r="D673" t="s">
        <v>156</v>
      </c>
      <c r="E673" t="s">
        <v>157</v>
      </c>
      <c r="G673" s="17">
        <v>0</v>
      </c>
      <c r="H673" s="17" t="str">
        <f t="shared" si="30"/>
        <v>180</v>
      </c>
      <c r="I673" s="17">
        <v>1.2</v>
      </c>
      <c r="J673" s="17">
        <v>2.2000000000000002</v>
      </c>
      <c r="K673" s="17">
        <f t="shared" si="31"/>
        <v>1062</v>
      </c>
      <c r="L673" s="17">
        <f t="shared" si="32"/>
        <v>1066</v>
      </c>
      <c r="M673" s="17">
        <v>0</v>
      </c>
      <c r="N673" s="17">
        <v>50</v>
      </c>
      <c r="O673" s="17">
        <v>0</v>
      </c>
    </row>
    <row r="674" spans="1:15" x14ac:dyDescent="0.2">
      <c r="A674" t="s">
        <v>1812</v>
      </c>
      <c r="B674">
        <v>1064</v>
      </c>
      <c r="C674" t="s">
        <v>60</v>
      </c>
      <c r="D674" t="s">
        <v>156</v>
      </c>
      <c r="E674" t="s">
        <v>157</v>
      </c>
      <c r="G674" s="17">
        <v>0</v>
      </c>
      <c r="H674" s="17" t="str">
        <f t="shared" si="30"/>
        <v>180</v>
      </c>
      <c r="I674" s="17">
        <v>1.2</v>
      </c>
      <c r="J674" s="17">
        <v>2.2000000000000002</v>
      </c>
      <c r="K674" s="17">
        <f t="shared" si="31"/>
        <v>1062</v>
      </c>
      <c r="L674" s="17">
        <f t="shared" si="32"/>
        <v>1066</v>
      </c>
      <c r="M674" s="17">
        <v>0</v>
      </c>
      <c r="N674" s="17">
        <v>50</v>
      </c>
      <c r="O674" s="17">
        <v>0</v>
      </c>
    </row>
    <row r="675" spans="1:15" x14ac:dyDescent="0.2">
      <c r="A675" t="s">
        <v>1814</v>
      </c>
      <c r="B675">
        <v>1064</v>
      </c>
      <c r="C675" t="s">
        <v>60</v>
      </c>
      <c r="D675" t="s">
        <v>156</v>
      </c>
      <c r="E675" t="s">
        <v>157</v>
      </c>
      <c r="F675" t="s">
        <v>156</v>
      </c>
      <c r="G675" s="17">
        <v>0</v>
      </c>
      <c r="H675" s="17" t="str">
        <f t="shared" si="30"/>
        <v>180</v>
      </c>
      <c r="I675" s="17">
        <v>1.2</v>
      </c>
      <c r="J675" s="17">
        <v>2.2000000000000002</v>
      </c>
      <c r="K675" s="17">
        <f t="shared" si="31"/>
        <v>1062</v>
      </c>
      <c r="L675" s="17">
        <f t="shared" si="32"/>
        <v>1066</v>
      </c>
      <c r="M675" s="17">
        <v>0</v>
      </c>
      <c r="N675" s="17">
        <v>50</v>
      </c>
      <c r="O675" s="17">
        <v>0</v>
      </c>
    </row>
    <row r="676" spans="1:15" x14ac:dyDescent="0.2">
      <c r="A676" t="s">
        <v>1816</v>
      </c>
      <c r="B676">
        <v>1064</v>
      </c>
      <c r="C676" t="s">
        <v>60</v>
      </c>
      <c r="D676" t="s">
        <v>156</v>
      </c>
      <c r="E676" t="s">
        <v>157</v>
      </c>
      <c r="F676" t="s">
        <v>156</v>
      </c>
      <c r="G676" s="17">
        <v>0</v>
      </c>
      <c r="H676" s="17" t="str">
        <f t="shared" si="30"/>
        <v>180</v>
      </c>
      <c r="I676" s="17">
        <v>1.2</v>
      </c>
      <c r="J676" s="17">
        <v>2.2000000000000002</v>
      </c>
      <c r="K676" s="17">
        <f t="shared" si="31"/>
        <v>1062</v>
      </c>
      <c r="L676" s="17">
        <f t="shared" si="32"/>
        <v>1066</v>
      </c>
      <c r="M676" s="17">
        <v>0</v>
      </c>
      <c r="N676" s="17">
        <v>50</v>
      </c>
      <c r="O676" s="17">
        <v>0</v>
      </c>
    </row>
    <row r="677" spans="1:15" x14ac:dyDescent="0.2">
      <c r="A677" t="s">
        <v>1818</v>
      </c>
      <c r="B677">
        <v>1064</v>
      </c>
      <c r="C677" t="s">
        <v>60</v>
      </c>
      <c r="D677" t="s">
        <v>156</v>
      </c>
      <c r="E677" t="s">
        <v>157</v>
      </c>
      <c r="F677" t="s">
        <v>156</v>
      </c>
      <c r="G677" s="17">
        <v>0</v>
      </c>
      <c r="H677" s="17" t="str">
        <f t="shared" si="30"/>
        <v>180</v>
      </c>
      <c r="I677" s="17">
        <v>1.2</v>
      </c>
      <c r="J677" s="17">
        <v>2.2000000000000002</v>
      </c>
      <c r="K677" s="17">
        <f t="shared" si="31"/>
        <v>1062</v>
      </c>
      <c r="L677" s="17">
        <f t="shared" si="32"/>
        <v>1066</v>
      </c>
      <c r="M677" s="17">
        <v>0</v>
      </c>
      <c r="N677" s="17">
        <v>50</v>
      </c>
      <c r="O677" s="17">
        <v>0</v>
      </c>
    </row>
    <row r="678" spans="1:15" x14ac:dyDescent="0.2">
      <c r="A678" t="s">
        <v>1820</v>
      </c>
      <c r="B678">
        <v>1064</v>
      </c>
      <c r="C678" t="s">
        <v>60</v>
      </c>
      <c r="D678" t="s">
        <v>156</v>
      </c>
      <c r="E678" t="s">
        <v>157</v>
      </c>
      <c r="F678" t="s">
        <v>156</v>
      </c>
      <c r="G678" s="17">
        <v>0</v>
      </c>
      <c r="H678" s="17" t="str">
        <f t="shared" si="30"/>
        <v>180</v>
      </c>
      <c r="I678" s="17">
        <v>1.2</v>
      </c>
      <c r="J678" s="17">
        <v>2.2000000000000002</v>
      </c>
      <c r="K678" s="17">
        <f t="shared" si="31"/>
        <v>1062</v>
      </c>
      <c r="L678" s="17">
        <f t="shared" si="32"/>
        <v>1066</v>
      </c>
      <c r="M678" s="17">
        <v>0</v>
      </c>
      <c r="N678" s="17">
        <v>50</v>
      </c>
      <c r="O678" s="17">
        <v>0</v>
      </c>
    </row>
    <row r="679" spans="1:15" x14ac:dyDescent="0.2">
      <c r="A679" t="s">
        <v>1822</v>
      </c>
      <c r="B679">
        <v>1064</v>
      </c>
      <c r="C679" t="s">
        <v>60</v>
      </c>
      <c r="D679" t="s">
        <v>156</v>
      </c>
      <c r="E679" t="s">
        <v>1801</v>
      </c>
      <c r="F679" t="s">
        <v>111</v>
      </c>
      <c r="G679" s="17">
        <v>0</v>
      </c>
      <c r="H679" s="17" t="str">
        <f t="shared" si="30"/>
        <v>50</v>
      </c>
      <c r="I679" s="17">
        <v>1.2</v>
      </c>
      <c r="J679" s="17">
        <v>2.2000000000000002</v>
      </c>
      <c r="K679" s="17">
        <f t="shared" si="31"/>
        <v>1062</v>
      </c>
      <c r="L679" s="17">
        <f t="shared" si="32"/>
        <v>1066</v>
      </c>
      <c r="M679" s="17">
        <v>0</v>
      </c>
      <c r="N679" s="17">
        <v>50</v>
      </c>
      <c r="O679" s="17">
        <v>0</v>
      </c>
    </row>
    <row r="680" spans="1:15" x14ac:dyDescent="0.2">
      <c r="A680" t="s">
        <v>1824</v>
      </c>
      <c r="B680">
        <v>1064</v>
      </c>
      <c r="C680" t="s">
        <v>60</v>
      </c>
      <c r="D680" t="s">
        <v>156</v>
      </c>
      <c r="E680" t="s">
        <v>1806</v>
      </c>
      <c r="F680" t="s">
        <v>111</v>
      </c>
      <c r="G680" s="17">
        <v>0</v>
      </c>
      <c r="H680" s="17" t="str">
        <f t="shared" si="30"/>
        <v>35</v>
      </c>
      <c r="I680" s="17">
        <v>1.2</v>
      </c>
      <c r="J680" s="17">
        <v>2.2000000000000002</v>
      </c>
      <c r="K680" s="17">
        <f t="shared" si="31"/>
        <v>1062</v>
      </c>
      <c r="L680" s="17">
        <f t="shared" si="32"/>
        <v>1066</v>
      </c>
      <c r="M680" s="17">
        <v>0</v>
      </c>
      <c r="N680" s="17">
        <v>50</v>
      </c>
      <c r="O680" s="17">
        <v>0</v>
      </c>
    </row>
    <row r="681" spans="1:15" x14ac:dyDescent="0.2">
      <c r="A681" t="s">
        <v>1826</v>
      </c>
      <c r="B681">
        <v>1064</v>
      </c>
      <c r="C681" t="s">
        <v>60</v>
      </c>
      <c r="D681" t="s">
        <v>156</v>
      </c>
      <c r="E681" t="s">
        <v>157</v>
      </c>
      <c r="F681" t="s">
        <v>111</v>
      </c>
      <c r="G681" s="17">
        <v>0</v>
      </c>
      <c r="H681" s="17" t="str">
        <f t="shared" si="30"/>
        <v>180</v>
      </c>
      <c r="I681" s="17">
        <v>1.2</v>
      </c>
      <c r="J681" s="17">
        <v>2.2000000000000002</v>
      </c>
      <c r="K681" s="17">
        <f t="shared" si="31"/>
        <v>1062</v>
      </c>
      <c r="L681" s="17">
        <f t="shared" si="32"/>
        <v>1066</v>
      </c>
      <c r="M681" s="17">
        <v>0</v>
      </c>
      <c r="N681" s="17">
        <v>50</v>
      </c>
      <c r="O681" s="17">
        <v>0</v>
      </c>
    </row>
    <row r="682" spans="1:15" x14ac:dyDescent="0.2">
      <c r="A682" t="s">
        <v>1828</v>
      </c>
      <c r="B682">
        <v>1064</v>
      </c>
      <c r="C682" t="s">
        <v>60</v>
      </c>
      <c r="D682" t="s">
        <v>156</v>
      </c>
      <c r="E682" t="s">
        <v>157</v>
      </c>
      <c r="F682" t="s">
        <v>111</v>
      </c>
      <c r="G682" s="17">
        <v>0</v>
      </c>
      <c r="H682" s="17" t="str">
        <f t="shared" si="30"/>
        <v>180</v>
      </c>
      <c r="I682" s="17">
        <v>1.2</v>
      </c>
      <c r="J682" s="17">
        <v>2.2000000000000002</v>
      </c>
      <c r="K682" s="17">
        <f t="shared" si="31"/>
        <v>1062</v>
      </c>
      <c r="L682" s="17">
        <f t="shared" si="32"/>
        <v>1066</v>
      </c>
      <c r="M682" s="17">
        <v>0</v>
      </c>
      <c r="N682" s="17">
        <v>50</v>
      </c>
      <c r="O682" s="17">
        <v>0</v>
      </c>
    </row>
    <row r="683" spans="1:15" x14ac:dyDescent="0.2">
      <c r="A683" t="s">
        <v>1830</v>
      </c>
      <c r="B683">
        <v>1064</v>
      </c>
      <c r="C683" t="s">
        <v>60</v>
      </c>
      <c r="D683" t="s">
        <v>156</v>
      </c>
      <c r="E683" t="s">
        <v>157</v>
      </c>
      <c r="F683" t="s">
        <v>111</v>
      </c>
      <c r="G683" s="17">
        <v>0</v>
      </c>
      <c r="H683" s="17" t="str">
        <f t="shared" si="30"/>
        <v>180</v>
      </c>
      <c r="I683" s="17">
        <v>1.2</v>
      </c>
      <c r="J683" s="17">
        <v>2.2000000000000002</v>
      </c>
      <c r="K683" s="17">
        <f t="shared" si="31"/>
        <v>1062</v>
      </c>
      <c r="L683" s="17">
        <f t="shared" si="32"/>
        <v>1066</v>
      </c>
      <c r="M683" s="17">
        <v>0</v>
      </c>
      <c r="N683" s="17">
        <v>50</v>
      </c>
      <c r="O683" s="17">
        <v>0</v>
      </c>
    </row>
    <row r="684" spans="1:15" x14ac:dyDescent="0.2">
      <c r="A684" t="s">
        <v>1832</v>
      </c>
      <c r="B684">
        <v>1064</v>
      </c>
      <c r="C684" t="s">
        <v>60</v>
      </c>
      <c r="D684" t="s">
        <v>156</v>
      </c>
      <c r="E684" t="s">
        <v>157</v>
      </c>
      <c r="F684" t="s">
        <v>111</v>
      </c>
      <c r="G684" s="17">
        <v>0</v>
      </c>
      <c r="H684" s="17" t="str">
        <f t="shared" si="30"/>
        <v>180</v>
      </c>
      <c r="I684" s="17">
        <v>1.2</v>
      </c>
      <c r="J684" s="17">
        <v>2.2000000000000002</v>
      </c>
      <c r="K684" s="17">
        <f t="shared" si="31"/>
        <v>1062</v>
      </c>
      <c r="L684" s="17">
        <f t="shared" si="32"/>
        <v>1066</v>
      </c>
      <c r="M684" s="17">
        <v>0</v>
      </c>
      <c r="N684" s="17">
        <v>50</v>
      </c>
      <c r="O684" s="17">
        <v>0</v>
      </c>
    </row>
    <row r="685" spans="1:15" x14ac:dyDescent="0.2">
      <c r="A685" t="s">
        <v>1834</v>
      </c>
      <c r="B685">
        <v>1064</v>
      </c>
      <c r="C685" t="s">
        <v>60</v>
      </c>
      <c r="D685" t="s">
        <v>61</v>
      </c>
      <c r="E685" t="s">
        <v>253</v>
      </c>
      <c r="F685" t="s">
        <v>111</v>
      </c>
      <c r="G685" s="17">
        <v>0</v>
      </c>
      <c r="H685" s="17" t="str">
        <f t="shared" si="30"/>
        <v>350</v>
      </c>
      <c r="I685" s="17">
        <v>1.2</v>
      </c>
      <c r="J685" s="17">
        <v>2.2000000000000002</v>
      </c>
      <c r="K685" s="17">
        <f t="shared" si="31"/>
        <v>1062</v>
      </c>
      <c r="L685" s="17">
        <f t="shared" si="32"/>
        <v>1066</v>
      </c>
      <c r="M685" s="17">
        <v>0</v>
      </c>
      <c r="N685" s="17">
        <v>50</v>
      </c>
      <c r="O685" s="17">
        <v>0</v>
      </c>
    </row>
    <row r="686" spans="1:15" x14ac:dyDescent="0.2">
      <c r="A686" t="s">
        <v>1836</v>
      </c>
      <c r="B686">
        <v>1064</v>
      </c>
      <c r="C686" t="s">
        <v>60</v>
      </c>
      <c r="D686" t="s">
        <v>156</v>
      </c>
      <c r="E686" t="s">
        <v>157</v>
      </c>
      <c r="F686" t="s">
        <v>306</v>
      </c>
      <c r="G686" s="17">
        <v>0</v>
      </c>
      <c r="H686" s="17" t="str">
        <f t="shared" si="30"/>
        <v>180</v>
      </c>
      <c r="I686" s="17">
        <v>1.2</v>
      </c>
      <c r="J686" s="17">
        <v>2.2000000000000002</v>
      </c>
      <c r="K686" s="17">
        <f t="shared" si="31"/>
        <v>1062</v>
      </c>
      <c r="L686" s="17">
        <f t="shared" si="32"/>
        <v>1066</v>
      </c>
      <c r="M686" s="17">
        <v>0</v>
      </c>
      <c r="N686" s="17">
        <v>50</v>
      </c>
      <c r="O686" s="17">
        <v>0</v>
      </c>
    </row>
    <row r="687" spans="1:15" x14ac:dyDescent="0.2">
      <c r="A687" t="s">
        <v>1838</v>
      </c>
      <c r="B687">
        <v>1064</v>
      </c>
      <c r="C687" t="s">
        <v>60</v>
      </c>
      <c r="D687" t="s">
        <v>156</v>
      </c>
      <c r="E687" t="s">
        <v>157</v>
      </c>
      <c r="F687" t="s">
        <v>306</v>
      </c>
      <c r="G687" s="17">
        <v>0</v>
      </c>
      <c r="H687" s="17" t="str">
        <f t="shared" si="30"/>
        <v>180</v>
      </c>
      <c r="I687" s="17">
        <v>1.2</v>
      </c>
      <c r="J687" s="17">
        <v>2.2000000000000002</v>
      </c>
      <c r="K687" s="17">
        <f t="shared" si="31"/>
        <v>1062</v>
      </c>
      <c r="L687" s="17">
        <f t="shared" si="32"/>
        <v>1066</v>
      </c>
      <c r="M687" s="17">
        <v>0</v>
      </c>
      <c r="N687" s="17">
        <v>50</v>
      </c>
      <c r="O687" s="17">
        <v>0</v>
      </c>
    </row>
    <row r="688" spans="1:15" x14ac:dyDescent="0.2">
      <c r="A688" t="s">
        <v>1840</v>
      </c>
      <c r="B688">
        <v>1064</v>
      </c>
      <c r="C688" t="s">
        <v>60</v>
      </c>
      <c r="D688" t="s">
        <v>156</v>
      </c>
      <c r="E688" t="s">
        <v>157</v>
      </c>
      <c r="F688" t="s">
        <v>306</v>
      </c>
      <c r="G688" s="17">
        <v>0</v>
      </c>
      <c r="H688" s="17" t="str">
        <f t="shared" si="30"/>
        <v>180</v>
      </c>
      <c r="I688" s="17">
        <v>1.2</v>
      </c>
      <c r="J688" s="17">
        <v>2.2000000000000002</v>
      </c>
      <c r="K688" s="17">
        <f t="shared" si="31"/>
        <v>1062</v>
      </c>
      <c r="L688" s="17">
        <f t="shared" si="32"/>
        <v>1066</v>
      </c>
      <c r="M688" s="17">
        <v>0</v>
      </c>
      <c r="N688" s="17">
        <v>50</v>
      </c>
      <c r="O688" s="17">
        <v>0</v>
      </c>
    </row>
    <row r="689" spans="1:15" x14ac:dyDescent="0.2">
      <c r="A689" t="s">
        <v>1842</v>
      </c>
      <c r="B689">
        <v>1064</v>
      </c>
      <c r="C689" t="s">
        <v>60</v>
      </c>
      <c r="D689" t="s">
        <v>156</v>
      </c>
      <c r="E689" t="s">
        <v>157</v>
      </c>
      <c r="F689" t="s">
        <v>306</v>
      </c>
      <c r="G689" s="17">
        <v>0</v>
      </c>
      <c r="H689" s="17" t="str">
        <f t="shared" si="30"/>
        <v>180</v>
      </c>
      <c r="I689" s="17">
        <v>1.2</v>
      </c>
      <c r="J689" s="17">
        <v>2.2000000000000002</v>
      </c>
      <c r="K689" s="17">
        <f t="shared" si="31"/>
        <v>1062</v>
      </c>
      <c r="L689" s="17">
        <f t="shared" si="32"/>
        <v>1066</v>
      </c>
      <c r="M689" s="17">
        <v>0</v>
      </c>
      <c r="N689" s="17">
        <v>50</v>
      </c>
      <c r="O689" s="17">
        <v>0</v>
      </c>
    </row>
    <row r="690" spans="1:15" x14ac:dyDescent="0.2">
      <c r="A690" t="s">
        <v>1844</v>
      </c>
      <c r="B690">
        <v>1064</v>
      </c>
      <c r="C690" t="s">
        <v>60</v>
      </c>
      <c r="D690" t="s">
        <v>156</v>
      </c>
      <c r="E690" t="s">
        <v>157</v>
      </c>
      <c r="G690" s="17">
        <v>0</v>
      </c>
      <c r="H690" s="17" t="str">
        <f t="shared" si="30"/>
        <v>180</v>
      </c>
      <c r="I690" s="17">
        <v>1.2</v>
      </c>
      <c r="J690" s="17">
        <v>2.2000000000000002</v>
      </c>
      <c r="K690" s="17">
        <f t="shared" si="31"/>
        <v>1062</v>
      </c>
      <c r="L690" s="17">
        <f t="shared" si="32"/>
        <v>1066</v>
      </c>
      <c r="M690" s="17">
        <v>0</v>
      </c>
      <c r="N690" s="17">
        <v>50</v>
      </c>
      <c r="O690" s="17">
        <v>0</v>
      </c>
    </row>
    <row r="691" spans="1:15" x14ac:dyDescent="0.2">
      <c r="A691" t="s">
        <v>1846</v>
      </c>
      <c r="B691">
        <v>1064</v>
      </c>
      <c r="C691" t="s">
        <v>60</v>
      </c>
      <c r="D691" t="s">
        <v>61</v>
      </c>
      <c r="E691" t="s">
        <v>253</v>
      </c>
      <c r="G691" s="17">
        <v>0</v>
      </c>
      <c r="H691" s="17" t="str">
        <f t="shared" si="30"/>
        <v>350</v>
      </c>
      <c r="I691" s="17">
        <v>1.2</v>
      </c>
      <c r="J691" s="17">
        <v>2.2000000000000002</v>
      </c>
      <c r="K691" s="17">
        <f t="shared" si="31"/>
        <v>1062</v>
      </c>
      <c r="L691" s="17">
        <f t="shared" si="32"/>
        <v>1066</v>
      </c>
      <c r="M691" s="17">
        <v>0</v>
      </c>
      <c r="N691" s="17">
        <v>50</v>
      </c>
      <c r="O691" s="17">
        <v>0</v>
      </c>
    </row>
    <row r="692" spans="1:15" x14ac:dyDescent="0.2">
      <c r="A692" t="s">
        <v>1848</v>
      </c>
      <c r="B692">
        <v>1064</v>
      </c>
      <c r="C692" t="s">
        <v>60</v>
      </c>
      <c r="D692" t="s">
        <v>156</v>
      </c>
      <c r="E692" t="s">
        <v>157</v>
      </c>
      <c r="G692" s="17">
        <v>0</v>
      </c>
      <c r="H692" s="17" t="str">
        <f t="shared" si="30"/>
        <v>180</v>
      </c>
      <c r="I692" s="17">
        <v>1.2</v>
      </c>
      <c r="J692" s="17">
        <v>2.2000000000000002</v>
      </c>
      <c r="K692" s="17">
        <f t="shared" si="31"/>
        <v>1062</v>
      </c>
      <c r="L692" s="17">
        <f t="shared" si="32"/>
        <v>1066</v>
      </c>
      <c r="M692" s="17">
        <v>0</v>
      </c>
      <c r="N692" s="17">
        <v>50</v>
      </c>
      <c r="O692" s="17">
        <v>0</v>
      </c>
    </row>
    <row r="693" spans="1:15" x14ac:dyDescent="0.2">
      <c r="A693" t="s">
        <v>1850</v>
      </c>
      <c r="B693" t="s">
        <v>1851</v>
      </c>
      <c r="C693" t="s">
        <v>60</v>
      </c>
      <c r="D693" t="s">
        <v>61</v>
      </c>
      <c r="E693" t="s">
        <v>1212</v>
      </c>
      <c r="F693" t="s">
        <v>159</v>
      </c>
      <c r="G693" s="17">
        <v>0</v>
      </c>
      <c r="H693" s="17" t="str">
        <f t="shared" si="30"/>
        <v>240</v>
      </c>
      <c r="I693" s="17">
        <v>1.2</v>
      </c>
      <c r="J693" s="17">
        <v>2.2000000000000002</v>
      </c>
      <c r="K693" s="17">
        <f t="shared" si="31"/>
        <v>892.59199999999998</v>
      </c>
      <c r="L693" s="17">
        <f t="shared" si="32"/>
        <v>896.59199999999998</v>
      </c>
      <c r="M693" s="17">
        <v>0</v>
      </c>
      <c r="N693" s="17">
        <v>50</v>
      </c>
      <c r="O693" s="17">
        <v>0</v>
      </c>
    </row>
    <row r="694" spans="1:15" x14ac:dyDescent="0.2">
      <c r="A694" t="s">
        <v>1853</v>
      </c>
      <c r="B694" t="s">
        <v>1851</v>
      </c>
      <c r="C694" t="s">
        <v>60</v>
      </c>
      <c r="D694" t="s">
        <v>156</v>
      </c>
      <c r="E694" t="s">
        <v>445</v>
      </c>
      <c r="F694" t="s">
        <v>159</v>
      </c>
      <c r="G694" s="17">
        <v>0</v>
      </c>
      <c r="H694" s="17" t="str">
        <f t="shared" si="30"/>
        <v>120</v>
      </c>
      <c r="I694" s="17">
        <v>1.2</v>
      </c>
      <c r="J694" s="17">
        <v>2.2000000000000002</v>
      </c>
      <c r="K694" s="17">
        <f t="shared" si="31"/>
        <v>892.59199999999998</v>
      </c>
      <c r="L694" s="17">
        <f t="shared" si="32"/>
        <v>896.59199999999998</v>
      </c>
      <c r="M694" s="17">
        <v>0</v>
      </c>
      <c r="N694" s="17">
        <v>50</v>
      </c>
      <c r="O694" s="17">
        <v>0</v>
      </c>
    </row>
    <row r="695" spans="1:15" x14ac:dyDescent="0.2">
      <c r="A695" t="s">
        <v>1855</v>
      </c>
      <c r="B695">
        <v>1080</v>
      </c>
      <c r="C695" t="s">
        <v>60</v>
      </c>
      <c r="D695" t="s">
        <v>156</v>
      </c>
      <c r="E695" t="s">
        <v>157</v>
      </c>
      <c r="G695" s="17">
        <v>0</v>
      </c>
      <c r="H695" s="17" t="str">
        <f t="shared" si="30"/>
        <v>180</v>
      </c>
      <c r="I695" s="17">
        <v>1.2</v>
      </c>
      <c r="J695" s="17">
        <v>2.2000000000000002</v>
      </c>
      <c r="K695" s="17">
        <f t="shared" si="31"/>
        <v>1078</v>
      </c>
      <c r="L695" s="17">
        <f t="shared" si="32"/>
        <v>1082</v>
      </c>
      <c r="M695" s="17">
        <v>0</v>
      </c>
      <c r="N695" s="17">
        <v>50</v>
      </c>
      <c r="O695" s="17">
        <v>0</v>
      </c>
    </row>
    <row r="696" spans="1:15" x14ac:dyDescent="0.2">
      <c r="A696" t="s">
        <v>1857</v>
      </c>
      <c r="B696">
        <v>1080</v>
      </c>
      <c r="C696" t="s">
        <v>60</v>
      </c>
      <c r="D696" t="s">
        <v>156</v>
      </c>
      <c r="E696" t="s">
        <v>1711</v>
      </c>
      <c r="G696" s="17">
        <v>0</v>
      </c>
      <c r="H696" s="17" t="str">
        <f t="shared" si="30"/>
        <v>90</v>
      </c>
      <c r="I696" s="17">
        <v>1.2</v>
      </c>
      <c r="J696" s="17">
        <v>2.2000000000000002</v>
      </c>
      <c r="K696" s="17">
        <f t="shared" si="31"/>
        <v>1078</v>
      </c>
      <c r="L696" s="17">
        <f t="shared" si="32"/>
        <v>1082</v>
      </c>
      <c r="M696" s="17">
        <v>0</v>
      </c>
      <c r="N696" s="17">
        <v>50</v>
      </c>
      <c r="O696" s="17">
        <v>0</v>
      </c>
    </row>
    <row r="697" spans="1:15" x14ac:dyDescent="0.2">
      <c r="A697" t="s">
        <v>1859</v>
      </c>
      <c r="B697">
        <v>1080</v>
      </c>
      <c r="C697" t="s">
        <v>60</v>
      </c>
      <c r="D697" t="s">
        <v>156</v>
      </c>
      <c r="E697" t="s">
        <v>1860</v>
      </c>
      <c r="G697" s="17">
        <v>0</v>
      </c>
      <c r="H697" s="17" t="str">
        <f t="shared" si="30"/>
        <v>45</v>
      </c>
      <c r="I697" s="17">
        <v>1.2</v>
      </c>
      <c r="J697" s="17">
        <v>2.2000000000000002</v>
      </c>
      <c r="K697" s="17">
        <f t="shared" si="31"/>
        <v>1078</v>
      </c>
      <c r="L697" s="17">
        <f t="shared" si="32"/>
        <v>1082</v>
      </c>
      <c r="M697" s="17">
        <v>0</v>
      </c>
      <c r="N697" s="17">
        <v>50</v>
      </c>
      <c r="O697" s="17">
        <v>0</v>
      </c>
    </row>
    <row r="698" spans="1:15" x14ac:dyDescent="0.2">
      <c r="A698" t="s">
        <v>1864</v>
      </c>
      <c r="B698">
        <v>1080</v>
      </c>
      <c r="C698" t="s">
        <v>60</v>
      </c>
      <c r="D698" t="s">
        <v>156</v>
      </c>
      <c r="E698" t="s">
        <v>157</v>
      </c>
      <c r="G698" s="17">
        <v>0</v>
      </c>
      <c r="H698" s="17" t="str">
        <f t="shared" si="30"/>
        <v>180</v>
      </c>
      <c r="I698" s="17">
        <v>1.2</v>
      </c>
      <c r="J698" s="17">
        <v>2.2000000000000002</v>
      </c>
      <c r="K698" s="17">
        <f t="shared" si="31"/>
        <v>1078</v>
      </c>
      <c r="L698" s="17">
        <f t="shared" si="32"/>
        <v>1082</v>
      </c>
      <c r="M698" s="17">
        <v>0</v>
      </c>
      <c r="N698" s="17">
        <v>50</v>
      </c>
      <c r="O698" s="17">
        <v>0</v>
      </c>
    </row>
    <row r="699" spans="1:15" x14ac:dyDescent="0.2">
      <c r="A699" t="s">
        <v>1866</v>
      </c>
      <c r="B699">
        <v>1080</v>
      </c>
      <c r="C699" t="s">
        <v>60</v>
      </c>
      <c r="D699" t="s">
        <v>156</v>
      </c>
      <c r="E699" t="s">
        <v>157</v>
      </c>
      <c r="G699" s="17">
        <v>0</v>
      </c>
      <c r="H699" s="17" t="str">
        <f t="shared" si="30"/>
        <v>180</v>
      </c>
      <c r="I699" s="17">
        <v>1.2</v>
      </c>
      <c r="J699" s="17">
        <v>2.2000000000000002</v>
      </c>
      <c r="K699" s="17">
        <f t="shared" si="31"/>
        <v>1078</v>
      </c>
      <c r="L699" s="17">
        <f t="shared" si="32"/>
        <v>1082</v>
      </c>
      <c r="M699" s="17">
        <v>0</v>
      </c>
      <c r="N699" s="17">
        <v>50</v>
      </c>
      <c r="O699" s="17">
        <v>0</v>
      </c>
    </row>
    <row r="700" spans="1:15" x14ac:dyDescent="0.2">
      <c r="A700" t="s">
        <v>1868</v>
      </c>
      <c r="B700">
        <v>1080</v>
      </c>
      <c r="C700" t="s">
        <v>60</v>
      </c>
      <c r="D700" t="s">
        <v>156</v>
      </c>
      <c r="E700" t="s">
        <v>157</v>
      </c>
      <c r="F700" t="s">
        <v>156</v>
      </c>
      <c r="G700" s="17">
        <v>0</v>
      </c>
      <c r="H700" s="17" t="str">
        <f t="shared" si="30"/>
        <v>180</v>
      </c>
      <c r="I700" s="17">
        <v>1.2</v>
      </c>
      <c r="J700" s="17">
        <v>2.2000000000000002</v>
      </c>
      <c r="K700" s="17">
        <f t="shared" si="31"/>
        <v>1078</v>
      </c>
      <c r="L700" s="17">
        <f t="shared" si="32"/>
        <v>1082</v>
      </c>
      <c r="M700" s="17">
        <v>0</v>
      </c>
      <c r="N700" s="17">
        <v>50</v>
      </c>
      <c r="O700" s="17">
        <v>0</v>
      </c>
    </row>
    <row r="701" spans="1:15" x14ac:dyDescent="0.2">
      <c r="A701" t="s">
        <v>1870</v>
      </c>
      <c r="B701">
        <v>1080</v>
      </c>
      <c r="C701" t="s">
        <v>60</v>
      </c>
      <c r="D701" t="s">
        <v>156</v>
      </c>
      <c r="E701" t="s">
        <v>157</v>
      </c>
      <c r="F701" t="s">
        <v>156</v>
      </c>
      <c r="G701" s="17">
        <v>0</v>
      </c>
      <c r="H701" s="17" t="str">
        <f t="shared" si="30"/>
        <v>180</v>
      </c>
      <c r="I701" s="17">
        <v>1.2</v>
      </c>
      <c r="J701" s="17">
        <v>2.2000000000000002</v>
      </c>
      <c r="K701" s="17">
        <f t="shared" si="31"/>
        <v>1078</v>
      </c>
      <c r="L701" s="17">
        <f t="shared" si="32"/>
        <v>1082</v>
      </c>
      <c r="M701" s="17">
        <v>0</v>
      </c>
      <c r="N701" s="17">
        <v>50</v>
      </c>
      <c r="O701" s="17">
        <v>0</v>
      </c>
    </row>
    <row r="702" spans="1:15" x14ac:dyDescent="0.2">
      <c r="A702" t="s">
        <v>1872</v>
      </c>
      <c r="B702">
        <v>1080</v>
      </c>
      <c r="C702" t="s">
        <v>60</v>
      </c>
      <c r="D702" t="s">
        <v>156</v>
      </c>
      <c r="E702" t="s">
        <v>157</v>
      </c>
      <c r="F702" t="s">
        <v>156</v>
      </c>
      <c r="G702" s="17">
        <v>0</v>
      </c>
      <c r="H702" s="17" t="str">
        <f t="shared" si="30"/>
        <v>180</v>
      </c>
      <c r="I702" s="17">
        <v>1.2</v>
      </c>
      <c r="J702" s="17">
        <v>2.2000000000000002</v>
      </c>
      <c r="K702" s="17">
        <f t="shared" si="31"/>
        <v>1078</v>
      </c>
      <c r="L702" s="17">
        <f t="shared" si="32"/>
        <v>1082</v>
      </c>
      <c r="M702" s="17">
        <v>0</v>
      </c>
      <c r="N702" s="17">
        <v>50</v>
      </c>
      <c r="O702" s="17">
        <v>0</v>
      </c>
    </row>
    <row r="703" spans="1:15" x14ac:dyDescent="0.2">
      <c r="A703" t="s">
        <v>1874</v>
      </c>
      <c r="B703">
        <v>1080</v>
      </c>
      <c r="C703" t="s">
        <v>60</v>
      </c>
      <c r="D703" t="s">
        <v>156</v>
      </c>
      <c r="E703" t="s">
        <v>157</v>
      </c>
      <c r="F703" t="s">
        <v>156</v>
      </c>
      <c r="G703" s="17">
        <v>0</v>
      </c>
      <c r="H703" s="17" t="str">
        <f t="shared" si="30"/>
        <v>180</v>
      </c>
      <c r="I703" s="17">
        <v>1.2</v>
      </c>
      <c r="J703" s="17">
        <v>2.2000000000000002</v>
      </c>
      <c r="K703" s="17">
        <f t="shared" si="31"/>
        <v>1078</v>
      </c>
      <c r="L703" s="17">
        <f t="shared" si="32"/>
        <v>1082</v>
      </c>
      <c r="M703" s="17">
        <v>0</v>
      </c>
      <c r="N703" s="17">
        <v>50</v>
      </c>
      <c r="O703" s="17">
        <v>0</v>
      </c>
    </row>
    <row r="704" spans="1:15" x14ac:dyDescent="0.2">
      <c r="A704" t="s">
        <v>1876</v>
      </c>
      <c r="B704">
        <v>1080</v>
      </c>
      <c r="C704" t="s">
        <v>60</v>
      </c>
      <c r="D704" t="s">
        <v>156</v>
      </c>
      <c r="E704" t="s">
        <v>1711</v>
      </c>
      <c r="F704" t="s">
        <v>111</v>
      </c>
      <c r="G704" s="17">
        <v>0</v>
      </c>
      <c r="H704" s="17" t="str">
        <f t="shared" si="30"/>
        <v>90</v>
      </c>
      <c r="I704" s="17">
        <v>1.2</v>
      </c>
      <c r="J704" s="17">
        <v>2.2000000000000002</v>
      </c>
      <c r="K704" s="17">
        <f t="shared" si="31"/>
        <v>1078</v>
      </c>
      <c r="L704" s="17">
        <f t="shared" si="32"/>
        <v>1082</v>
      </c>
      <c r="M704" s="17">
        <v>0</v>
      </c>
      <c r="N704" s="17">
        <v>50</v>
      </c>
      <c r="O704" s="17">
        <v>0</v>
      </c>
    </row>
    <row r="705" spans="1:15" x14ac:dyDescent="0.2">
      <c r="A705" t="s">
        <v>1878</v>
      </c>
      <c r="B705">
        <v>1080</v>
      </c>
      <c r="C705" t="s">
        <v>60</v>
      </c>
      <c r="D705" t="s">
        <v>156</v>
      </c>
      <c r="E705" t="s">
        <v>1860</v>
      </c>
      <c r="F705" t="s">
        <v>111</v>
      </c>
      <c r="G705" s="17">
        <v>0</v>
      </c>
      <c r="H705" s="17" t="str">
        <f t="shared" si="30"/>
        <v>45</v>
      </c>
      <c r="I705" s="17">
        <v>1.2</v>
      </c>
      <c r="J705" s="17">
        <v>2.2000000000000002</v>
      </c>
      <c r="K705" s="17">
        <f t="shared" si="31"/>
        <v>1078</v>
      </c>
      <c r="L705" s="17">
        <f t="shared" si="32"/>
        <v>1082</v>
      </c>
      <c r="M705" s="17">
        <v>0</v>
      </c>
      <c r="N705" s="17">
        <v>50</v>
      </c>
      <c r="O705" s="17">
        <v>0</v>
      </c>
    </row>
    <row r="706" spans="1:15" x14ac:dyDescent="0.2">
      <c r="A706" t="s">
        <v>1880</v>
      </c>
      <c r="B706">
        <v>1080</v>
      </c>
      <c r="C706" t="s">
        <v>60</v>
      </c>
      <c r="D706" t="s">
        <v>156</v>
      </c>
      <c r="E706" t="s">
        <v>157</v>
      </c>
      <c r="F706" t="s">
        <v>111</v>
      </c>
      <c r="G706" s="17">
        <v>0</v>
      </c>
      <c r="H706" s="17" t="str">
        <f t="shared" si="30"/>
        <v>180</v>
      </c>
      <c r="I706" s="17">
        <v>1.2</v>
      </c>
      <c r="J706" s="17">
        <v>2.2000000000000002</v>
      </c>
      <c r="K706" s="17">
        <f t="shared" si="31"/>
        <v>1078</v>
      </c>
      <c r="L706" s="17">
        <f t="shared" si="32"/>
        <v>1082</v>
      </c>
      <c r="M706" s="17">
        <v>0</v>
      </c>
      <c r="N706" s="17">
        <v>50</v>
      </c>
      <c r="O706" s="17">
        <v>0</v>
      </c>
    </row>
    <row r="707" spans="1:15" x14ac:dyDescent="0.2">
      <c r="A707" t="s">
        <v>1882</v>
      </c>
      <c r="B707">
        <v>1080</v>
      </c>
      <c r="C707" t="s">
        <v>60</v>
      </c>
      <c r="D707" t="s">
        <v>156</v>
      </c>
      <c r="E707" t="s">
        <v>157</v>
      </c>
      <c r="F707" t="s">
        <v>111</v>
      </c>
      <c r="G707" s="17">
        <v>0</v>
      </c>
      <c r="H707" s="17" t="str">
        <f t="shared" ref="H707:H770" si="33">_xlfn.TEXTAFTER(E707,"-",1)</f>
        <v>180</v>
      </c>
      <c r="I707" s="17">
        <v>1.2</v>
      </c>
      <c r="J707" s="17">
        <v>2.2000000000000002</v>
      </c>
      <c r="K707" s="17">
        <f t="shared" ref="K707:K770" si="34">B707-2</f>
        <v>1078</v>
      </c>
      <c r="L707" s="17">
        <f t="shared" ref="L707:L770" si="35">B707+2</f>
        <v>1082</v>
      </c>
      <c r="M707" s="17">
        <v>0</v>
      </c>
      <c r="N707" s="17">
        <v>50</v>
      </c>
      <c r="O707" s="17">
        <v>0</v>
      </c>
    </row>
    <row r="708" spans="1:15" x14ac:dyDescent="0.2">
      <c r="A708" t="s">
        <v>1884</v>
      </c>
      <c r="B708">
        <v>1080</v>
      </c>
      <c r="C708" t="s">
        <v>60</v>
      </c>
      <c r="D708" t="s">
        <v>156</v>
      </c>
      <c r="E708" t="s">
        <v>157</v>
      </c>
      <c r="F708" t="s">
        <v>111</v>
      </c>
      <c r="G708" s="17">
        <v>0</v>
      </c>
      <c r="H708" s="17" t="str">
        <f t="shared" si="33"/>
        <v>180</v>
      </c>
      <c r="I708" s="17">
        <v>1.2</v>
      </c>
      <c r="J708" s="17">
        <v>2.2000000000000002</v>
      </c>
      <c r="K708" s="17">
        <f t="shared" si="34"/>
        <v>1078</v>
      </c>
      <c r="L708" s="17">
        <f t="shared" si="35"/>
        <v>1082</v>
      </c>
      <c r="M708" s="17">
        <v>0</v>
      </c>
      <c r="N708" s="17">
        <v>50</v>
      </c>
      <c r="O708" s="17">
        <v>0</v>
      </c>
    </row>
    <row r="709" spans="1:15" x14ac:dyDescent="0.2">
      <c r="A709" t="s">
        <v>1886</v>
      </c>
      <c r="B709">
        <v>1080</v>
      </c>
      <c r="C709" t="s">
        <v>60</v>
      </c>
      <c r="D709" t="s">
        <v>156</v>
      </c>
      <c r="E709" t="s">
        <v>157</v>
      </c>
      <c r="F709" t="s">
        <v>111</v>
      </c>
      <c r="G709" s="17">
        <v>0</v>
      </c>
      <c r="H709" s="17" t="str">
        <f t="shared" si="33"/>
        <v>180</v>
      </c>
      <c r="I709" s="17">
        <v>1.2</v>
      </c>
      <c r="J709" s="17">
        <v>2.2000000000000002</v>
      </c>
      <c r="K709" s="17">
        <f t="shared" si="34"/>
        <v>1078</v>
      </c>
      <c r="L709" s="17">
        <f t="shared" si="35"/>
        <v>1082</v>
      </c>
      <c r="M709" s="17">
        <v>0</v>
      </c>
      <c r="N709" s="17">
        <v>50</v>
      </c>
      <c r="O709" s="17">
        <v>0</v>
      </c>
    </row>
    <row r="710" spans="1:15" x14ac:dyDescent="0.2">
      <c r="A710" t="s">
        <v>1888</v>
      </c>
      <c r="B710">
        <v>1080</v>
      </c>
      <c r="C710" t="s">
        <v>60</v>
      </c>
      <c r="D710" t="s">
        <v>156</v>
      </c>
      <c r="E710" t="s">
        <v>157</v>
      </c>
      <c r="F710" t="s">
        <v>306</v>
      </c>
      <c r="G710" s="17">
        <v>0</v>
      </c>
      <c r="H710" s="17" t="str">
        <f t="shared" si="33"/>
        <v>180</v>
      </c>
      <c r="I710" s="17">
        <v>1.2</v>
      </c>
      <c r="J710" s="17">
        <v>2.2000000000000002</v>
      </c>
      <c r="K710" s="17">
        <f t="shared" si="34"/>
        <v>1078</v>
      </c>
      <c r="L710" s="17">
        <f t="shared" si="35"/>
        <v>1082</v>
      </c>
      <c r="M710" s="17">
        <v>0</v>
      </c>
      <c r="N710" s="17">
        <v>50</v>
      </c>
      <c r="O710" s="17">
        <v>0</v>
      </c>
    </row>
    <row r="711" spans="1:15" x14ac:dyDescent="0.2">
      <c r="A711" t="s">
        <v>1890</v>
      </c>
      <c r="B711">
        <v>1080</v>
      </c>
      <c r="C711" t="s">
        <v>60</v>
      </c>
      <c r="D711" t="s">
        <v>156</v>
      </c>
      <c r="E711" t="s">
        <v>157</v>
      </c>
      <c r="F711" t="s">
        <v>306</v>
      </c>
      <c r="G711" s="17">
        <v>0</v>
      </c>
      <c r="H711" s="17" t="str">
        <f t="shared" si="33"/>
        <v>180</v>
      </c>
      <c r="I711" s="17">
        <v>1.2</v>
      </c>
      <c r="J711" s="17">
        <v>2.2000000000000002</v>
      </c>
      <c r="K711" s="17">
        <f t="shared" si="34"/>
        <v>1078</v>
      </c>
      <c r="L711" s="17">
        <f t="shared" si="35"/>
        <v>1082</v>
      </c>
      <c r="M711" s="17">
        <v>0</v>
      </c>
      <c r="N711" s="17">
        <v>50</v>
      </c>
      <c r="O711" s="17">
        <v>0</v>
      </c>
    </row>
    <row r="712" spans="1:15" x14ac:dyDescent="0.2">
      <c r="A712" t="s">
        <v>1892</v>
      </c>
      <c r="B712">
        <v>1080</v>
      </c>
      <c r="C712" t="s">
        <v>60</v>
      </c>
      <c r="D712" t="s">
        <v>156</v>
      </c>
      <c r="E712" t="s">
        <v>157</v>
      </c>
      <c r="F712" t="s">
        <v>306</v>
      </c>
      <c r="G712" s="17">
        <v>0</v>
      </c>
      <c r="H712" s="17" t="str">
        <f t="shared" si="33"/>
        <v>180</v>
      </c>
      <c r="I712" s="17">
        <v>1.2</v>
      </c>
      <c r="J712" s="17">
        <v>2.2000000000000002</v>
      </c>
      <c r="K712" s="17">
        <f t="shared" si="34"/>
        <v>1078</v>
      </c>
      <c r="L712" s="17">
        <f t="shared" si="35"/>
        <v>1082</v>
      </c>
      <c r="M712" s="17">
        <v>0</v>
      </c>
      <c r="N712" s="17">
        <v>50</v>
      </c>
      <c r="O712" s="17">
        <v>0</v>
      </c>
    </row>
    <row r="713" spans="1:15" x14ac:dyDescent="0.2">
      <c r="A713" t="s">
        <v>1894</v>
      </c>
      <c r="B713">
        <v>1080</v>
      </c>
      <c r="C713" t="s">
        <v>60</v>
      </c>
      <c r="D713" t="s">
        <v>156</v>
      </c>
      <c r="E713" t="s">
        <v>157</v>
      </c>
      <c r="F713" t="s">
        <v>306</v>
      </c>
      <c r="G713" s="17">
        <v>0</v>
      </c>
      <c r="H713" s="17" t="str">
        <f t="shared" si="33"/>
        <v>180</v>
      </c>
      <c r="I713" s="17">
        <v>1.2</v>
      </c>
      <c r="J713" s="17">
        <v>2.2000000000000002</v>
      </c>
      <c r="K713" s="17">
        <f t="shared" si="34"/>
        <v>1078</v>
      </c>
      <c r="L713" s="17">
        <f t="shared" si="35"/>
        <v>1082</v>
      </c>
      <c r="M713" s="17">
        <v>0</v>
      </c>
      <c r="N713" s="17">
        <v>50</v>
      </c>
      <c r="O713" s="17">
        <v>0</v>
      </c>
    </row>
    <row r="714" spans="1:15" x14ac:dyDescent="0.2">
      <c r="A714" t="s">
        <v>1896</v>
      </c>
      <c r="B714">
        <v>1080</v>
      </c>
      <c r="C714" t="s">
        <v>60</v>
      </c>
      <c r="D714" t="s">
        <v>156</v>
      </c>
      <c r="E714" t="s">
        <v>157</v>
      </c>
      <c r="G714" s="17">
        <v>0</v>
      </c>
      <c r="H714" s="17" t="str">
        <f t="shared" si="33"/>
        <v>180</v>
      </c>
      <c r="I714" s="17">
        <v>1.2</v>
      </c>
      <c r="J714" s="17">
        <v>2.2000000000000002</v>
      </c>
      <c r="K714" s="17">
        <f t="shared" si="34"/>
        <v>1078</v>
      </c>
      <c r="L714" s="17">
        <f t="shared" si="35"/>
        <v>1082</v>
      </c>
      <c r="M714" s="17">
        <v>0</v>
      </c>
      <c r="N714" s="17">
        <v>50</v>
      </c>
      <c r="O714" s="17">
        <v>0</v>
      </c>
    </row>
    <row r="715" spans="1:15" x14ac:dyDescent="0.2">
      <c r="A715" t="s">
        <v>1898</v>
      </c>
      <c r="B715">
        <v>1080</v>
      </c>
      <c r="C715" t="s">
        <v>60</v>
      </c>
      <c r="D715" t="s">
        <v>156</v>
      </c>
      <c r="E715" t="s">
        <v>157</v>
      </c>
      <c r="G715" s="17">
        <v>0</v>
      </c>
      <c r="H715" s="17" t="str">
        <f t="shared" si="33"/>
        <v>180</v>
      </c>
      <c r="I715" s="17">
        <v>1.2</v>
      </c>
      <c r="J715" s="17">
        <v>2.2000000000000002</v>
      </c>
      <c r="K715" s="17">
        <f t="shared" si="34"/>
        <v>1078</v>
      </c>
      <c r="L715" s="17">
        <f t="shared" si="35"/>
        <v>1082</v>
      </c>
      <c r="M715" s="17">
        <v>0</v>
      </c>
      <c r="N715" s="17">
        <v>50</v>
      </c>
      <c r="O715" s="17">
        <v>0</v>
      </c>
    </row>
    <row r="716" spans="1:15" x14ac:dyDescent="0.2">
      <c r="A716" t="s">
        <v>1900</v>
      </c>
      <c r="B716" t="s">
        <v>1901</v>
      </c>
      <c r="C716" t="s">
        <v>60</v>
      </c>
      <c r="D716" t="s">
        <v>61</v>
      </c>
      <c r="E716" t="s">
        <v>1212</v>
      </c>
      <c r="F716" t="s">
        <v>159</v>
      </c>
      <c r="G716" s="17">
        <v>0</v>
      </c>
      <c r="H716" s="17" t="str">
        <f t="shared" si="33"/>
        <v>240</v>
      </c>
      <c r="I716" s="17">
        <v>1.2</v>
      </c>
      <c r="J716" s="17">
        <v>2.2000000000000002</v>
      </c>
      <c r="K716" s="17">
        <f t="shared" si="34"/>
        <v>918</v>
      </c>
      <c r="L716" s="17">
        <f t="shared" si="35"/>
        <v>922</v>
      </c>
      <c r="M716" s="17">
        <v>0</v>
      </c>
      <c r="N716" s="17">
        <v>50</v>
      </c>
      <c r="O716" s="17">
        <v>0</v>
      </c>
    </row>
    <row r="717" spans="1:15" x14ac:dyDescent="0.2">
      <c r="A717" t="s">
        <v>1903</v>
      </c>
      <c r="B717">
        <v>1083.33</v>
      </c>
      <c r="C717" t="s">
        <v>60</v>
      </c>
      <c r="D717" t="s">
        <v>61</v>
      </c>
      <c r="E717" t="s">
        <v>1904</v>
      </c>
      <c r="G717" s="17">
        <v>0</v>
      </c>
      <c r="H717" s="17" t="str">
        <f t="shared" si="33"/>
        <v>140</v>
      </c>
      <c r="I717" s="17">
        <v>1.2</v>
      </c>
      <c r="J717" s="17">
        <v>2.2000000000000002</v>
      </c>
      <c r="K717" s="17">
        <f t="shared" si="34"/>
        <v>1081.33</v>
      </c>
      <c r="L717" s="17">
        <f t="shared" si="35"/>
        <v>1085.33</v>
      </c>
      <c r="M717" s="17">
        <v>0</v>
      </c>
      <c r="N717" s="17">
        <v>50</v>
      </c>
      <c r="O717" s="17">
        <v>0</v>
      </c>
    </row>
    <row r="718" spans="1:15" x14ac:dyDescent="0.2">
      <c r="A718" t="s">
        <v>1908</v>
      </c>
      <c r="B718">
        <v>1083.33</v>
      </c>
      <c r="C718" t="s">
        <v>60</v>
      </c>
      <c r="D718" t="s">
        <v>61</v>
      </c>
      <c r="E718" t="s">
        <v>1909</v>
      </c>
      <c r="G718" s="17">
        <v>0</v>
      </c>
      <c r="H718" s="17" t="str">
        <f t="shared" si="33"/>
        <v>100</v>
      </c>
      <c r="I718" s="17">
        <v>1.2</v>
      </c>
      <c r="J718" s="17">
        <v>2.2000000000000002</v>
      </c>
      <c r="K718" s="17">
        <f t="shared" si="34"/>
        <v>1081.33</v>
      </c>
      <c r="L718" s="17">
        <f t="shared" si="35"/>
        <v>1085.33</v>
      </c>
      <c r="M718" s="17">
        <v>0</v>
      </c>
      <c r="N718" s="17">
        <v>50</v>
      </c>
      <c r="O718" s="17">
        <v>0</v>
      </c>
    </row>
    <row r="719" spans="1:15" x14ac:dyDescent="0.2">
      <c r="A719" t="s">
        <v>1913</v>
      </c>
      <c r="B719">
        <v>1083.33</v>
      </c>
      <c r="C719" t="s">
        <v>60</v>
      </c>
      <c r="D719" t="s">
        <v>61</v>
      </c>
      <c r="E719" t="s">
        <v>253</v>
      </c>
      <c r="G719" s="17">
        <v>0</v>
      </c>
      <c r="H719" s="17" t="str">
        <f t="shared" si="33"/>
        <v>350</v>
      </c>
      <c r="I719" s="17">
        <v>1.2</v>
      </c>
      <c r="J719" s="17">
        <v>2.2000000000000002</v>
      </c>
      <c r="K719" s="17">
        <f t="shared" si="34"/>
        <v>1081.33</v>
      </c>
      <c r="L719" s="17">
        <f t="shared" si="35"/>
        <v>1085.33</v>
      </c>
      <c r="M719" s="17">
        <v>0</v>
      </c>
      <c r="N719" s="17">
        <v>50</v>
      </c>
      <c r="O719" s="17">
        <v>0</v>
      </c>
    </row>
    <row r="720" spans="1:15" x14ac:dyDescent="0.2">
      <c r="A720" t="s">
        <v>1915</v>
      </c>
      <c r="B720">
        <v>1083.33</v>
      </c>
      <c r="C720" t="s">
        <v>60</v>
      </c>
      <c r="D720" t="s">
        <v>61</v>
      </c>
      <c r="E720" t="s">
        <v>253</v>
      </c>
      <c r="G720" s="17">
        <v>0</v>
      </c>
      <c r="H720" s="17" t="str">
        <f t="shared" si="33"/>
        <v>350</v>
      </c>
      <c r="I720" s="17">
        <v>1.2</v>
      </c>
      <c r="J720" s="17">
        <v>2.2000000000000002</v>
      </c>
      <c r="K720" s="17">
        <f t="shared" si="34"/>
        <v>1081.33</v>
      </c>
      <c r="L720" s="17">
        <f t="shared" si="35"/>
        <v>1085.33</v>
      </c>
      <c r="M720" s="17">
        <v>0</v>
      </c>
      <c r="N720" s="17">
        <v>50</v>
      </c>
      <c r="O720" s="17">
        <v>0</v>
      </c>
    </row>
    <row r="721" spans="1:15" x14ac:dyDescent="0.2">
      <c r="A721" t="s">
        <v>1917</v>
      </c>
      <c r="B721">
        <v>1083.33</v>
      </c>
      <c r="C721" t="s">
        <v>60</v>
      </c>
      <c r="D721" t="s">
        <v>61</v>
      </c>
      <c r="E721" t="s">
        <v>1904</v>
      </c>
      <c r="F721" t="s">
        <v>111</v>
      </c>
      <c r="G721" s="17">
        <v>0</v>
      </c>
      <c r="H721" s="17" t="str">
        <f t="shared" si="33"/>
        <v>140</v>
      </c>
      <c r="I721" s="17">
        <v>1.2</v>
      </c>
      <c r="J721" s="17">
        <v>2.2000000000000002</v>
      </c>
      <c r="K721" s="17">
        <f t="shared" si="34"/>
        <v>1081.33</v>
      </c>
      <c r="L721" s="17">
        <f t="shared" si="35"/>
        <v>1085.33</v>
      </c>
      <c r="M721" s="17">
        <v>0</v>
      </c>
      <c r="N721" s="17">
        <v>50</v>
      </c>
      <c r="O721" s="17">
        <v>0</v>
      </c>
    </row>
    <row r="722" spans="1:15" x14ac:dyDescent="0.2">
      <c r="A722" t="s">
        <v>1919</v>
      </c>
      <c r="B722">
        <v>1083.33</v>
      </c>
      <c r="C722" t="s">
        <v>60</v>
      </c>
      <c r="D722" t="s">
        <v>61</v>
      </c>
      <c r="E722" t="s">
        <v>1909</v>
      </c>
      <c r="F722" t="s">
        <v>111</v>
      </c>
      <c r="G722" s="17">
        <v>0</v>
      </c>
      <c r="H722" s="17" t="str">
        <f t="shared" si="33"/>
        <v>100</v>
      </c>
      <c r="I722" s="17">
        <v>1.2</v>
      </c>
      <c r="J722" s="17">
        <v>2.2000000000000002</v>
      </c>
      <c r="K722" s="17">
        <f t="shared" si="34"/>
        <v>1081.33</v>
      </c>
      <c r="L722" s="17">
        <f t="shared" si="35"/>
        <v>1085.33</v>
      </c>
      <c r="M722" s="17">
        <v>0</v>
      </c>
      <c r="N722" s="17">
        <v>50</v>
      </c>
      <c r="O722" s="17">
        <v>0</v>
      </c>
    </row>
    <row r="723" spans="1:15" x14ac:dyDescent="0.2">
      <c r="A723" t="s">
        <v>1921</v>
      </c>
      <c r="B723">
        <v>1083.33</v>
      </c>
      <c r="C723" t="s">
        <v>60</v>
      </c>
      <c r="D723" t="s">
        <v>61</v>
      </c>
      <c r="E723" t="s">
        <v>253</v>
      </c>
      <c r="F723" t="s">
        <v>111</v>
      </c>
      <c r="G723" s="17">
        <v>0</v>
      </c>
      <c r="H723" s="17" t="str">
        <f t="shared" si="33"/>
        <v>350</v>
      </c>
      <c r="I723" s="17">
        <v>1.2</v>
      </c>
      <c r="J723" s="17">
        <v>2.2000000000000002</v>
      </c>
      <c r="K723" s="17">
        <f t="shared" si="34"/>
        <v>1081.33</v>
      </c>
      <c r="L723" s="17">
        <f t="shared" si="35"/>
        <v>1085.33</v>
      </c>
      <c r="M723" s="17">
        <v>0</v>
      </c>
      <c r="N723" s="17">
        <v>50</v>
      </c>
      <c r="O723" s="17">
        <v>0</v>
      </c>
    </row>
    <row r="724" spans="1:15" x14ac:dyDescent="0.2">
      <c r="A724" t="s">
        <v>1923</v>
      </c>
      <c r="B724">
        <v>1083.33</v>
      </c>
      <c r="C724" t="s">
        <v>60</v>
      </c>
      <c r="D724" t="s">
        <v>61</v>
      </c>
      <c r="E724" t="s">
        <v>253</v>
      </c>
      <c r="F724" t="s">
        <v>111</v>
      </c>
      <c r="G724" s="17">
        <v>0</v>
      </c>
      <c r="H724" s="17" t="str">
        <f t="shared" si="33"/>
        <v>350</v>
      </c>
      <c r="I724" s="17">
        <v>1.2</v>
      </c>
      <c r="J724" s="17">
        <v>2.2000000000000002</v>
      </c>
      <c r="K724" s="17">
        <f t="shared" si="34"/>
        <v>1081.33</v>
      </c>
      <c r="L724" s="17">
        <f t="shared" si="35"/>
        <v>1085.33</v>
      </c>
      <c r="M724" s="17">
        <v>0</v>
      </c>
      <c r="N724" s="17">
        <v>50</v>
      </c>
      <c r="O724" s="17">
        <v>0</v>
      </c>
    </row>
    <row r="725" spans="1:15" x14ac:dyDescent="0.2">
      <c r="A725" t="s">
        <v>1925</v>
      </c>
      <c r="B725">
        <v>1083.33</v>
      </c>
      <c r="C725" t="s">
        <v>60</v>
      </c>
      <c r="D725" t="s">
        <v>61</v>
      </c>
      <c r="E725" t="s">
        <v>253</v>
      </c>
      <c r="F725" t="s">
        <v>111</v>
      </c>
      <c r="G725" s="17">
        <v>0</v>
      </c>
      <c r="H725" s="17" t="str">
        <f t="shared" si="33"/>
        <v>350</v>
      </c>
      <c r="I725" s="17">
        <v>1.2</v>
      </c>
      <c r="J725" s="17">
        <v>2.2000000000000002</v>
      </c>
      <c r="K725" s="17">
        <f t="shared" si="34"/>
        <v>1081.33</v>
      </c>
      <c r="L725" s="17">
        <f t="shared" si="35"/>
        <v>1085.33</v>
      </c>
      <c r="M725" s="17">
        <v>0</v>
      </c>
      <c r="N725" s="17">
        <v>50</v>
      </c>
      <c r="O725" s="17">
        <v>0</v>
      </c>
    </row>
    <row r="726" spans="1:15" x14ac:dyDescent="0.2">
      <c r="A726" t="s">
        <v>1927</v>
      </c>
      <c r="B726">
        <v>1083.33</v>
      </c>
      <c r="C726" t="s">
        <v>60</v>
      </c>
      <c r="D726" t="s">
        <v>61</v>
      </c>
      <c r="E726" t="s">
        <v>253</v>
      </c>
      <c r="G726" s="17">
        <v>0</v>
      </c>
      <c r="H726" s="17" t="str">
        <f t="shared" si="33"/>
        <v>350</v>
      </c>
      <c r="I726" s="17">
        <v>1.2</v>
      </c>
      <c r="J726" s="17">
        <v>2.2000000000000002</v>
      </c>
      <c r="K726" s="17">
        <f t="shared" si="34"/>
        <v>1081.33</v>
      </c>
      <c r="L726" s="17">
        <f t="shared" si="35"/>
        <v>1085.33</v>
      </c>
      <c r="M726" s="17">
        <v>0</v>
      </c>
      <c r="N726" s="17">
        <v>50</v>
      </c>
      <c r="O726" s="17">
        <v>0</v>
      </c>
    </row>
    <row r="727" spans="1:15" x14ac:dyDescent="0.2">
      <c r="A727" t="s">
        <v>1929</v>
      </c>
      <c r="B727">
        <v>1083.33</v>
      </c>
      <c r="C727" t="s">
        <v>60</v>
      </c>
      <c r="D727" t="s">
        <v>156</v>
      </c>
      <c r="E727" t="s">
        <v>445</v>
      </c>
      <c r="G727" s="17">
        <v>0</v>
      </c>
      <c r="H727" s="17" t="str">
        <f t="shared" si="33"/>
        <v>120</v>
      </c>
      <c r="I727" s="17">
        <v>1.2</v>
      </c>
      <c r="J727" s="17">
        <v>2.2000000000000002</v>
      </c>
      <c r="K727" s="17">
        <f t="shared" si="34"/>
        <v>1081.33</v>
      </c>
      <c r="L727" s="17">
        <f t="shared" si="35"/>
        <v>1085.33</v>
      </c>
      <c r="M727" s="17">
        <v>0</v>
      </c>
      <c r="N727" s="17">
        <v>50</v>
      </c>
      <c r="O727" s="17">
        <v>0</v>
      </c>
    </row>
    <row r="728" spans="1:15" x14ac:dyDescent="0.2">
      <c r="A728" t="s">
        <v>1931</v>
      </c>
      <c r="B728">
        <v>1083.33</v>
      </c>
      <c r="C728" t="s">
        <v>60</v>
      </c>
      <c r="D728" t="s">
        <v>156</v>
      </c>
      <c r="E728" t="s">
        <v>1711</v>
      </c>
      <c r="G728" s="17">
        <v>0</v>
      </c>
      <c r="H728" s="17" t="str">
        <f t="shared" si="33"/>
        <v>90</v>
      </c>
      <c r="I728" s="17">
        <v>1.2</v>
      </c>
      <c r="J728" s="17">
        <v>2.2000000000000002</v>
      </c>
      <c r="K728" s="17">
        <f t="shared" si="34"/>
        <v>1081.33</v>
      </c>
      <c r="L728" s="17">
        <f t="shared" si="35"/>
        <v>1085.33</v>
      </c>
      <c r="M728" s="17">
        <v>0</v>
      </c>
      <c r="N728" s="17">
        <v>50</v>
      </c>
      <c r="O728" s="17">
        <v>0</v>
      </c>
    </row>
    <row r="729" spans="1:15" x14ac:dyDescent="0.2">
      <c r="A729" t="s">
        <v>1933</v>
      </c>
      <c r="B729">
        <v>1083.33</v>
      </c>
      <c r="C729" t="s">
        <v>60</v>
      </c>
      <c r="D729" t="s">
        <v>156</v>
      </c>
      <c r="E729" t="s">
        <v>1860</v>
      </c>
      <c r="G729" s="17">
        <v>0</v>
      </c>
      <c r="H729" s="17" t="str">
        <f t="shared" si="33"/>
        <v>45</v>
      </c>
      <c r="I729" s="17">
        <v>1.2</v>
      </c>
      <c r="J729" s="17">
        <v>2.2000000000000002</v>
      </c>
      <c r="K729" s="17">
        <f t="shared" si="34"/>
        <v>1081.33</v>
      </c>
      <c r="L729" s="17">
        <f t="shared" si="35"/>
        <v>1085.33</v>
      </c>
      <c r="M729" s="17">
        <v>0</v>
      </c>
      <c r="N729" s="17">
        <v>50</v>
      </c>
      <c r="O729" s="17">
        <v>0</v>
      </c>
    </row>
    <row r="730" spans="1:15" x14ac:dyDescent="0.2">
      <c r="A730" t="s">
        <v>1935</v>
      </c>
      <c r="B730">
        <v>1083.33</v>
      </c>
      <c r="C730" t="s">
        <v>60</v>
      </c>
      <c r="D730" t="s">
        <v>156</v>
      </c>
      <c r="E730" t="s">
        <v>445</v>
      </c>
      <c r="G730" s="17">
        <v>0</v>
      </c>
      <c r="H730" s="17" t="str">
        <f t="shared" si="33"/>
        <v>120</v>
      </c>
      <c r="I730" s="17">
        <v>1.2</v>
      </c>
      <c r="J730" s="17">
        <v>2.2000000000000002</v>
      </c>
      <c r="K730" s="17">
        <f t="shared" si="34"/>
        <v>1081.33</v>
      </c>
      <c r="L730" s="17">
        <f t="shared" si="35"/>
        <v>1085.33</v>
      </c>
      <c r="M730" s="17">
        <v>0</v>
      </c>
      <c r="N730" s="17">
        <v>50</v>
      </c>
      <c r="O730" s="17">
        <v>0</v>
      </c>
    </row>
    <row r="731" spans="1:15" x14ac:dyDescent="0.2">
      <c r="A731" t="s">
        <v>1937</v>
      </c>
      <c r="B731">
        <v>1083.33</v>
      </c>
      <c r="C731" t="s">
        <v>60</v>
      </c>
      <c r="D731" t="s">
        <v>156</v>
      </c>
      <c r="E731" t="s">
        <v>445</v>
      </c>
      <c r="G731" s="17">
        <v>0</v>
      </c>
      <c r="H731" s="17" t="str">
        <f t="shared" si="33"/>
        <v>120</v>
      </c>
      <c r="I731" s="17">
        <v>1.2</v>
      </c>
      <c r="J731" s="17">
        <v>2.2000000000000002</v>
      </c>
      <c r="K731" s="17">
        <f t="shared" si="34"/>
        <v>1081.33</v>
      </c>
      <c r="L731" s="17">
        <f t="shared" si="35"/>
        <v>1085.33</v>
      </c>
      <c r="M731" s="17">
        <v>0</v>
      </c>
      <c r="N731" s="17">
        <v>50</v>
      </c>
      <c r="O731" s="17">
        <v>0</v>
      </c>
    </row>
    <row r="732" spans="1:15" x14ac:dyDescent="0.2">
      <c r="A732" t="s">
        <v>1939</v>
      </c>
      <c r="B732">
        <v>1083.33</v>
      </c>
      <c r="C732" t="s">
        <v>60</v>
      </c>
      <c r="D732" t="s">
        <v>156</v>
      </c>
      <c r="E732" t="s">
        <v>445</v>
      </c>
      <c r="F732" t="s">
        <v>156</v>
      </c>
      <c r="G732" s="17">
        <v>0</v>
      </c>
      <c r="H732" s="17" t="str">
        <f t="shared" si="33"/>
        <v>120</v>
      </c>
      <c r="I732" s="17">
        <v>1.2</v>
      </c>
      <c r="J732" s="17">
        <v>2.2000000000000002</v>
      </c>
      <c r="K732" s="17">
        <f t="shared" si="34"/>
        <v>1081.33</v>
      </c>
      <c r="L732" s="17">
        <f t="shared" si="35"/>
        <v>1085.33</v>
      </c>
      <c r="M732" s="17">
        <v>0</v>
      </c>
      <c r="N732" s="17">
        <v>50</v>
      </c>
      <c r="O732" s="17">
        <v>0</v>
      </c>
    </row>
    <row r="733" spans="1:15" x14ac:dyDescent="0.2">
      <c r="A733" t="s">
        <v>1941</v>
      </c>
      <c r="B733">
        <v>1083.33</v>
      </c>
      <c r="C733" t="s">
        <v>60</v>
      </c>
      <c r="D733" t="s">
        <v>156</v>
      </c>
      <c r="E733" t="s">
        <v>445</v>
      </c>
      <c r="F733" t="s">
        <v>156</v>
      </c>
      <c r="G733" s="17">
        <v>0</v>
      </c>
      <c r="H733" s="17" t="str">
        <f t="shared" si="33"/>
        <v>120</v>
      </c>
      <c r="I733" s="17">
        <v>1.2</v>
      </c>
      <c r="J733" s="17">
        <v>2.2000000000000002</v>
      </c>
      <c r="K733" s="17">
        <f t="shared" si="34"/>
        <v>1081.33</v>
      </c>
      <c r="L733" s="17">
        <f t="shared" si="35"/>
        <v>1085.33</v>
      </c>
      <c r="M733" s="17">
        <v>0</v>
      </c>
      <c r="N733" s="17">
        <v>50</v>
      </c>
      <c r="O733" s="17">
        <v>0</v>
      </c>
    </row>
    <row r="734" spans="1:15" x14ac:dyDescent="0.2">
      <c r="A734" t="s">
        <v>1943</v>
      </c>
      <c r="B734">
        <v>1083.33</v>
      </c>
      <c r="C734" t="s">
        <v>60</v>
      </c>
      <c r="D734" t="s">
        <v>156</v>
      </c>
      <c r="E734" t="s">
        <v>445</v>
      </c>
      <c r="F734" t="s">
        <v>156</v>
      </c>
      <c r="G734" s="17">
        <v>0</v>
      </c>
      <c r="H734" s="17" t="str">
        <f t="shared" si="33"/>
        <v>120</v>
      </c>
      <c r="I734" s="17">
        <v>1.2</v>
      </c>
      <c r="J734" s="17">
        <v>2.2000000000000002</v>
      </c>
      <c r="K734" s="17">
        <f t="shared" si="34"/>
        <v>1081.33</v>
      </c>
      <c r="L734" s="17">
        <f t="shared" si="35"/>
        <v>1085.33</v>
      </c>
      <c r="M734" s="17">
        <v>0</v>
      </c>
      <c r="N734" s="17">
        <v>50</v>
      </c>
      <c r="O734" s="17">
        <v>0</v>
      </c>
    </row>
    <row r="735" spans="1:15" x14ac:dyDescent="0.2">
      <c r="A735" t="s">
        <v>1945</v>
      </c>
      <c r="B735">
        <v>1083.33</v>
      </c>
      <c r="C735" t="s">
        <v>60</v>
      </c>
      <c r="D735" t="s">
        <v>156</v>
      </c>
      <c r="E735" t="s">
        <v>445</v>
      </c>
      <c r="F735" t="s">
        <v>156</v>
      </c>
      <c r="G735" s="17">
        <v>0</v>
      </c>
      <c r="H735" s="17" t="str">
        <f t="shared" si="33"/>
        <v>120</v>
      </c>
      <c r="I735" s="17">
        <v>1.2</v>
      </c>
      <c r="J735" s="17">
        <v>2.2000000000000002</v>
      </c>
      <c r="K735" s="17">
        <f t="shared" si="34"/>
        <v>1081.33</v>
      </c>
      <c r="L735" s="17">
        <f t="shared" si="35"/>
        <v>1085.33</v>
      </c>
      <c r="M735" s="17">
        <v>0</v>
      </c>
      <c r="N735" s="17">
        <v>50</v>
      </c>
      <c r="O735" s="17">
        <v>0</v>
      </c>
    </row>
    <row r="736" spans="1:15" x14ac:dyDescent="0.2">
      <c r="A736" t="s">
        <v>1947</v>
      </c>
      <c r="B736">
        <v>1083.33</v>
      </c>
      <c r="C736" t="s">
        <v>60</v>
      </c>
      <c r="D736" t="s">
        <v>156</v>
      </c>
      <c r="E736" t="s">
        <v>1711</v>
      </c>
      <c r="F736" t="s">
        <v>111</v>
      </c>
      <c r="G736" s="17">
        <v>0</v>
      </c>
      <c r="H736" s="17" t="str">
        <f t="shared" si="33"/>
        <v>90</v>
      </c>
      <c r="I736" s="17">
        <v>1.2</v>
      </c>
      <c r="J736" s="17">
        <v>2.2000000000000002</v>
      </c>
      <c r="K736" s="17">
        <f t="shared" si="34"/>
        <v>1081.33</v>
      </c>
      <c r="L736" s="17">
        <f t="shared" si="35"/>
        <v>1085.33</v>
      </c>
      <c r="M736" s="17">
        <v>0</v>
      </c>
      <c r="N736" s="17">
        <v>50</v>
      </c>
      <c r="O736" s="17">
        <v>0</v>
      </c>
    </row>
    <row r="737" spans="1:15" x14ac:dyDescent="0.2">
      <c r="A737" t="s">
        <v>1949</v>
      </c>
      <c r="B737">
        <v>1083.33</v>
      </c>
      <c r="C737" t="s">
        <v>60</v>
      </c>
      <c r="D737" t="s">
        <v>156</v>
      </c>
      <c r="E737" t="s">
        <v>1860</v>
      </c>
      <c r="F737" t="s">
        <v>111</v>
      </c>
      <c r="G737" s="17">
        <v>0</v>
      </c>
      <c r="H737" s="17" t="str">
        <f t="shared" si="33"/>
        <v>45</v>
      </c>
      <c r="I737" s="17">
        <v>1.2</v>
      </c>
      <c r="J737" s="17">
        <v>2.2000000000000002</v>
      </c>
      <c r="K737" s="17">
        <f t="shared" si="34"/>
        <v>1081.33</v>
      </c>
      <c r="L737" s="17">
        <f t="shared" si="35"/>
        <v>1085.33</v>
      </c>
      <c r="M737" s="17">
        <v>0</v>
      </c>
      <c r="N737" s="17">
        <v>50</v>
      </c>
      <c r="O737" s="17">
        <v>0</v>
      </c>
    </row>
    <row r="738" spans="1:15" x14ac:dyDescent="0.2">
      <c r="A738" t="s">
        <v>1951</v>
      </c>
      <c r="B738">
        <v>1083.33</v>
      </c>
      <c r="C738" t="s">
        <v>60</v>
      </c>
      <c r="D738" t="s">
        <v>156</v>
      </c>
      <c r="E738" t="s">
        <v>445</v>
      </c>
      <c r="F738" t="s">
        <v>111</v>
      </c>
      <c r="G738" s="17">
        <v>0</v>
      </c>
      <c r="H738" s="17" t="str">
        <f t="shared" si="33"/>
        <v>120</v>
      </c>
      <c r="I738" s="17">
        <v>1.2</v>
      </c>
      <c r="J738" s="17">
        <v>2.2000000000000002</v>
      </c>
      <c r="K738" s="17">
        <f t="shared" si="34"/>
        <v>1081.33</v>
      </c>
      <c r="L738" s="17">
        <f t="shared" si="35"/>
        <v>1085.33</v>
      </c>
      <c r="M738" s="17">
        <v>0</v>
      </c>
      <c r="N738" s="17">
        <v>50</v>
      </c>
      <c r="O738" s="17">
        <v>0</v>
      </c>
    </row>
    <row r="739" spans="1:15" x14ac:dyDescent="0.2">
      <c r="A739" t="s">
        <v>1953</v>
      </c>
      <c r="B739">
        <v>1083.33</v>
      </c>
      <c r="C739" t="s">
        <v>60</v>
      </c>
      <c r="D739" t="s">
        <v>156</v>
      </c>
      <c r="E739" t="s">
        <v>445</v>
      </c>
      <c r="F739" t="s">
        <v>111</v>
      </c>
      <c r="G739" s="17">
        <v>0</v>
      </c>
      <c r="H739" s="17" t="str">
        <f t="shared" si="33"/>
        <v>120</v>
      </c>
      <c r="I739" s="17">
        <v>1.2</v>
      </c>
      <c r="J739" s="17">
        <v>2.2000000000000002</v>
      </c>
      <c r="K739" s="17">
        <f t="shared" si="34"/>
        <v>1081.33</v>
      </c>
      <c r="L739" s="17">
        <f t="shared" si="35"/>
        <v>1085.33</v>
      </c>
      <c r="M739" s="17">
        <v>0</v>
      </c>
      <c r="N739" s="17">
        <v>50</v>
      </c>
      <c r="O739" s="17">
        <v>0</v>
      </c>
    </row>
    <row r="740" spans="1:15" x14ac:dyDescent="0.2">
      <c r="A740" t="s">
        <v>1955</v>
      </c>
      <c r="B740">
        <v>1083.33</v>
      </c>
      <c r="C740" t="s">
        <v>60</v>
      </c>
      <c r="D740" t="s">
        <v>156</v>
      </c>
      <c r="E740" t="s">
        <v>445</v>
      </c>
      <c r="F740" t="s">
        <v>111</v>
      </c>
      <c r="G740" s="17">
        <v>0</v>
      </c>
      <c r="H740" s="17" t="str">
        <f t="shared" si="33"/>
        <v>120</v>
      </c>
      <c r="I740" s="17">
        <v>1.2</v>
      </c>
      <c r="J740" s="17">
        <v>2.2000000000000002</v>
      </c>
      <c r="K740" s="17">
        <f t="shared" si="34"/>
        <v>1081.33</v>
      </c>
      <c r="L740" s="17">
        <f t="shared" si="35"/>
        <v>1085.33</v>
      </c>
      <c r="M740" s="17">
        <v>0</v>
      </c>
      <c r="N740" s="17">
        <v>50</v>
      </c>
      <c r="O740" s="17">
        <v>0</v>
      </c>
    </row>
    <row r="741" spans="1:15" x14ac:dyDescent="0.2">
      <c r="A741" t="s">
        <v>1957</v>
      </c>
      <c r="B741">
        <v>1083.33</v>
      </c>
      <c r="C741" t="s">
        <v>60</v>
      </c>
      <c r="D741" t="s">
        <v>156</v>
      </c>
      <c r="E741" t="s">
        <v>445</v>
      </c>
      <c r="F741" t="s">
        <v>111</v>
      </c>
      <c r="G741" s="17">
        <v>0</v>
      </c>
      <c r="H741" s="17" t="str">
        <f t="shared" si="33"/>
        <v>120</v>
      </c>
      <c r="I741" s="17">
        <v>1.2</v>
      </c>
      <c r="J741" s="17">
        <v>2.2000000000000002</v>
      </c>
      <c r="K741" s="17">
        <f t="shared" si="34"/>
        <v>1081.33</v>
      </c>
      <c r="L741" s="17">
        <f t="shared" si="35"/>
        <v>1085.33</v>
      </c>
      <c r="M741" s="17">
        <v>0</v>
      </c>
      <c r="N741" s="17">
        <v>50</v>
      </c>
      <c r="O741" s="17">
        <v>0</v>
      </c>
    </row>
    <row r="742" spans="1:15" x14ac:dyDescent="0.2">
      <c r="A742" t="s">
        <v>1959</v>
      </c>
      <c r="B742">
        <v>1083.33</v>
      </c>
      <c r="C742" t="s">
        <v>60</v>
      </c>
      <c r="D742" t="s">
        <v>61</v>
      </c>
      <c r="E742" t="s">
        <v>253</v>
      </c>
      <c r="G742" s="17">
        <v>0</v>
      </c>
      <c r="H742" s="17" t="str">
        <f t="shared" si="33"/>
        <v>350</v>
      </c>
      <c r="I742" s="17">
        <v>1.2</v>
      </c>
      <c r="J742" s="17">
        <v>2.2000000000000002</v>
      </c>
      <c r="K742" s="17">
        <f t="shared" si="34"/>
        <v>1081.33</v>
      </c>
      <c r="L742" s="17">
        <f t="shared" si="35"/>
        <v>1085.33</v>
      </c>
      <c r="M742" s="17">
        <v>0</v>
      </c>
      <c r="N742" s="17">
        <v>50</v>
      </c>
      <c r="O742" s="17">
        <v>0</v>
      </c>
    </row>
    <row r="743" spans="1:15" x14ac:dyDescent="0.2">
      <c r="A743" t="s">
        <v>1961</v>
      </c>
      <c r="B743">
        <v>1083.33</v>
      </c>
      <c r="C743" t="s">
        <v>60</v>
      </c>
      <c r="D743" t="s">
        <v>61</v>
      </c>
      <c r="E743" t="s">
        <v>253</v>
      </c>
      <c r="F743" t="s">
        <v>111</v>
      </c>
      <c r="G743" s="17">
        <v>0</v>
      </c>
      <c r="H743" s="17" t="str">
        <f t="shared" si="33"/>
        <v>350</v>
      </c>
      <c r="I743" s="17">
        <v>1.2</v>
      </c>
      <c r="J743" s="17">
        <v>2.2000000000000002</v>
      </c>
      <c r="K743" s="17">
        <f t="shared" si="34"/>
        <v>1081.33</v>
      </c>
      <c r="L743" s="17">
        <f t="shared" si="35"/>
        <v>1085.33</v>
      </c>
      <c r="M743" s="17">
        <v>0</v>
      </c>
      <c r="N743" s="17">
        <v>50</v>
      </c>
      <c r="O743" s="17">
        <v>0</v>
      </c>
    </row>
    <row r="744" spans="1:15" x14ac:dyDescent="0.2">
      <c r="A744" t="s">
        <v>1963</v>
      </c>
      <c r="B744">
        <v>1083.33</v>
      </c>
      <c r="C744" t="s">
        <v>60</v>
      </c>
      <c r="D744" t="s">
        <v>156</v>
      </c>
      <c r="E744" t="s">
        <v>445</v>
      </c>
      <c r="F744" t="s">
        <v>306</v>
      </c>
      <c r="G744" s="17">
        <v>0</v>
      </c>
      <c r="H744" s="17" t="str">
        <f t="shared" si="33"/>
        <v>120</v>
      </c>
      <c r="I744" s="17">
        <v>1.2</v>
      </c>
      <c r="J744" s="17">
        <v>2.2000000000000002</v>
      </c>
      <c r="K744" s="17">
        <f t="shared" si="34"/>
        <v>1081.33</v>
      </c>
      <c r="L744" s="17">
        <f t="shared" si="35"/>
        <v>1085.33</v>
      </c>
      <c r="M744" s="17">
        <v>0</v>
      </c>
      <c r="N744" s="17">
        <v>50</v>
      </c>
      <c r="O744" s="17">
        <v>0</v>
      </c>
    </row>
    <row r="745" spans="1:15" x14ac:dyDescent="0.2">
      <c r="A745" t="s">
        <v>1965</v>
      </c>
      <c r="B745">
        <v>1083.33</v>
      </c>
      <c r="C745" t="s">
        <v>60</v>
      </c>
      <c r="D745" t="s">
        <v>156</v>
      </c>
      <c r="E745" t="s">
        <v>445</v>
      </c>
      <c r="F745" t="s">
        <v>306</v>
      </c>
      <c r="G745" s="17">
        <v>0</v>
      </c>
      <c r="H745" s="17" t="str">
        <f t="shared" si="33"/>
        <v>120</v>
      </c>
      <c r="I745" s="17">
        <v>1.2</v>
      </c>
      <c r="J745" s="17">
        <v>2.2000000000000002</v>
      </c>
      <c r="K745" s="17">
        <f t="shared" si="34"/>
        <v>1081.33</v>
      </c>
      <c r="L745" s="17">
        <f t="shared" si="35"/>
        <v>1085.33</v>
      </c>
      <c r="M745" s="17">
        <v>0</v>
      </c>
      <c r="N745" s="17">
        <v>50</v>
      </c>
      <c r="O745" s="17">
        <v>0</v>
      </c>
    </row>
    <row r="746" spans="1:15" x14ac:dyDescent="0.2">
      <c r="A746" t="s">
        <v>1967</v>
      </c>
      <c r="B746">
        <v>1083.33</v>
      </c>
      <c r="C746" t="s">
        <v>60</v>
      </c>
      <c r="D746" t="s">
        <v>156</v>
      </c>
      <c r="E746" t="s">
        <v>445</v>
      </c>
      <c r="F746" t="s">
        <v>306</v>
      </c>
      <c r="G746" s="17">
        <v>0</v>
      </c>
      <c r="H746" s="17" t="str">
        <f t="shared" si="33"/>
        <v>120</v>
      </c>
      <c r="I746" s="17">
        <v>1.2</v>
      </c>
      <c r="J746" s="17">
        <v>2.2000000000000002</v>
      </c>
      <c r="K746" s="17">
        <f t="shared" si="34"/>
        <v>1081.33</v>
      </c>
      <c r="L746" s="17">
        <f t="shared" si="35"/>
        <v>1085.33</v>
      </c>
      <c r="M746" s="17">
        <v>0</v>
      </c>
      <c r="N746" s="17">
        <v>50</v>
      </c>
      <c r="O746" s="17">
        <v>0</v>
      </c>
    </row>
    <row r="747" spans="1:15" x14ac:dyDescent="0.2">
      <c r="A747" t="s">
        <v>1969</v>
      </c>
      <c r="B747">
        <v>1083.33</v>
      </c>
      <c r="C747" t="s">
        <v>60</v>
      </c>
      <c r="D747" t="s">
        <v>156</v>
      </c>
      <c r="E747" t="s">
        <v>445</v>
      </c>
      <c r="F747" t="s">
        <v>306</v>
      </c>
      <c r="G747" s="17">
        <v>0</v>
      </c>
      <c r="H747" s="17" t="str">
        <f t="shared" si="33"/>
        <v>120</v>
      </c>
      <c r="I747" s="17">
        <v>1.2</v>
      </c>
      <c r="J747" s="17">
        <v>2.2000000000000002</v>
      </c>
      <c r="K747" s="17">
        <f t="shared" si="34"/>
        <v>1081.33</v>
      </c>
      <c r="L747" s="17">
        <f t="shared" si="35"/>
        <v>1085.33</v>
      </c>
      <c r="M747" s="17">
        <v>0</v>
      </c>
      <c r="N747" s="17">
        <v>50</v>
      </c>
      <c r="O747" s="17">
        <v>0</v>
      </c>
    </row>
    <row r="748" spans="1:15" x14ac:dyDescent="0.2">
      <c r="A748" t="s">
        <v>1971</v>
      </c>
      <c r="B748">
        <v>1083.33</v>
      </c>
      <c r="C748" t="s">
        <v>60</v>
      </c>
      <c r="D748" t="s">
        <v>156</v>
      </c>
      <c r="E748" t="s">
        <v>445</v>
      </c>
      <c r="G748" s="17">
        <v>0</v>
      </c>
      <c r="H748" s="17" t="str">
        <f t="shared" si="33"/>
        <v>120</v>
      </c>
      <c r="I748" s="17">
        <v>1.2</v>
      </c>
      <c r="J748" s="17">
        <v>2.2000000000000002</v>
      </c>
      <c r="K748" s="17">
        <f t="shared" si="34"/>
        <v>1081.33</v>
      </c>
      <c r="L748" s="17">
        <f t="shared" si="35"/>
        <v>1085.33</v>
      </c>
      <c r="M748" s="17">
        <v>0</v>
      </c>
      <c r="N748" s="17">
        <v>50</v>
      </c>
      <c r="O748" s="17">
        <v>0</v>
      </c>
    </row>
    <row r="749" spans="1:15" x14ac:dyDescent="0.2">
      <c r="A749" t="s">
        <v>1973</v>
      </c>
      <c r="B749">
        <v>1083.33</v>
      </c>
      <c r="C749" t="s">
        <v>60</v>
      </c>
      <c r="D749" t="s">
        <v>156</v>
      </c>
      <c r="E749" t="s">
        <v>445</v>
      </c>
      <c r="G749" s="17">
        <v>0</v>
      </c>
      <c r="H749" s="17" t="str">
        <f t="shared" si="33"/>
        <v>120</v>
      </c>
      <c r="I749" s="17">
        <v>1.2</v>
      </c>
      <c r="J749" s="17">
        <v>2.2000000000000002</v>
      </c>
      <c r="K749" s="17">
        <f t="shared" si="34"/>
        <v>1081.33</v>
      </c>
      <c r="L749" s="17">
        <f t="shared" si="35"/>
        <v>1085.33</v>
      </c>
      <c r="M749" s="17">
        <v>0</v>
      </c>
      <c r="N749" s="17">
        <v>50</v>
      </c>
      <c r="O749" s="17">
        <v>0</v>
      </c>
    </row>
    <row r="750" spans="1:15" x14ac:dyDescent="0.2">
      <c r="A750" t="s">
        <v>1975</v>
      </c>
      <c r="B750" t="s">
        <v>1976</v>
      </c>
      <c r="C750" t="s">
        <v>60</v>
      </c>
      <c r="D750" t="s">
        <v>61</v>
      </c>
      <c r="E750" t="s">
        <v>1212</v>
      </c>
      <c r="F750" t="s">
        <v>159</v>
      </c>
      <c r="G750" s="17">
        <v>0</v>
      </c>
      <c r="H750" s="17" t="str">
        <f t="shared" si="33"/>
        <v>240</v>
      </c>
      <c r="I750" s="17">
        <v>1.2</v>
      </c>
      <c r="J750" s="17">
        <v>2.2000000000000002</v>
      </c>
      <c r="K750" s="17">
        <f t="shared" si="34"/>
        <v>933</v>
      </c>
      <c r="L750" s="17">
        <f t="shared" si="35"/>
        <v>937</v>
      </c>
      <c r="M750" s="17">
        <v>0</v>
      </c>
      <c r="N750" s="17">
        <v>50</v>
      </c>
      <c r="O750" s="17">
        <v>0</v>
      </c>
    </row>
    <row r="751" spans="1:15" x14ac:dyDescent="0.2">
      <c r="A751" t="s">
        <v>1978</v>
      </c>
      <c r="B751" t="s">
        <v>1979</v>
      </c>
      <c r="C751" t="s">
        <v>60</v>
      </c>
      <c r="D751" t="s">
        <v>61</v>
      </c>
      <c r="E751" t="s">
        <v>1647</v>
      </c>
      <c r="F751" t="s">
        <v>159</v>
      </c>
      <c r="G751" s="17">
        <v>0</v>
      </c>
      <c r="H751" s="17" t="str">
        <f t="shared" si="33"/>
        <v>350</v>
      </c>
      <c r="I751" s="17">
        <v>1.2</v>
      </c>
      <c r="J751" s="17">
        <v>2.2000000000000002</v>
      </c>
      <c r="K751" s="17">
        <f t="shared" si="34"/>
        <v>974</v>
      </c>
      <c r="L751" s="17">
        <f t="shared" si="35"/>
        <v>978</v>
      </c>
      <c r="M751" s="17">
        <v>0</v>
      </c>
      <c r="N751" s="17">
        <v>50</v>
      </c>
      <c r="O751" s="17">
        <v>0</v>
      </c>
    </row>
    <row r="752" spans="1:15" x14ac:dyDescent="0.2">
      <c r="A752" t="s">
        <v>1981</v>
      </c>
      <c r="B752">
        <v>1090</v>
      </c>
      <c r="C752" t="s">
        <v>60</v>
      </c>
      <c r="D752" t="s">
        <v>156</v>
      </c>
      <c r="E752" t="s">
        <v>157</v>
      </c>
      <c r="G752" s="17">
        <v>0</v>
      </c>
      <c r="H752" s="17" t="str">
        <f t="shared" si="33"/>
        <v>180</v>
      </c>
      <c r="I752" s="17">
        <v>1.2</v>
      </c>
      <c r="J752" s="17">
        <v>2.2000000000000002</v>
      </c>
      <c r="K752" s="17">
        <f t="shared" si="34"/>
        <v>1088</v>
      </c>
      <c r="L752" s="17">
        <f t="shared" si="35"/>
        <v>1092</v>
      </c>
      <c r="M752" s="17">
        <v>0</v>
      </c>
      <c r="N752" s="17">
        <v>50</v>
      </c>
      <c r="O752" s="17">
        <v>0</v>
      </c>
    </row>
    <row r="753" spans="1:15" x14ac:dyDescent="0.2">
      <c r="A753" t="s">
        <v>1983</v>
      </c>
      <c r="B753">
        <v>1090</v>
      </c>
      <c r="C753" t="s">
        <v>60</v>
      </c>
      <c r="D753" t="s">
        <v>156</v>
      </c>
      <c r="E753" t="s">
        <v>1711</v>
      </c>
      <c r="G753" s="17">
        <v>0</v>
      </c>
      <c r="H753" s="17" t="str">
        <f t="shared" si="33"/>
        <v>90</v>
      </c>
      <c r="I753" s="17">
        <v>1.2</v>
      </c>
      <c r="J753" s="17">
        <v>2.2000000000000002</v>
      </c>
      <c r="K753" s="17">
        <f t="shared" si="34"/>
        <v>1088</v>
      </c>
      <c r="L753" s="17">
        <f t="shared" si="35"/>
        <v>1092</v>
      </c>
      <c r="M753" s="17">
        <v>0</v>
      </c>
      <c r="N753" s="17">
        <v>50</v>
      </c>
      <c r="O753" s="17">
        <v>0</v>
      </c>
    </row>
    <row r="754" spans="1:15" x14ac:dyDescent="0.2">
      <c r="A754" t="s">
        <v>1985</v>
      </c>
      <c r="B754">
        <v>1090</v>
      </c>
      <c r="C754" t="s">
        <v>60</v>
      </c>
      <c r="D754" t="s">
        <v>156</v>
      </c>
      <c r="E754" t="s">
        <v>1860</v>
      </c>
      <c r="G754" s="17">
        <v>0</v>
      </c>
      <c r="H754" s="17" t="str">
        <f t="shared" si="33"/>
        <v>45</v>
      </c>
      <c r="I754" s="17">
        <v>1.2</v>
      </c>
      <c r="J754" s="17">
        <v>2.2000000000000002</v>
      </c>
      <c r="K754" s="17">
        <f t="shared" si="34"/>
        <v>1088</v>
      </c>
      <c r="L754" s="17">
        <f t="shared" si="35"/>
        <v>1092</v>
      </c>
      <c r="M754" s="17">
        <v>0</v>
      </c>
      <c r="N754" s="17">
        <v>50</v>
      </c>
      <c r="O754" s="17">
        <v>0</v>
      </c>
    </row>
    <row r="755" spans="1:15" x14ac:dyDescent="0.2">
      <c r="A755" t="s">
        <v>1987</v>
      </c>
      <c r="B755">
        <v>1090</v>
      </c>
      <c r="C755" t="s">
        <v>60</v>
      </c>
      <c r="D755" t="s">
        <v>156</v>
      </c>
      <c r="E755" t="s">
        <v>157</v>
      </c>
      <c r="G755" s="17">
        <v>0</v>
      </c>
      <c r="H755" s="17" t="str">
        <f t="shared" si="33"/>
        <v>180</v>
      </c>
      <c r="I755" s="17">
        <v>1.2</v>
      </c>
      <c r="J755" s="17">
        <v>2.2000000000000002</v>
      </c>
      <c r="K755" s="17">
        <f t="shared" si="34"/>
        <v>1088</v>
      </c>
      <c r="L755" s="17">
        <f t="shared" si="35"/>
        <v>1092</v>
      </c>
      <c r="M755" s="17">
        <v>0</v>
      </c>
      <c r="N755" s="17">
        <v>50</v>
      </c>
      <c r="O755" s="17">
        <v>0</v>
      </c>
    </row>
    <row r="756" spans="1:15" x14ac:dyDescent="0.2">
      <c r="A756" t="s">
        <v>1989</v>
      </c>
      <c r="B756">
        <v>1090</v>
      </c>
      <c r="C756" t="s">
        <v>60</v>
      </c>
      <c r="D756" t="s">
        <v>156</v>
      </c>
      <c r="E756" t="s">
        <v>157</v>
      </c>
      <c r="G756" s="17">
        <v>0</v>
      </c>
      <c r="H756" s="17" t="str">
        <f t="shared" si="33"/>
        <v>180</v>
      </c>
      <c r="I756" s="17">
        <v>1.2</v>
      </c>
      <c r="J756" s="17">
        <v>2.2000000000000002</v>
      </c>
      <c r="K756" s="17">
        <f t="shared" si="34"/>
        <v>1088</v>
      </c>
      <c r="L756" s="17">
        <f t="shared" si="35"/>
        <v>1092</v>
      </c>
      <c r="M756" s="17">
        <v>0</v>
      </c>
      <c r="N756" s="17">
        <v>50</v>
      </c>
      <c r="O756" s="17">
        <v>0</v>
      </c>
    </row>
    <row r="757" spans="1:15" x14ac:dyDescent="0.2">
      <c r="A757" t="s">
        <v>1991</v>
      </c>
      <c r="B757">
        <v>1090</v>
      </c>
      <c r="C757" t="s">
        <v>60</v>
      </c>
      <c r="D757" t="s">
        <v>156</v>
      </c>
      <c r="E757" t="s">
        <v>157</v>
      </c>
      <c r="F757" t="s">
        <v>156</v>
      </c>
      <c r="G757" s="17">
        <v>0</v>
      </c>
      <c r="H757" s="17" t="str">
        <f t="shared" si="33"/>
        <v>180</v>
      </c>
      <c r="I757" s="17">
        <v>1.2</v>
      </c>
      <c r="J757" s="17">
        <v>2.2000000000000002</v>
      </c>
      <c r="K757" s="17">
        <f t="shared" si="34"/>
        <v>1088</v>
      </c>
      <c r="L757" s="17">
        <f t="shared" si="35"/>
        <v>1092</v>
      </c>
      <c r="M757" s="17">
        <v>0</v>
      </c>
      <c r="N757" s="17">
        <v>50</v>
      </c>
      <c r="O757" s="17">
        <v>0</v>
      </c>
    </row>
    <row r="758" spans="1:15" x14ac:dyDescent="0.2">
      <c r="A758" t="s">
        <v>1993</v>
      </c>
      <c r="B758">
        <v>1090</v>
      </c>
      <c r="C758" t="s">
        <v>60</v>
      </c>
      <c r="D758" t="s">
        <v>156</v>
      </c>
      <c r="E758" t="s">
        <v>157</v>
      </c>
      <c r="F758" t="s">
        <v>156</v>
      </c>
      <c r="G758" s="17">
        <v>0</v>
      </c>
      <c r="H758" s="17" t="str">
        <f t="shared" si="33"/>
        <v>180</v>
      </c>
      <c r="I758" s="17">
        <v>1.2</v>
      </c>
      <c r="J758" s="17">
        <v>2.2000000000000002</v>
      </c>
      <c r="K758" s="17">
        <f t="shared" si="34"/>
        <v>1088</v>
      </c>
      <c r="L758" s="17">
        <f t="shared" si="35"/>
        <v>1092</v>
      </c>
      <c r="M758" s="17">
        <v>0</v>
      </c>
      <c r="N758" s="17">
        <v>50</v>
      </c>
      <c r="O758" s="17">
        <v>0</v>
      </c>
    </row>
    <row r="759" spans="1:15" x14ac:dyDescent="0.2">
      <c r="A759" t="s">
        <v>1995</v>
      </c>
      <c r="B759">
        <v>1090</v>
      </c>
      <c r="C759" t="s">
        <v>60</v>
      </c>
      <c r="D759" t="s">
        <v>156</v>
      </c>
      <c r="E759" t="s">
        <v>157</v>
      </c>
      <c r="F759" t="s">
        <v>156</v>
      </c>
      <c r="G759" s="17">
        <v>0</v>
      </c>
      <c r="H759" s="17" t="str">
        <f t="shared" si="33"/>
        <v>180</v>
      </c>
      <c r="I759" s="17">
        <v>1.2</v>
      </c>
      <c r="J759" s="17">
        <v>2.2000000000000002</v>
      </c>
      <c r="K759" s="17">
        <f t="shared" si="34"/>
        <v>1088</v>
      </c>
      <c r="L759" s="17">
        <f t="shared" si="35"/>
        <v>1092</v>
      </c>
      <c r="M759" s="17">
        <v>0</v>
      </c>
      <c r="N759" s="17">
        <v>50</v>
      </c>
      <c r="O759" s="17">
        <v>0</v>
      </c>
    </row>
    <row r="760" spans="1:15" x14ac:dyDescent="0.2">
      <c r="A760" t="s">
        <v>1997</v>
      </c>
      <c r="B760">
        <v>1090</v>
      </c>
      <c r="C760" t="s">
        <v>60</v>
      </c>
      <c r="D760" t="s">
        <v>156</v>
      </c>
      <c r="E760" t="s">
        <v>157</v>
      </c>
      <c r="F760" t="s">
        <v>156</v>
      </c>
      <c r="G760" s="17">
        <v>0</v>
      </c>
      <c r="H760" s="17" t="str">
        <f t="shared" si="33"/>
        <v>180</v>
      </c>
      <c r="I760" s="17">
        <v>1.2</v>
      </c>
      <c r="J760" s="17">
        <v>2.2000000000000002</v>
      </c>
      <c r="K760" s="17">
        <f t="shared" si="34"/>
        <v>1088</v>
      </c>
      <c r="L760" s="17">
        <f t="shared" si="35"/>
        <v>1092</v>
      </c>
      <c r="M760" s="17">
        <v>0</v>
      </c>
      <c r="N760" s="17">
        <v>50</v>
      </c>
      <c r="O760" s="17">
        <v>0</v>
      </c>
    </row>
    <row r="761" spans="1:15" x14ac:dyDescent="0.2">
      <c r="A761" t="s">
        <v>1999</v>
      </c>
      <c r="B761">
        <v>1090</v>
      </c>
      <c r="C761" t="s">
        <v>60</v>
      </c>
      <c r="D761" t="s">
        <v>156</v>
      </c>
      <c r="E761" t="s">
        <v>1711</v>
      </c>
      <c r="F761" t="s">
        <v>111</v>
      </c>
      <c r="G761" s="17">
        <v>0</v>
      </c>
      <c r="H761" s="17" t="str">
        <f t="shared" si="33"/>
        <v>90</v>
      </c>
      <c r="I761" s="17">
        <v>1.2</v>
      </c>
      <c r="J761" s="17">
        <v>2.2000000000000002</v>
      </c>
      <c r="K761" s="17">
        <f t="shared" si="34"/>
        <v>1088</v>
      </c>
      <c r="L761" s="17">
        <f t="shared" si="35"/>
        <v>1092</v>
      </c>
      <c r="M761" s="17">
        <v>0</v>
      </c>
      <c r="N761" s="17">
        <v>50</v>
      </c>
      <c r="O761" s="17">
        <v>0</v>
      </c>
    </row>
    <row r="762" spans="1:15" x14ac:dyDescent="0.2">
      <c r="A762" t="s">
        <v>2001</v>
      </c>
      <c r="B762">
        <v>1090</v>
      </c>
      <c r="C762" t="s">
        <v>60</v>
      </c>
      <c r="D762" t="s">
        <v>156</v>
      </c>
      <c r="E762" t="s">
        <v>1860</v>
      </c>
      <c r="F762" t="s">
        <v>111</v>
      </c>
      <c r="G762" s="17">
        <v>0</v>
      </c>
      <c r="H762" s="17" t="str">
        <f t="shared" si="33"/>
        <v>45</v>
      </c>
      <c r="I762" s="17">
        <v>1.2</v>
      </c>
      <c r="J762" s="17">
        <v>2.2000000000000002</v>
      </c>
      <c r="K762" s="17">
        <f t="shared" si="34"/>
        <v>1088</v>
      </c>
      <c r="L762" s="17">
        <f t="shared" si="35"/>
        <v>1092</v>
      </c>
      <c r="M762" s="17">
        <v>0</v>
      </c>
      <c r="N762" s="17">
        <v>50</v>
      </c>
      <c r="O762" s="17">
        <v>0</v>
      </c>
    </row>
    <row r="763" spans="1:15" x14ac:dyDescent="0.2">
      <c r="A763" t="s">
        <v>2003</v>
      </c>
      <c r="B763">
        <v>1090</v>
      </c>
      <c r="C763" t="s">
        <v>60</v>
      </c>
      <c r="D763" t="s">
        <v>156</v>
      </c>
      <c r="E763" t="s">
        <v>157</v>
      </c>
      <c r="F763" t="s">
        <v>111</v>
      </c>
      <c r="G763" s="17">
        <v>0</v>
      </c>
      <c r="H763" s="17" t="str">
        <f t="shared" si="33"/>
        <v>180</v>
      </c>
      <c r="I763" s="17">
        <v>1.2</v>
      </c>
      <c r="J763" s="17">
        <v>2.2000000000000002</v>
      </c>
      <c r="K763" s="17">
        <f t="shared" si="34"/>
        <v>1088</v>
      </c>
      <c r="L763" s="17">
        <f t="shared" si="35"/>
        <v>1092</v>
      </c>
      <c r="M763" s="17">
        <v>0</v>
      </c>
      <c r="N763" s="17">
        <v>50</v>
      </c>
      <c r="O763" s="17">
        <v>0</v>
      </c>
    </row>
    <row r="764" spans="1:15" x14ac:dyDescent="0.2">
      <c r="A764" t="s">
        <v>2005</v>
      </c>
      <c r="B764">
        <v>1090</v>
      </c>
      <c r="C764" t="s">
        <v>60</v>
      </c>
      <c r="D764" t="s">
        <v>156</v>
      </c>
      <c r="E764" t="s">
        <v>157</v>
      </c>
      <c r="F764" t="s">
        <v>111</v>
      </c>
      <c r="G764" s="17">
        <v>0</v>
      </c>
      <c r="H764" s="17" t="str">
        <f t="shared" si="33"/>
        <v>180</v>
      </c>
      <c r="I764" s="17">
        <v>1.2</v>
      </c>
      <c r="J764" s="17">
        <v>2.2000000000000002</v>
      </c>
      <c r="K764" s="17">
        <f t="shared" si="34"/>
        <v>1088</v>
      </c>
      <c r="L764" s="17">
        <f t="shared" si="35"/>
        <v>1092</v>
      </c>
      <c r="M764" s="17">
        <v>0</v>
      </c>
      <c r="N764" s="17">
        <v>50</v>
      </c>
      <c r="O764" s="17">
        <v>0</v>
      </c>
    </row>
    <row r="765" spans="1:15" x14ac:dyDescent="0.2">
      <c r="A765" t="s">
        <v>2007</v>
      </c>
      <c r="B765">
        <v>1090</v>
      </c>
      <c r="C765" t="s">
        <v>60</v>
      </c>
      <c r="D765" t="s">
        <v>156</v>
      </c>
      <c r="E765" t="s">
        <v>157</v>
      </c>
      <c r="F765" t="s">
        <v>111</v>
      </c>
      <c r="G765" s="17">
        <v>0</v>
      </c>
      <c r="H765" s="17" t="str">
        <f t="shared" si="33"/>
        <v>180</v>
      </c>
      <c r="I765" s="17">
        <v>1.2</v>
      </c>
      <c r="J765" s="17">
        <v>2.2000000000000002</v>
      </c>
      <c r="K765" s="17">
        <f t="shared" si="34"/>
        <v>1088</v>
      </c>
      <c r="L765" s="17">
        <f t="shared" si="35"/>
        <v>1092</v>
      </c>
      <c r="M765" s="17">
        <v>0</v>
      </c>
      <c r="N765" s="17">
        <v>50</v>
      </c>
      <c r="O765" s="17">
        <v>0</v>
      </c>
    </row>
    <row r="766" spans="1:15" x14ac:dyDescent="0.2">
      <c r="A766" t="s">
        <v>2009</v>
      </c>
      <c r="B766">
        <v>1090</v>
      </c>
      <c r="C766" t="s">
        <v>60</v>
      </c>
      <c r="D766" t="s">
        <v>156</v>
      </c>
      <c r="E766" t="s">
        <v>157</v>
      </c>
      <c r="F766" t="s">
        <v>111</v>
      </c>
      <c r="G766" s="17">
        <v>0</v>
      </c>
      <c r="H766" s="17" t="str">
        <f t="shared" si="33"/>
        <v>180</v>
      </c>
      <c r="I766" s="17">
        <v>1.2</v>
      </c>
      <c r="J766" s="17">
        <v>2.2000000000000002</v>
      </c>
      <c r="K766" s="17">
        <f t="shared" si="34"/>
        <v>1088</v>
      </c>
      <c r="L766" s="17">
        <f t="shared" si="35"/>
        <v>1092</v>
      </c>
      <c r="M766" s="17">
        <v>0</v>
      </c>
      <c r="N766" s="17">
        <v>50</v>
      </c>
      <c r="O766" s="17">
        <v>0</v>
      </c>
    </row>
    <row r="767" spans="1:15" x14ac:dyDescent="0.2">
      <c r="A767" t="s">
        <v>2011</v>
      </c>
      <c r="B767">
        <v>1090</v>
      </c>
      <c r="C767" t="s">
        <v>60</v>
      </c>
      <c r="D767" t="s">
        <v>156</v>
      </c>
      <c r="E767" t="s">
        <v>157</v>
      </c>
      <c r="F767" t="s">
        <v>306</v>
      </c>
      <c r="G767" s="17">
        <v>0</v>
      </c>
      <c r="H767" s="17" t="str">
        <f t="shared" si="33"/>
        <v>180</v>
      </c>
      <c r="I767" s="17">
        <v>1.2</v>
      </c>
      <c r="J767" s="17">
        <v>2.2000000000000002</v>
      </c>
      <c r="K767" s="17">
        <f t="shared" si="34"/>
        <v>1088</v>
      </c>
      <c r="L767" s="17">
        <f t="shared" si="35"/>
        <v>1092</v>
      </c>
      <c r="M767" s="17">
        <v>0</v>
      </c>
      <c r="N767" s="17">
        <v>50</v>
      </c>
      <c r="O767" s="17">
        <v>0</v>
      </c>
    </row>
    <row r="768" spans="1:15" x14ac:dyDescent="0.2">
      <c r="A768" t="s">
        <v>2013</v>
      </c>
      <c r="B768">
        <v>1090</v>
      </c>
      <c r="C768" t="s">
        <v>60</v>
      </c>
      <c r="D768" t="s">
        <v>156</v>
      </c>
      <c r="E768" t="s">
        <v>157</v>
      </c>
      <c r="F768" t="s">
        <v>306</v>
      </c>
      <c r="G768" s="17">
        <v>0</v>
      </c>
      <c r="H768" s="17" t="str">
        <f t="shared" si="33"/>
        <v>180</v>
      </c>
      <c r="I768" s="17">
        <v>1.2</v>
      </c>
      <c r="J768" s="17">
        <v>2.2000000000000002</v>
      </c>
      <c r="K768" s="17">
        <f t="shared" si="34"/>
        <v>1088</v>
      </c>
      <c r="L768" s="17">
        <f t="shared" si="35"/>
        <v>1092</v>
      </c>
      <c r="M768" s="17">
        <v>0</v>
      </c>
      <c r="N768" s="17">
        <v>50</v>
      </c>
      <c r="O768" s="17">
        <v>0</v>
      </c>
    </row>
    <row r="769" spans="1:15" x14ac:dyDescent="0.2">
      <c r="A769" t="s">
        <v>2015</v>
      </c>
      <c r="B769">
        <v>1090</v>
      </c>
      <c r="C769" t="s">
        <v>60</v>
      </c>
      <c r="D769" t="s">
        <v>156</v>
      </c>
      <c r="E769" t="s">
        <v>157</v>
      </c>
      <c r="F769" t="s">
        <v>306</v>
      </c>
      <c r="G769" s="17">
        <v>0</v>
      </c>
      <c r="H769" s="17" t="str">
        <f t="shared" si="33"/>
        <v>180</v>
      </c>
      <c r="I769" s="17">
        <v>1.2</v>
      </c>
      <c r="J769" s="17">
        <v>2.2000000000000002</v>
      </c>
      <c r="K769" s="17">
        <f t="shared" si="34"/>
        <v>1088</v>
      </c>
      <c r="L769" s="17">
        <f t="shared" si="35"/>
        <v>1092</v>
      </c>
      <c r="M769" s="17">
        <v>0</v>
      </c>
      <c r="N769" s="17">
        <v>50</v>
      </c>
      <c r="O769" s="17">
        <v>0</v>
      </c>
    </row>
    <row r="770" spans="1:15" x14ac:dyDescent="0.2">
      <c r="A770" t="s">
        <v>2017</v>
      </c>
      <c r="B770">
        <v>1090</v>
      </c>
      <c r="C770" t="s">
        <v>60</v>
      </c>
      <c r="D770" t="s">
        <v>156</v>
      </c>
      <c r="E770" t="s">
        <v>157</v>
      </c>
      <c r="F770" t="s">
        <v>306</v>
      </c>
      <c r="G770" s="17">
        <v>0</v>
      </c>
      <c r="H770" s="17" t="str">
        <f t="shared" si="33"/>
        <v>180</v>
      </c>
      <c r="I770" s="17">
        <v>1.2</v>
      </c>
      <c r="J770" s="17">
        <v>2.2000000000000002</v>
      </c>
      <c r="K770" s="17">
        <f t="shared" si="34"/>
        <v>1088</v>
      </c>
      <c r="L770" s="17">
        <f t="shared" si="35"/>
        <v>1092</v>
      </c>
      <c r="M770" s="17">
        <v>0</v>
      </c>
      <c r="N770" s="17">
        <v>50</v>
      </c>
      <c r="O770" s="17">
        <v>0</v>
      </c>
    </row>
    <row r="771" spans="1:15" x14ac:dyDescent="0.2">
      <c r="A771" t="s">
        <v>2019</v>
      </c>
      <c r="B771">
        <v>1090</v>
      </c>
      <c r="C771" t="s">
        <v>60</v>
      </c>
      <c r="D771" t="s">
        <v>156</v>
      </c>
      <c r="E771" t="s">
        <v>157</v>
      </c>
      <c r="G771" s="17">
        <v>0</v>
      </c>
      <c r="H771" s="17" t="str">
        <f t="shared" ref="H771:H806" si="36">_xlfn.TEXTAFTER(E771,"-",1)</f>
        <v>180</v>
      </c>
      <c r="I771" s="17">
        <v>1.2</v>
      </c>
      <c r="J771" s="17">
        <v>2.2000000000000002</v>
      </c>
      <c r="K771" s="17">
        <f t="shared" ref="K771:K806" si="37">B771-2</f>
        <v>1088</v>
      </c>
      <c r="L771" s="17">
        <f t="shared" ref="L771:L806" si="38">B771+2</f>
        <v>1092</v>
      </c>
      <c r="M771" s="17">
        <v>0</v>
      </c>
      <c r="N771" s="17">
        <v>50</v>
      </c>
      <c r="O771" s="17">
        <v>0</v>
      </c>
    </row>
    <row r="772" spans="1:15" x14ac:dyDescent="0.2">
      <c r="A772" t="s">
        <v>2021</v>
      </c>
      <c r="B772">
        <v>1090</v>
      </c>
      <c r="C772" t="s">
        <v>60</v>
      </c>
      <c r="D772" t="s">
        <v>156</v>
      </c>
      <c r="E772" t="s">
        <v>157</v>
      </c>
      <c r="G772" s="17">
        <v>0</v>
      </c>
      <c r="H772" s="17" t="str">
        <f t="shared" si="36"/>
        <v>180</v>
      </c>
      <c r="I772" s="17">
        <v>1.2</v>
      </c>
      <c r="J772" s="17">
        <v>2.2000000000000002</v>
      </c>
      <c r="K772" s="17">
        <f t="shared" si="37"/>
        <v>1088</v>
      </c>
      <c r="L772" s="17">
        <f t="shared" si="38"/>
        <v>1092</v>
      </c>
      <c r="M772" s="17">
        <v>0</v>
      </c>
      <c r="N772" s="17">
        <v>50</v>
      </c>
      <c r="O772" s="17">
        <v>0</v>
      </c>
    </row>
    <row r="773" spans="1:15" x14ac:dyDescent="0.2">
      <c r="A773" t="s">
        <v>2023</v>
      </c>
      <c r="B773" t="s">
        <v>1979</v>
      </c>
      <c r="C773" t="s">
        <v>60</v>
      </c>
      <c r="D773" t="s">
        <v>156</v>
      </c>
      <c r="E773" t="s">
        <v>1666</v>
      </c>
      <c r="F773" t="s">
        <v>159</v>
      </c>
      <c r="G773" s="17">
        <v>0</v>
      </c>
      <c r="H773" s="17" t="str">
        <f t="shared" si="36"/>
        <v>200</v>
      </c>
      <c r="I773" s="17">
        <v>1.2</v>
      </c>
      <c r="J773" s="17">
        <v>2.2000000000000002</v>
      </c>
      <c r="K773" s="17">
        <f t="shared" si="37"/>
        <v>974</v>
      </c>
      <c r="L773" s="17">
        <f t="shared" si="38"/>
        <v>978</v>
      </c>
      <c r="M773" s="17">
        <v>0</v>
      </c>
      <c r="N773" s="17">
        <v>50</v>
      </c>
      <c r="O773" s="17">
        <v>0</v>
      </c>
    </row>
    <row r="774" spans="1:15" x14ac:dyDescent="0.2">
      <c r="A774" t="s">
        <v>2037</v>
      </c>
      <c r="B774">
        <v>854.20899999999995</v>
      </c>
      <c r="C774" t="s">
        <v>60</v>
      </c>
      <c r="D774" t="s">
        <v>61</v>
      </c>
      <c r="E774" t="s">
        <v>2038</v>
      </c>
      <c r="F774" t="s">
        <v>111</v>
      </c>
      <c r="G774" s="17">
        <v>0</v>
      </c>
      <c r="H774" s="17" t="str">
        <f t="shared" si="36"/>
        <v>200</v>
      </c>
      <c r="I774" s="17">
        <v>1.2</v>
      </c>
      <c r="J774" s="17">
        <v>2.2000000000000002</v>
      </c>
      <c r="K774" s="17">
        <f t="shared" si="37"/>
        <v>852.20899999999995</v>
      </c>
      <c r="L774" s="17">
        <f t="shared" si="38"/>
        <v>856.20899999999995</v>
      </c>
      <c r="M774" s="17">
        <v>0</v>
      </c>
      <c r="N774" s="17">
        <v>50</v>
      </c>
      <c r="O774" s="17">
        <v>0</v>
      </c>
    </row>
    <row r="775" spans="1:15" x14ac:dyDescent="0.2">
      <c r="A775" t="s">
        <v>2049</v>
      </c>
      <c r="B775">
        <v>854.20899999999995</v>
      </c>
      <c r="C775" t="s">
        <v>60</v>
      </c>
      <c r="D775" t="s">
        <v>61</v>
      </c>
      <c r="E775" t="s">
        <v>2038</v>
      </c>
      <c r="G775" s="17">
        <v>0</v>
      </c>
      <c r="H775" s="17" t="str">
        <f t="shared" si="36"/>
        <v>200</v>
      </c>
      <c r="I775" s="17">
        <v>1.2</v>
      </c>
      <c r="J775" s="17">
        <v>2.2000000000000002</v>
      </c>
      <c r="K775" s="17">
        <f t="shared" si="37"/>
        <v>852.20899999999995</v>
      </c>
      <c r="L775" s="17">
        <f t="shared" si="38"/>
        <v>856.20899999999995</v>
      </c>
      <c r="M775" s="17">
        <v>0</v>
      </c>
      <c r="N775" s="17">
        <v>50</v>
      </c>
      <c r="O775" s="17">
        <v>0</v>
      </c>
    </row>
    <row r="776" spans="1:15" x14ac:dyDescent="0.2">
      <c r="A776" t="s">
        <v>2052</v>
      </c>
      <c r="B776">
        <v>852.34699999999998</v>
      </c>
      <c r="C776" t="s">
        <v>60</v>
      </c>
      <c r="D776" t="s">
        <v>156</v>
      </c>
      <c r="E776" t="s">
        <v>2053</v>
      </c>
      <c r="F776" t="s">
        <v>111</v>
      </c>
      <c r="G776" s="17">
        <v>0</v>
      </c>
      <c r="H776" s="17" t="str">
        <f t="shared" si="36"/>
        <v>60</v>
      </c>
      <c r="I776" s="17">
        <v>1.2</v>
      </c>
      <c r="J776" s="17">
        <v>2.2000000000000002</v>
      </c>
      <c r="K776" s="17">
        <f t="shared" si="37"/>
        <v>850.34699999999998</v>
      </c>
      <c r="L776" s="17">
        <f t="shared" si="38"/>
        <v>854.34699999999998</v>
      </c>
      <c r="M776" s="17">
        <v>0</v>
      </c>
      <c r="N776" s="17">
        <v>50</v>
      </c>
      <c r="O776" s="17">
        <v>0</v>
      </c>
    </row>
    <row r="777" spans="1:15" x14ac:dyDescent="0.2">
      <c r="A777" t="s">
        <v>2057</v>
      </c>
      <c r="B777">
        <v>852.34699999999998</v>
      </c>
      <c r="C777" t="s">
        <v>60</v>
      </c>
      <c r="D777" t="s">
        <v>156</v>
      </c>
      <c r="E777" t="s">
        <v>2053</v>
      </c>
      <c r="G777" s="17">
        <v>0</v>
      </c>
      <c r="H777" s="17" t="str">
        <f t="shared" si="36"/>
        <v>60</v>
      </c>
      <c r="I777" s="17">
        <v>1.2</v>
      </c>
      <c r="J777" s="17">
        <v>2.2000000000000002</v>
      </c>
      <c r="K777" s="17">
        <f t="shared" si="37"/>
        <v>850.34699999999998</v>
      </c>
      <c r="L777" s="17">
        <f t="shared" si="38"/>
        <v>854.34699999999998</v>
      </c>
      <c r="M777" s="17">
        <v>0</v>
      </c>
      <c r="N777" s="17">
        <v>50</v>
      </c>
      <c r="O777" s="17">
        <v>0</v>
      </c>
    </row>
    <row r="778" spans="1:15" x14ac:dyDescent="0.2">
      <c r="A778" t="s">
        <v>2059</v>
      </c>
      <c r="B778">
        <v>852.34699999999998</v>
      </c>
      <c r="C778" t="s">
        <v>60</v>
      </c>
      <c r="D778" t="s">
        <v>61</v>
      </c>
      <c r="E778" t="s">
        <v>2038</v>
      </c>
      <c r="F778" t="s">
        <v>111</v>
      </c>
      <c r="G778" s="17">
        <v>0</v>
      </c>
      <c r="H778" s="17" t="str">
        <f t="shared" si="36"/>
        <v>200</v>
      </c>
      <c r="I778" s="17">
        <v>1.2</v>
      </c>
      <c r="J778" s="17">
        <v>2.2000000000000002</v>
      </c>
      <c r="K778" s="17">
        <f t="shared" si="37"/>
        <v>850.34699999999998</v>
      </c>
      <c r="L778" s="17">
        <f t="shared" si="38"/>
        <v>854.34699999999998</v>
      </c>
      <c r="M778" s="17">
        <v>0</v>
      </c>
      <c r="N778" s="17">
        <v>50</v>
      </c>
      <c r="O778" s="17">
        <v>0</v>
      </c>
    </row>
    <row r="779" spans="1:15" x14ac:dyDescent="0.2">
      <c r="A779" t="s">
        <v>2061</v>
      </c>
      <c r="B779">
        <v>852.34699999999998</v>
      </c>
      <c r="C779" t="s">
        <v>60</v>
      </c>
      <c r="D779" t="s">
        <v>61</v>
      </c>
      <c r="E779" t="s">
        <v>2038</v>
      </c>
      <c r="G779" s="17">
        <v>0</v>
      </c>
      <c r="H779" s="17" t="str">
        <f t="shared" si="36"/>
        <v>200</v>
      </c>
      <c r="I779" s="17">
        <v>1.2</v>
      </c>
      <c r="J779" s="17">
        <v>2.2000000000000002</v>
      </c>
      <c r="K779" s="17">
        <f t="shared" si="37"/>
        <v>850.34699999999998</v>
      </c>
      <c r="L779" s="17">
        <f t="shared" si="38"/>
        <v>854.34699999999998</v>
      </c>
      <c r="M779" s="17">
        <v>0</v>
      </c>
      <c r="N779" s="17">
        <v>50</v>
      </c>
      <c r="O779" s="17">
        <v>0</v>
      </c>
    </row>
    <row r="780" spans="1:15" x14ac:dyDescent="0.2">
      <c r="A780" t="s">
        <v>2063</v>
      </c>
      <c r="B780">
        <v>845.58399999999995</v>
      </c>
      <c r="C780" t="s">
        <v>60</v>
      </c>
      <c r="D780" t="s">
        <v>61</v>
      </c>
      <c r="E780" t="s">
        <v>2038</v>
      </c>
      <c r="F780" t="s">
        <v>111</v>
      </c>
      <c r="G780" s="17">
        <v>0</v>
      </c>
      <c r="H780" s="17" t="str">
        <f t="shared" si="36"/>
        <v>200</v>
      </c>
      <c r="I780" s="17">
        <v>1.2</v>
      </c>
      <c r="J780" s="17">
        <v>2.2000000000000002</v>
      </c>
      <c r="K780" s="17">
        <f t="shared" si="37"/>
        <v>843.58399999999995</v>
      </c>
      <c r="L780" s="17">
        <f t="shared" si="38"/>
        <v>847.58399999999995</v>
      </c>
      <c r="M780" s="17">
        <v>0</v>
      </c>
      <c r="N780" s="17">
        <v>50</v>
      </c>
      <c r="O780" s="17">
        <v>0</v>
      </c>
    </row>
    <row r="781" spans="1:15" x14ac:dyDescent="0.2">
      <c r="A781" t="s">
        <v>2065</v>
      </c>
      <c r="B781">
        <v>845.58399999999995</v>
      </c>
      <c r="C781" t="s">
        <v>60</v>
      </c>
      <c r="D781" t="s">
        <v>61</v>
      </c>
      <c r="E781" t="s">
        <v>2038</v>
      </c>
      <c r="G781" s="17">
        <v>0</v>
      </c>
      <c r="H781" s="17" t="str">
        <f t="shared" si="36"/>
        <v>200</v>
      </c>
      <c r="I781" s="17">
        <v>1.2</v>
      </c>
      <c r="J781" s="17">
        <v>2.2000000000000002</v>
      </c>
      <c r="K781" s="17">
        <f t="shared" si="37"/>
        <v>843.58399999999995</v>
      </c>
      <c r="L781" s="17">
        <f t="shared" si="38"/>
        <v>847.58399999999995</v>
      </c>
      <c r="M781" s="17">
        <v>0</v>
      </c>
      <c r="N781" s="17">
        <v>50</v>
      </c>
      <c r="O781" s="17">
        <v>0</v>
      </c>
    </row>
    <row r="782" spans="1:15" x14ac:dyDescent="0.2">
      <c r="A782" t="s">
        <v>2067</v>
      </c>
      <c r="B782">
        <v>794.97799999999995</v>
      </c>
      <c r="C782" t="s">
        <v>60</v>
      </c>
      <c r="D782" t="s">
        <v>156</v>
      </c>
      <c r="E782" t="s">
        <v>2053</v>
      </c>
      <c r="F782" t="s">
        <v>111</v>
      </c>
      <c r="G782" s="17">
        <v>0</v>
      </c>
      <c r="H782" s="17" t="str">
        <f t="shared" si="36"/>
        <v>60</v>
      </c>
      <c r="I782" s="17">
        <v>1.2</v>
      </c>
      <c r="J782" s="17">
        <v>2.2000000000000002</v>
      </c>
      <c r="K782" s="17">
        <f t="shared" si="37"/>
        <v>792.97799999999995</v>
      </c>
      <c r="L782" s="17">
        <f t="shared" si="38"/>
        <v>796.97799999999995</v>
      </c>
      <c r="M782" s="17">
        <v>0</v>
      </c>
      <c r="N782" s="17">
        <v>50</v>
      </c>
      <c r="O782" s="17">
        <v>0</v>
      </c>
    </row>
    <row r="783" spans="1:15" x14ac:dyDescent="0.2">
      <c r="A783" t="s">
        <v>2073</v>
      </c>
      <c r="B783">
        <v>794.97799999999995</v>
      </c>
      <c r="C783" t="s">
        <v>60</v>
      </c>
      <c r="D783" t="s">
        <v>156</v>
      </c>
      <c r="E783" t="s">
        <v>2053</v>
      </c>
      <c r="G783" s="17">
        <v>0</v>
      </c>
      <c r="H783" s="17" t="str">
        <f t="shared" si="36"/>
        <v>60</v>
      </c>
      <c r="I783" s="17">
        <v>1.2</v>
      </c>
      <c r="J783" s="17">
        <v>2.2000000000000002</v>
      </c>
      <c r="K783" s="17">
        <f t="shared" si="37"/>
        <v>792.97799999999995</v>
      </c>
      <c r="L783" s="17">
        <f t="shared" si="38"/>
        <v>796.97799999999995</v>
      </c>
      <c r="M783" s="17">
        <v>0</v>
      </c>
      <c r="N783" s="17">
        <v>50</v>
      </c>
      <c r="O783" s="17">
        <v>0</v>
      </c>
    </row>
    <row r="784" spans="1:15" x14ac:dyDescent="0.2">
      <c r="A784" t="s">
        <v>2076</v>
      </c>
      <c r="B784">
        <v>794.97799999999995</v>
      </c>
      <c r="C784" t="s">
        <v>60</v>
      </c>
      <c r="D784" t="s">
        <v>61</v>
      </c>
      <c r="E784" t="s">
        <v>2077</v>
      </c>
      <c r="F784" t="s">
        <v>111</v>
      </c>
      <c r="G784" s="17">
        <v>0</v>
      </c>
      <c r="H784" s="17" t="str">
        <f t="shared" si="36"/>
        <v>150</v>
      </c>
      <c r="I784" s="17">
        <v>1.2</v>
      </c>
      <c r="J784" s="17">
        <v>2.2000000000000002</v>
      </c>
      <c r="K784" s="17">
        <f t="shared" si="37"/>
        <v>792.97799999999995</v>
      </c>
      <c r="L784" s="17">
        <f t="shared" si="38"/>
        <v>796.97799999999995</v>
      </c>
      <c r="M784" s="17">
        <v>0</v>
      </c>
      <c r="N784" s="17">
        <v>50</v>
      </c>
      <c r="O784" s="17">
        <v>0</v>
      </c>
    </row>
    <row r="785" spans="1:15" x14ac:dyDescent="0.2">
      <c r="A785" t="s">
        <v>2081</v>
      </c>
      <c r="B785">
        <v>794.97799999999995</v>
      </c>
      <c r="C785" t="s">
        <v>60</v>
      </c>
      <c r="D785" t="s">
        <v>61</v>
      </c>
      <c r="E785" t="s">
        <v>2077</v>
      </c>
      <c r="G785" s="17">
        <v>0</v>
      </c>
      <c r="H785" s="17" t="str">
        <f t="shared" si="36"/>
        <v>150</v>
      </c>
      <c r="I785" s="17">
        <v>1.2</v>
      </c>
      <c r="J785" s="17">
        <v>2.2000000000000002</v>
      </c>
      <c r="K785" s="17">
        <f t="shared" si="37"/>
        <v>792.97799999999995</v>
      </c>
      <c r="L785" s="17">
        <f t="shared" si="38"/>
        <v>796.97799999999995</v>
      </c>
      <c r="M785" s="17">
        <v>0</v>
      </c>
      <c r="N785" s="17">
        <v>50</v>
      </c>
      <c r="O785" s="17">
        <v>0</v>
      </c>
    </row>
    <row r="786" spans="1:15" x14ac:dyDescent="0.2">
      <c r="A786" t="s">
        <v>2083</v>
      </c>
      <c r="B786">
        <v>785</v>
      </c>
      <c r="C786" t="s">
        <v>60</v>
      </c>
      <c r="D786" t="s">
        <v>156</v>
      </c>
      <c r="E786" t="s">
        <v>2053</v>
      </c>
      <c r="F786" t="s">
        <v>111</v>
      </c>
      <c r="G786" s="17">
        <v>0</v>
      </c>
      <c r="H786" s="17" t="str">
        <f t="shared" si="36"/>
        <v>60</v>
      </c>
      <c r="I786" s="17">
        <v>1.2</v>
      </c>
      <c r="J786" s="17">
        <v>2.2000000000000002</v>
      </c>
      <c r="K786" s="17">
        <f t="shared" si="37"/>
        <v>783</v>
      </c>
      <c r="L786" s="17">
        <f t="shared" si="38"/>
        <v>787</v>
      </c>
      <c r="M786" s="17">
        <v>0</v>
      </c>
      <c r="N786" s="17">
        <v>50</v>
      </c>
      <c r="O786" s="17">
        <v>0</v>
      </c>
    </row>
    <row r="787" spans="1:15" x14ac:dyDescent="0.2">
      <c r="A787" t="s">
        <v>2085</v>
      </c>
      <c r="B787">
        <v>785</v>
      </c>
      <c r="C787" t="s">
        <v>60</v>
      </c>
      <c r="D787" t="s">
        <v>156</v>
      </c>
      <c r="E787" t="s">
        <v>2053</v>
      </c>
      <c r="G787" s="17">
        <v>0</v>
      </c>
      <c r="H787" s="17" t="str">
        <f t="shared" si="36"/>
        <v>60</v>
      </c>
      <c r="I787" s="17">
        <v>1.2</v>
      </c>
      <c r="J787" s="17">
        <v>2.2000000000000002</v>
      </c>
      <c r="K787" s="17">
        <f t="shared" si="37"/>
        <v>783</v>
      </c>
      <c r="L787" s="17">
        <f t="shared" si="38"/>
        <v>787</v>
      </c>
      <c r="M787" s="17">
        <v>0</v>
      </c>
      <c r="N787" s="17">
        <v>50</v>
      </c>
      <c r="O787" s="17">
        <v>0</v>
      </c>
    </row>
    <row r="788" spans="1:15" x14ac:dyDescent="0.2">
      <c r="A788" t="s">
        <v>2087</v>
      </c>
      <c r="B788">
        <v>785</v>
      </c>
      <c r="C788" t="s">
        <v>60</v>
      </c>
      <c r="D788" t="s">
        <v>61</v>
      </c>
      <c r="E788" t="s">
        <v>2077</v>
      </c>
      <c r="F788" t="s">
        <v>111</v>
      </c>
      <c r="G788" s="17">
        <v>0</v>
      </c>
      <c r="H788" s="17" t="str">
        <f t="shared" si="36"/>
        <v>150</v>
      </c>
      <c r="I788" s="17">
        <v>1.2</v>
      </c>
      <c r="J788" s="17">
        <v>2.2000000000000002</v>
      </c>
      <c r="K788" s="17">
        <f t="shared" si="37"/>
        <v>783</v>
      </c>
      <c r="L788" s="17">
        <f t="shared" si="38"/>
        <v>787</v>
      </c>
      <c r="M788" s="17">
        <v>0</v>
      </c>
      <c r="N788" s="17">
        <v>50</v>
      </c>
      <c r="O788" s="17">
        <v>0</v>
      </c>
    </row>
    <row r="789" spans="1:15" x14ac:dyDescent="0.2">
      <c r="A789" t="s">
        <v>2089</v>
      </c>
      <c r="B789">
        <v>785</v>
      </c>
      <c r="C789" t="s">
        <v>60</v>
      </c>
      <c r="D789" t="s">
        <v>61</v>
      </c>
      <c r="E789" t="s">
        <v>2077</v>
      </c>
      <c r="G789" s="17">
        <v>0</v>
      </c>
      <c r="H789" s="17" t="str">
        <f t="shared" si="36"/>
        <v>150</v>
      </c>
      <c r="I789" s="17">
        <v>1.2</v>
      </c>
      <c r="J789" s="17">
        <v>2.2000000000000002</v>
      </c>
      <c r="K789" s="17">
        <f t="shared" si="37"/>
        <v>783</v>
      </c>
      <c r="L789" s="17">
        <f t="shared" si="38"/>
        <v>787</v>
      </c>
      <c r="M789" s="17">
        <v>0</v>
      </c>
      <c r="N789" s="17">
        <v>50</v>
      </c>
      <c r="O789" s="17">
        <v>0</v>
      </c>
    </row>
    <row r="790" spans="1:15" x14ac:dyDescent="0.2">
      <c r="A790" t="s">
        <v>2091</v>
      </c>
      <c r="B790">
        <v>780.24099999999999</v>
      </c>
      <c r="C790" t="s">
        <v>60</v>
      </c>
      <c r="D790" t="s">
        <v>156</v>
      </c>
      <c r="E790" t="s">
        <v>2053</v>
      </c>
      <c r="F790" t="s">
        <v>111</v>
      </c>
      <c r="G790" s="17">
        <v>0</v>
      </c>
      <c r="H790" s="17" t="str">
        <f t="shared" si="36"/>
        <v>60</v>
      </c>
      <c r="I790" s="17">
        <v>1.2</v>
      </c>
      <c r="J790" s="17">
        <v>2.2000000000000002</v>
      </c>
      <c r="K790" s="17">
        <f t="shared" si="37"/>
        <v>778.24099999999999</v>
      </c>
      <c r="L790" s="17">
        <f t="shared" si="38"/>
        <v>782.24099999999999</v>
      </c>
      <c r="M790" s="17">
        <v>0</v>
      </c>
      <c r="N790" s="17">
        <v>50</v>
      </c>
      <c r="O790" s="17">
        <v>0</v>
      </c>
    </row>
    <row r="791" spans="1:15" x14ac:dyDescent="0.2">
      <c r="A791" t="s">
        <v>2093</v>
      </c>
      <c r="B791">
        <v>780.24099999999999</v>
      </c>
      <c r="C791" t="s">
        <v>60</v>
      </c>
      <c r="D791" t="s">
        <v>156</v>
      </c>
      <c r="E791" t="s">
        <v>2053</v>
      </c>
      <c r="G791" s="17">
        <v>0</v>
      </c>
      <c r="H791" s="17" t="str">
        <f t="shared" si="36"/>
        <v>60</v>
      </c>
      <c r="I791" s="17">
        <v>1.2</v>
      </c>
      <c r="J791" s="17">
        <v>2.2000000000000002</v>
      </c>
      <c r="K791" s="17">
        <f t="shared" si="37"/>
        <v>778.24099999999999</v>
      </c>
      <c r="L791" s="17">
        <f t="shared" si="38"/>
        <v>782.24099999999999</v>
      </c>
      <c r="M791" s="17">
        <v>0</v>
      </c>
      <c r="N791" s="17">
        <v>50</v>
      </c>
      <c r="O791" s="17">
        <v>0</v>
      </c>
    </row>
    <row r="792" spans="1:15" x14ac:dyDescent="0.2">
      <c r="A792" t="s">
        <v>2095</v>
      </c>
      <c r="B792">
        <v>780.24099999999999</v>
      </c>
      <c r="C792" t="s">
        <v>60</v>
      </c>
      <c r="D792" t="s">
        <v>61</v>
      </c>
      <c r="E792" t="s">
        <v>2077</v>
      </c>
      <c r="F792" t="s">
        <v>111</v>
      </c>
      <c r="G792" s="17">
        <v>0</v>
      </c>
      <c r="H792" s="17" t="str">
        <f t="shared" si="36"/>
        <v>150</v>
      </c>
      <c r="I792" s="17">
        <v>1.2</v>
      </c>
      <c r="J792" s="17">
        <v>2.2000000000000002</v>
      </c>
      <c r="K792" s="17">
        <f t="shared" si="37"/>
        <v>778.24099999999999</v>
      </c>
      <c r="L792" s="17">
        <f t="shared" si="38"/>
        <v>782.24099999999999</v>
      </c>
      <c r="M792" s="17">
        <v>0</v>
      </c>
      <c r="N792" s="17">
        <v>50</v>
      </c>
      <c r="O792" s="17">
        <v>0</v>
      </c>
    </row>
    <row r="793" spans="1:15" x14ac:dyDescent="0.2">
      <c r="A793" t="s">
        <v>2097</v>
      </c>
      <c r="B793">
        <v>780.24099999999999</v>
      </c>
      <c r="C793" t="s">
        <v>60</v>
      </c>
      <c r="D793" t="s">
        <v>61</v>
      </c>
      <c r="E793" t="s">
        <v>2077</v>
      </c>
      <c r="G793" s="17">
        <v>0</v>
      </c>
      <c r="H793" s="17" t="str">
        <f t="shared" si="36"/>
        <v>150</v>
      </c>
      <c r="I793" s="17">
        <v>1.2</v>
      </c>
      <c r="J793" s="17">
        <v>2.2000000000000002</v>
      </c>
      <c r="K793" s="17">
        <f t="shared" si="37"/>
        <v>778.24099999999999</v>
      </c>
      <c r="L793" s="17">
        <f t="shared" si="38"/>
        <v>782.24099999999999</v>
      </c>
      <c r="M793" s="17">
        <v>0</v>
      </c>
      <c r="N793" s="17">
        <v>50</v>
      </c>
      <c r="O793" s="17">
        <v>0</v>
      </c>
    </row>
    <row r="794" spans="1:15" x14ac:dyDescent="0.2">
      <c r="A794" t="s">
        <v>2099</v>
      </c>
      <c r="B794">
        <v>778.10500000000002</v>
      </c>
      <c r="C794" t="s">
        <v>60</v>
      </c>
      <c r="D794" t="s">
        <v>61</v>
      </c>
      <c r="E794" t="s">
        <v>2077</v>
      </c>
      <c r="F794" t="s">
        <v>111</v>
      </c>
      <c r="G794" s="17">
        <v>0</v>
      </c>
      <c r="H794" s="17" t="str">
        <f t="shared" si="36"/>
        <v>150</v>
      </c>
      <c r="I794" s="17">
        <v>1.2</v>
      </c>
      <c r="J794" s="17">
        <v>2.2000000000000002</v>
      </c>
      <c r="K794" s="17">
        <f t="shared" si="37"/>
        <v>776.10500000000002</v>
      </c>
      <c r="L794" s="17">
        <f t="shared" si="38"/>
        <v>780.10500000000002</v>
      </c>
      <c r="M794" s="17">
        <v>0</v>
      </c>
      <c r="N794" s="17">
        <v>50</v>
      </c>
      <c r="O794" s="17">
        <v>0</v>
      </c>
    </row>
    <row r="795" spans="1:15" x14ac:dyDescent="0.2">
      <c r="A795" t="s">
        <v>2101</v>
      </c>
      <c r="B795">
        <v>778.10500000000002</v>
      </c>
      <c r="C795" t="s">
        <v>60</v>
      </c>
      <c r="D795" t="s">
        <v>61</v>
      </c>
      <c r="E795" t="s">
        <v>2077</v>
      </c>
      <c r="G795" s="17">
        <v>0</v>
      </c>
      <c r="H795" s="17" t="str">
        <f t="shared" si="36"/>
        <v>150</v>
      </c>
      <c r="I795" s="17">
        <v>1.2</v>
      </c>
      <c r="J795" s="17">
        <v>2.2000000000000002</v>
      </c>
      <c r="K795" s="17">
        <f t="shared" si="37"/>
        <v>776.10500000000002</v>
      </c>
      <c r="L795" s="17">
        <f t="shared" si="38"/>
        <v>780.10500000000002</v>
      </c>
      <c r="M795" s="17">
        <v>0</v>
      </c>
      <c r="N795" s="17">
        <v>50</v>
      </c>
      <c r="O795" s="17">
        <v>0</v>
      </c>
    </row>
    <row r="796" spans="1:15" x14ac:dyDescent="0.2">
      <c r="A796" t="s">
        <v>2103</v>
      </c>
      <c r="B796">
        <v>776.06100000000004</v>
      </c>
      <c r="C796" t="s">
        <v>60</v>
      </c>
      <c r="D796" t="s">
        <v>61</v>
      </c>
      <c r="E796" t="s">
        <v>2104</v>
      </c>
      <c r="F796" t="s">
        <v>111</v>
      </c>
      <c r="G796" s="17">
        <v>0</v>
      </c>
      <c r="H796" s="17" t="str">
        <f t="shared" si="36"/>
        <v>100</v>
      </c>
      <c r="I796" s="17">
        <v>1.2</v>
      </c>
      <c r="J796" s="17">
        <v>2.2000000000000002</v>
      </c>
      <c r="K796" s="17">
        <f t="shared" si="37"/>
        <v>774.06100000000004</v>
      </c>
      <c r="L796" s="17">
        <f t="shared" si="38"/>
        <v>778.06100000000004</v>
      </c>
      <c r="M796" s="17">
        <v>0</v>
      </c>
      <c r="N796" s="17">
        <v>50</v>
      </c>
      <c r="O796" s="17">
        <v>0</v>
      </c>
    </row>
    <row r="797" spans="1:15" x14ac:dyDescent="0.2">
      <c r="A797" t="s">
        <v>2108</v>
      </c>
      <c r="B797">
        <v>776.06100000000004</v>
      </c>
      <c r="C797" t="s">
        <v>60</v>
      </c>
      <c r="D797" t="s">
        <v>61</v>
      </c>
      <c r="E797" t="s">
        <v>2104</v>
      </c>
      <c r="G797" s="17">
        <v>0</v>
      </c>
      <c r="H797" s="17" t="str">
        <f t="shared" si="36"/>
        <v>100</v>
      </c>
      <c r="I797" s="17">
        <v>1.2</v>
      </c>
      <c r="J797" s="17">
        <v>2.2000000000000002</v>
      </c>
      <c r="K797" s="17">
        <f t="shared" si="37"/>
        <v>774.06100000000004</v>
      </c>
      <c r="L797" s="17">
        <f t="shared" si="38"/>
        <v>778.06100000000004</v>
      </c>
      <c r="M797" s="17">
        <v>0</v>
      </c>
      <c r="N797" s="17">
        <v>50</v>
      </c>
      <c r="O797" s="17">
        <v>0</v>
      </c>
    </row>
    <row r="798" spans="1:15" x14ac:dyDescent="0.2">
      <c r="A798" t="s">
        <v>2110</v>
      </c>
      <c r="B798">
        <v>770.10799999999995</v>
      </c>
      <c r="C798" t="s">
        <v>60</v>
      </c>
      <c r="D798" t="s">
        <v>61</v>
      </c>
      <c r="E798" t="s">
        <v>2111</v>
      </c>
      <c r="F798" t="s">
        <v>111</v>
      </c>
      <c r="G798" s="17">
        <v>0</v>
      </c>
      <c r="H798" s="17" t="str">
        <f t="shared" si="36"/>
        <v>85</v>
      </c>
      <c r="I798" s="17">
        <v>1.2</v>
      </c>
      <c r="J798" s="17">
        <v>2.2000000000000002</v>
      </c>
      <c r="K798" s="17">
        <f t="shared" si="37"/>
        <v>768.10799999999995</v>
      </c>
      <c r="L798" s="17">
        <f t="shared" si="38"/>
        <v>772.10799999999995</v>
      </c>
      <c r="M798" s="17">
        <v>0</v>
      </c>
      <c r="N798" s="17">
        <v>50</v>
      </c>
      <c r="O798" s="17">
        <v>0</v>
      </c>
    </row>
    <row r="799" spans="1:15" x14ac:dyDescent="0.2">
      <c r="A799" t="s">
        <v>2115</v>
      </c>
      <c r="B799">
        <v>770.10799999999995</v>
      </c>
      <c r="C799" t="s">
        <v>60</v>
      </c>
      <c r="D799" t="s">
        <v>61</v>
      </c>
      <c r="E799" t="s">
        <v>2111</v>
      </c>
      <c r="G799" s="17">
        <v>0</v>
      </c>
      <c r="H799" s="17" t="str">
        <f t="shared" si="36"/>
        <v>85</v>
      </c>
      <c r="I799" s="17">
        <v>1.2</v>
      </c>
      <c r="J799" s="17">
        <v>2.2000000000000002</v>
      </c>
      <c r="K799" s="17">
        <f t="shared" si="37"/>
        <v>768.10799999999995</v>
      </c>
      <c r="L799" s="17">
        <f t="shared" si="38"/>
        <v>772.10799999999995</v>
      </c>
      <c r="M799" s="17">
        <v>0</v>
      </c>
      <c r="N799" s="17">
        <v>50</v>
      </c>
      <c r="O799" s="17">
        <v>0</v>
      </c>
    </row>
    <row r="800" spans="1:15" x14ac:dyDescent="0.2">
      <c r="A800" t="s">
        <v>2117</v>
      </c>
      <c r="B800">
        <v>1080</v>
      </c>
      <c r="C800" t="s">
        <v>60</v>
      </c>
      <c r="D800" t="s">
        <v>156</v>
      </c>
      <c r="E800" t="s">
        <v>1671</v>
      </c>
      <c r="F800" t="s">
        <v>111</v>
      </c>
      <c r="G800" s="17">
        <v>0</v>
      </c>
      <c r="H800" s="17" t="str">
        <f t="shared" si="36"/>
        <v>100</v>
      </c>
      <c r="I800" s="17">
        <v>1.2</v>
      </c>
      <c r="J800" s="17">
        <v>2.2000000000000002</v>
      </c>
      <c r="K800" s="17">
        <f t="shared" si="37"/>
        <v>1078</v>
      </c>
      <c r="L800" s="17">
        <f t="shared" si="38"/>
        <v>1082</v>
      </c>
      <c r="M800" s="17">
        <v>0</v>
      </c>
      <c r="N800" s="17">
        <v>50</v>
      </c>
      <c r="O800" s="17">
        <v>0</v>
      </c>
    </row>
    <row r="801" spans="1:15" x14ac:dyDescent="0.2">
      <c r="A801" t="s">
        <v>2123</v>
      </c>
      <c r="B801">
        <v>1080</v>
      </c>
      <c r="C801" t="s">
        <v>60</v>
      </c>
      <c r="D801" t="s">
        <v>156</v>
      </c>
      <c r="E801" t="s">
        <v>1671</v>
      </c>
      <c r="G801" s="17">
        <v>0</v>
      </c>
      <c r="H801" s="17" t="str">
        <f t="shared" si="36"/>
        <v>100</v>
      </c>
      <c r="I801" s="17">
        <v>1.2</v>
      </c>
      <c r="J801" s="17">
        <v>2.2000000000000002</v>
      </c>
      <c r="K801" s="17">
        <f t="shared" si="37"/>
        <v>1078</v>
      </c>
      <c r="L801" s="17">
        <f t="shared" si="38"/>
        <v>1082</v>
      </c>
      <c r="M801" s="17">
        <v>0</v>
      </c>
      <c r="N801" s="17">
        <v>50</v>
      </c>
      <c r="O801" s="17">
        <v>0</v>
      </c>
    </row>
    <row r="802" spans="1:15" x14ac:dyDescent="0.2">
      <c r="A802" t="s">
        <v>2126</v>
      </c>
      <c r="B802">
        <v>1064</v>
      </c>
      <c r="C802" t="s">
        <v>60</v>
      </c>
      <c r="D802" t="s">
        <v>156</v>
      </c>
      <c r="E802" t="s">
        <v>1671</v>
      </c>
      <c r="F802" t="s">
        <v>111</v>
      </c>
      <c r="G802" s="17">
        <v>0</v>
      </c>
      <c r="H802" s="17" t="str">
        <f t="shared" si="36"/>
        <v>100</v>
      </c>
      <c r="I802" s="17">
        <v>1.2</v>
      </c>
      <c r="J802" s="17">
        <v>2.2000000000000002</v>
      </c>
      <c r="K802" s="17">
        <f t="shared" si="37"/>
        <v>1062</v>
      </c>
      <c r="L802" s="17">
        <f t="shared" si="38"/>
        <v>1066</v>
      </c>
      <c r="M802" s="17">
        <v>0</v>
      </c>
      <c r="N802" s="17">
        <v>50</v>
      </c>
      <c r="O802" s="17">
        <v>0</v>
      </c>
    </row>
    <row r="803" spans="1:15" x14ac:dyDescent="0.2">
      <c r="A803" t="s">
        <v>2128</v>
      </c>
      <c r="B803">
        <v>1064</v>
      </c>
      <c r="C803" t="s">
        <v>60</v>
      </c>
      <c r="D803" t="s">
        <v>156</v>
      </c>
      <c r="E803" t="s">
        <v>1671</v>
      </c>
      <c r="G803" s="17">
        <v>0</v>
      </c>
      <c r="H803" s="17" t="str">
        <f t="shared" si="36"/>
        <v>100</v>
      </c>
      <c r="I803" s="17">
        <v>1.2</v>
      </c>
      <c r="J803" s="17">
        <v>2.2000000000000002</v>
      </c>
      <c r="K803" s="17">
        <f t="shared" si="37"/>
        <v>1062</v>
      </c>
      <c r="L803" s="17">
        <f t="shared" si="38"/>
        <v>1066</v>
      </c>
      <c r="M803" s="17">
        <v>0</v>
      </c>
      <c r="N803" s="17">
        <v>50</v>
      </c>
      <c r="O803" s="17">
        <v>0</v>
      </c>
    </row>
    <row r="804" spans="1:15" x14ac:dyDescent="0.2">
      <c r="A804" t="s">
        <v>2130</v>
      </c>
      <c r="B804">
        <v>1064</v>
      </c>
      <c r="C804" t="s">
        <v>60</v>
      </c>
      <c r="D804" t="s">
        <v>61</v>
      </c>
      <c r="E804" t="s">
        <v>1773</v>
      </c>
      <c r="F804" t="s">
        <v>111</v>
      </c>
      <c r="G804" s="17">
        <v>0</v>
      </c>
      <c r="H804" s="17" t="str">
        <f t="shared" si="36"/>
        <v>180</v>
      </c>
      <c r="I804" s="17">
        <v>1.2</v>
      </c>
      <c r="J804" s="17">
        <v>2.2000000000000002</v>
      </c>
      <c r="K804" s="17">
        <f t="shared" si="37"/>
        <v>1062</v>
      </c>
      <c r="L804" s="17">
        <f t="shared" si="38"/>
        <v>1066</v>
      </c>
      <c r="M804" s="17">
        <v>0</v>
      </c>
      <c r="N804" s="17">
        <v>50</v>
      </c>
      <c r="O804" s="17">
        <v>0</v>
      </c>
    </row>
    <row r="805" spans="1:15" x14ac:dyDescent="0.2">
      <c r="A805" t="s">
        <v>2132</v>
      </c>
      <c r="B805">
        <v>1064</v>
      </c>
      <c r="C805" t="s">
        <v>60</v>
      </c>
      <c r="D805" t="s">
        <v>61</v>
      </c>
      <c r="E805" t="s">
        <v>1773</v>
      </c>
      <c r="G805" s="17">
        <v>0</v>
      </c>
      <c r="H805" s="17" t="str">
        <f t="shared" si="36"/>
        <v>180</v>
      </c>
      <c r="I805" s="17">
        <v>1.2</v>
      </c>
      <c r="J805" s="17">
        <v>2.2000000000000002</v>
      </c>
      <c r="K805" s="17">
        <f t="shared" si="37"/>
        <v>1062</v>
      </c>
      <c r="L805" s="17">
        <f t="shared" si="38"/>
        <v>1066</v>
      </c>
      <c r="M805" s="17">
        <v>0</v>
      </c>
      <c r="N805" s="17">
        <v>50</v>
      </c>
      <c r="O805" s="17">
        <v>0</v>
      </c>
    </row>
    <row r="806" spans="1:15" x14ac:dyDescent="0.2">
      <c r="A806" t="s">
        <v>2175</v>
      </c>
      <c r="B806">
        <v>852.34699999999998</v>
      </c>
      <c r="C806" t="s">
        <v>60</v>
      </c>
      <c r="D806" t="s">
        <v>156</v>
      </c>
      <c r="E806" t="s">
        <v>89</v>
      </c>
      <c r="G806" s="17">
        <v>0</v>
      </c>
      <c r="H806" s="17" t="str">
        <f t="shared" si="36"/>
        <v>80</v>
      </c>
      <c r="I806" s="17">
        <v>1.2</v>
      </c>
      <c r="J806" s="17">
        <v>2.2000000000000002</v>
      </c>
      <c r="K806" s="17">
        <f t="shared" si="37"/>
        <v>850.34699999999998</v>
      </c>
      <c r="L806" s="17">
        <f t="shared" si="38"/>
        <v>854.34699999999998</v>
      </c>
      <c r="M806" s="17">
        <v>0</v>
      </c>
      <c r="N806" s="17">
        <v>50</v>
      </c>
      <c r="O806" s="17">
        <v>0</v>
      </c>
    </row>
  </sheetData>
  <autoFilter ref="A1:R805" xr:uid="{A0892F0E-F5DE-4F62-A2F1-9340F10262C9}"/>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84D39D-9045-4529-AB4C-A6FCD60C3018}">
  <dimension ref="A1:X808"/>
  <sheetViews>
    <sheetView workbookViewId="0">
      <pane ySplit="1" topLeftCell="A2" activePane="bottomLeft" state="frozen"/>
      <selection pane="bottomLeft"/>
    </sheetView>
  </sheetViews>
  <sheetFormatPr defaultRowHeight="12.75" x14ac:dyDescent="0.2"/>
  <sheetData>
    <row r="1" spans="1:24" s="13" customFormat="1" x14ac:dyDescent="0.2">
      <c r="A1" s="13" t="s">
        <v>36</v>
      </c>
      <c r="B1" s="13" t="s">
        <v>37</v>
      </c>
      <c r="C1" s="13" t="s">
        <v>38</v>
      </c>
      <c r="D1" s="13" t="s">
        <v>39</v>
      </c>
      <c r="E1" s="13" t="s">
        <v>40</v>
      </c>
      <c r="F1" s="13" t="s">
        <v>41</v>
      </c>
      <c r="G1" s="13" t="s">
        <v>42</v>
      </c>
      <c r="H1" s="13" t="s">
        <v>43</v>
      </c>
      <c r="I1" s="13" t="s">
        <v>44</v>
      </c>
      <c r="J1" s="13" t="s">
        <v>45</v>
      </c>
      <c r="K1" s="13" t="s">
        <v>46</v>
      </c>
      <c r="L1" s="13" t="s">
        <v>47</v>
      </c>
      <c r="M1" s="13" t="s">
        <v>48</v>
      </c>
      <c r="N1" s="13" t="s">
        <v>49</v>
      </c>
      <c r="O1" s="13" t="s">
        <v>50</v>
      </c>
      <c r="P1" s="13" t="s">
        <v>51</v>
      </c>
      <c r="Q1" s="13" t="s">
        <v>52</v>
      </c>
      <c r="R1" s="13" t="s">
        <v>39</v>
      </c>
      <c r="S1" s="13" t="s">
        <v>53</v>
      </c>
      <c r="T1" s="13" t="s">
        <v>54</v>
      </c>
      <c r="U1" s="13" t="s">
        <v>55</v>
      </c>
      <c r="V1" s="13" t="s">
        <v>56</v>
      </c>
      <c r="W1" s="13" t="s">
        <v>57</v>
      </c>
      <c r="X1" s="13" t="s">
        <v>58</v>
      </c>
    </row>
    <row r="2" spans="1:24" x14ac:dyDescent="0.2">
      <c r="A2" t="s">
        <v>59</v>
      </c>
      <c r="B2">
        <v>730</v>
      </c>
      <c r="C2" t="s">
        <v>60</v>
      </c>
      <c r="D2" t="s">
        <v>61</v>
      </c>
      <c r="E2" t="s">
        <v>62</v>
      </c>
      <c r="F2" t="s">
        <v>63</v>
      </c>
      <c r="H2" t="s">
        <v>64</v>
      </c>
      <c r="I2" t="s">
        <v>65</v>
      </c>
      <c r="J2" t="s">
        <v>66</v>
      </c>
      <c r="K2" t="s">
        <v>67</v>
      </c>
      <c r="L2" t="s">
        <v>68</v>
      </c>
      <c r="M2" t="s">
        <v>69</v>
      </c>
      <c r="N2" t="s">
        <v>70</v>
      </c>
      <c r="O2" t="s">
        <v>70</v>
      </c>
      <c r="P2" t="s">
        <v>71</v>
      </c>
      <c r="Q2" t="s">
        <v>72</v>
      </c>
      <c r="R2" t="s">
        <v>73</v>
      </c>
      <c r="S2" t="s">
        <v>74</v>
      </c>
      <c r="T2" t="s">
        <v>75</v>
      </c>
      <c r="U2" t="s">
        <v>76</v>
      </c>
      <c r="V2" t="s">
        <v>77</v>
      </c>
      <c r="W2" t="s">
        <v>76</v>
      </c>
      <c r="X2" t="s">
        <v>78</v>
      </c>
    </row>
    <row r="3" spans="1:24" x14ac:dyDescent="0.2">
      <c r="A3" t="s">
        <v>79</v>
      </c>
      <c r="B3">
        <v>730</v>
      </c>
      <c r="C3" t="s">
        <v>60</v>
      </c>
      <c r="D3" t="s">
        <v>61</v>
      </c>
      <c r="E3" t="s">
        <v>80</v>
      </c>
      <c r="F3" t="s">
        <v>81</v>
      </c>
      <c r="H3" t="s">
        <v>64</v>
      </c>
      <c r="I3" t="s">
        <v>82</v>
      </c>
      <c r="J3" t="s">
        <v>83</v>
      </c>
      <c r="K3" t="s">
        <v>67</v>
      </c>
      <c r="L3" t="s">
        <v>84</v>
      </c>
      <c r="M3" t="s">
        <v>85</v>
      </c>
      <c r="N3" t="s">
        <v>70</v>
      </c>
      <c r="O3" t="s">
        <v>70</v>
      </c>
      <c r="P3" t="s">
        <v>71</v>
      </c>
      <c r="Q3" t="s">
        <v>72</v>
      </c>
      <c r="R3" t="s">
        <v>86</v>
      </c>
      <c r="S3" t="s">
        <v>87</v>
      </c>
      <c r="T3" t="s">
        <v>75</v>
      </c>
      <c r="U3" t="s">
        <v>76</v>
      </c>
      <c r="V3" t="s">
        <v>77</v>
      </c>
      <c r="W3" t="s">
        <v>76</v>
      </c>
      <c r="X3" t="s">
        <v>78</v>
      </c>
    </row>
    <row r="4" spans="1:24" x14ac:dyDescent="0.2">
      <c r="A4" t="s">
        <v>88</v>
      </c>
      <c r="B4">
        <v>730</v>
      </c>
      <c r="C4" t="s">
        <v>60</v>
      </c>
      <c r="D4" t="s">
        <v>61</v>
      </c>
      <c r="E4" t="s">
        <v>89</v>
      </c>
      <c r="F4" t="s">
        <v>90</v>
      </c>
      <c r="H4" t="s">
        <v>64</v>
      </c>
      <c r="I4" t="s">
        <v>91</v>
      </c>
      <c r="J4" t="s">
        <v>92</v>
      </c>
      <c r="K4" t="s">
        <v>67</v>
      </c>
      <c r="L4" t="s">
        <v>93</v>
      </c>
      <c r="M4" t="s">
        <v>94</v>
      </c>
      <c r="N4" t="s">
        <v>70</v>
      </c>
      <c r="O4" t="s">
        <v>70</v>
      </c>
      <c r="P4" t="s">
        <v>71</v>
      </c>
      <c r="Q4" t="s">
        <v>72</v>
      </c>
      <c r="R4" t="s">
        <v>95</v>
      </c>
      <c r="S4" t="s">
        <v>96</v>
      </c>
      <c r="T4" t="s">
        <v>97</v>
      </c>
      <c r="U4" t="s">
        <v>98</v>
      </c>
      <c r="V4" t="s">
        <v>99</v>
      </c>
      <c r="W4" t="s">
        <v>98</v>
      </c>
      <c r="X4" t="s">
        <v>100</v>
      </c>
    </row>
    <row r="5" spans="1:24" x14ac:dyDescent="0.2">
      <c r="A5" t="s">
        <v>101</v>
      </c>
      <c r="B5">
        <v>730</v>
      </c>
      <c r="C5" t="s">
        <v>60</v>
      </c>
      <c r="D5" t="s">
        <v>61</v>
      </c>
      <c r="E5" t="s">
        <v>89</v>
      </c>
      <c r="F5" t="s">
        <v>90</v>
      </c>
      <c r="H5" t="s">
        <v>64</v>
      </c>
      <c r="I5" t="s">
        <v>102</v>
      </c>
      <c r="J5" t="s">
        <v>103</v>
      </c>
      <c r="K5" t="s">
        <v>67</v>
      </c>
      <c r="L5" t="s">
        <v>104</v>
      </c>
      <c r="M5" t="s">
        <v>105</v>
      </c>
      <c r="N5" t="s">
        <v>70</v>
      </c>
      <c r="O5" t="s">
        <v>70</v>
      </c>
      <c r="P5" t="s">
        <v>71</v>
      </c>
      <c r="Q5" t="s">
        <v>72</v>
      </c>
      <c r="R5" t="s">
        <v>95</v>
      </c>
      <c r="S5" t="s">
        <v>106</v>
      </c>
      <c r="T5" t="s">
        <v>107</v>
      </c>
      <c r="U5" t="s">
        <v>108</v>
      </c>
      <c r="V5" t="s">
        <v>77</v>
      </c>
      <c r="W5" t="s">
        <v>108</v>
      </c>
      <c r="X5" t="s">
        <v>109</v>
      </c>
    </row>
    <row r="6" spans="1:24" x14ac:dyDescent="0.2">
      <c r="A6" t="s">
        <v>110</v>
      </c>
      <c r="B6">
        <v>730</v>
      </c>
      <c r="C6" t="s">
        <v>60</v>
      </c>
      <c r="D6" t="s">
        <v>61</v>
      </c>
      <c r="E6" t="s">
        <v>62</v>
      </c>
      <c r="F6" t="s">
        <v>63</v>
      </c>
      <c r="G6" t="s">
        <v>111</v>
      </c>
      <c r="H6" t="s">
        <v>112</v>
      </c>
      <c r="I6" t="s">
        <v>65</v>
      </c>
      <c r="J6" t="s">
        <v>66</v>
      </c>
      <c r="K6" t="s">
        <v>67</v>
      </c>
      <c r="L6" t="s">
        <v>113</v>
      </c>
      <c r="M6" t="s">
        <v>69</v>
      </c>
      <c r="N6" t="s">
        <v>70</v>
      </c>
      <c r="O6" t="s">
        <v>70</v>
      </c>
      <c r="P6" t="s">
        <v>71</v>
      </c>
      <c r="Q6" t="s">
        <v>72</v>
      </c>
      <c r="R6" t="s">
        <v>73</v>
      </c>
      <c r="S6" t="s">
        <v>114</v>
      </c>
      <c r="T6" t="s">
        <v>75</v>
      </c>
      <c r="U6" t="s">
        <v>76</v>
      </c>
      <c r="V6" t="s">
        <v>77</v>
      </c>
      <c r="W6" t="s">
        <v>76</v>
      </c>
      <c r="X6" t="s">
        <v>78</v>
      </c>
    </row>
    <row r="7" spans="1:24" x14ac:dyDescent="0.2">
      <c r="A7" t="s">
        <v>115</v>
      </c>
      <c r="B7">
        <v>730</v>
      </c>
      <c r="C7" t="s">
        <v>60</v>
      </c>
      <c r="D7" t="s">
        <v>61</v>
      </c>
      <c r="E7" t="s">
        <v>80</v>
      </c>
      <c r="F7" t="s">
        <v>81</v>
      </c>
      <c r="G7" t="s">
        <v>111</v>
      </c>
      <c r="H7" t="s">
        <v>112</v>
      </c>
      <c r="I7" t="s">
        <v>82</v>
      </c>
      <c r="J7" t="s">
        <v>83</v>
      </c>
      <c r="K7" t="s">
        <v>67</v>
      </c>
      <c r="L7" t="s">
        <v>116</v>
      </c>
      <c r="M7" t="s">
        <v>117</v>
      </c>
      <c r="N7" t="s">
        <v>70</v>
      </c>
      <c r="O7" t="s">
        <v>70</v>
      </c>
      <c r="P7" t="s">
        <v>71</v>
      </c>
      <c r="Q7" t="s">
        <v>72</v>
      </c>
      <c r="R7" t="s">
        <v>86</v>
      </c>
      <c r="S7" t="s">
        <v>118</v>
      </c>
      <c r="T7" t="s">
        <v>75</v>
      </c>
      <c r="U7" t="s">
        <v>76</v>
      </c>
      <c r="V7" t="s">
        <v>77</v>
      </c>
      <c r="W7" t="s">
        <v>76</v>
      </c>
      <c r="X7" t="s">
        <v>78</v>
      </c>
    </row>
    <row r="8" spans="1:24" x14ac:dyDescent="0.2">
      <c r="A8" t="s">
        <v>119</v>
      </c>
      <c r="B8">
        <v>730</v>
      </c>
      <c r="C8" t="s">
        <v>60</v>
      </c>
      <c r="D8" t="s">
        <v>61</v>
      </c>
      <c r="E8" t="s">
        <v>89</v>
      </c>
      <c r="F8" t="s">
        <v>90</v>
      </c>
      <c r="G8" t="s">
        <v>111</v>
      </c>
      <c r="H8" t="s">
        <v>112</v>
      </c>
      <c r="I8" t="s">
        <v>91</v>
      </c>
      <c r="J8" t="s">
        <v>92</v>
      </c>
      <c r="K8" t="s">
        <v>67</v>
      </c>
      <c r="L8" t="s">
        <v>120</v>
      </c>
      <c r="M8" t="s">
        <v>121</v>
      </c>
      <c r="N8" t="s">
        <v>70</v>
      </c>
      <c r="O8" t="s">
        <v>70</v>
      </c>
      <c r="P8" t="s">
        <v>71</v>
      </c>
      <c r="Q8" t="s">
        <v>72</v>
      </c>
      <c r="R8" t="s">
        <v>95</v>
      </c>
      <c r="S8" t="s">
        <v>122</v>
      </c>
      <c r="T8" t="s">
        <v>97</v>
      </c>
      <c r="U8" t="s">
        <v>98</v>
      </c>
      <c r="V8" t="s">
        <v>99</v>
      </c>
      <c r="W8" t="s">
        <v>98</v>
      </c>
      <c r="X8" t="s">
        <v>100</v>
      </c>
    </row>
    <row r="9" spans="1:24" x14ac:dyDescent="0.2">
      <c r="A9" t="s">
        <v>123</v>
      </c>
      <c r="B9">
        <v>730</v>
      </c>
      <c r="C9" t="s">
        <v>60</v>
      </c>
      <c r="D9" t="s">
        <v>61</v>
      </c>
      <c r="E9" t="s">
        <v>89</v>
      </c>
      <c r="F9" t="s">
        <v>90</v>
      </c>
      <c r="G9" t="s">
        <v>111</v>
      </c>
      <c r="H9" t="s">
        <v>112</v>
      </c>
      <c r="I9" t="s">
        <v>102</v>
      </c>
      <c r="J9" t="s">
        <v>103</v>
      </c>
      <c r="K9" t="s">
        <v>67</v>
      </c>
      <c r="L9" t="s">
        <v>124</v>
      </c>
      <c r="M9" t="s">
        <v>125</v>
      </c>
      <c r="N9" t="s">
        <v>70</v>
      </c>
      <c r="O9" t="s">
        <v>70</v>
      </c>
      <c r="P9" t="s">
        <v>71</v>
      </c>
      <c r="Q9" t="s">
        <v>72</v>
      </c>
      <c r="R9" t="s">
        <v>95</v>
      </c>
      <c r="S9" t="s">
        <v>126</v>
      </c>
      <c r="T9" t="s">
        <v>127</v>
      </c>
      <c r="U9" t="s">
        <v>128</v>
      </c>
      <c r="V9" t="s">
        <v>77</v>
      </c>
      <c r="W9" t="s">
        <v>128</v>
      </c>
      <c r="X9" t="s">
        <v>129</v>
      </c>
    </row>
    <row r="10" spans="1:24" x14ac:dyDescent="0.2">
      <c r="A10" t="s">
        <v>130</v>
      </c>
      <c r="B10">
        <v>730</v>
      </c>
      <c r="C10" t="s">
        <v>60</v>
      </c>
      <c r="D10" t="s">
        <v>61</v>
      </c>
      <c r="E10" t="s">
        <v>89</v>
      </c>
      <c r="F10" t="s">
        <v>90</v>
      </c>
      <c r="G10" t="s">
        <v>111</v>
      </c>
      <c r="H10" t="s">
        <v>112</v>
      </c>
      <c r="I10" t="s">
        <v>131</v>
      </c>
      <c r="J10" t="s">
        <v>132</v>
      </c>
      <c r="K10" t="s">
        <v>67</v>
      </c>
      <c r="L10" t="s">
        <v>133</v>
      </c>
      <c r="M10" t="s">
        <v>134</v>
      </c>
      <c r="N10" t="s">
        <v>70</v>
      </c>
      <c r="O10" t="s">
        <v>70</v>
      </c>
      <c r="P10" t="s">
        <v>71</v>
      </c>
      <c r="Q10" t="s">
        <v>72</v>
      </c>
      <c r="R10" t="s">
        <v>95</v>
      </c>
      <c r="S10" t="s">
        <v>135</v>
      </c>
      <c r="T10" t="s">
        <v>136</v>
      </c>
      <c r="U10" t="s">
        <v>131</v>
      </c>
      <c r="V10" t="s">
        <v>77</v>
      </c>
      <c r="W10" t="s">
        <v>131</v>
      </c>
      <c r="X10" t="s">
        <v>137</v>
      </c>
    </row>
    <row r="11" spans="1:24" x14ac:dyDescent="0.2">
      <c r="A11" t="s">
        <v>138</v>
      </c>
      <c r="B11">
        <v>730</v>
      </c>
      <c r="C11" t="s">
        <v>60</v>
      </c>
      <c r="D11" t="s">
        <v>61</v>
      </c>
      <c r="E11" t="s">
        <v>89</v>
      </c>
      <c r="F11" t="s">
        <v>90</v>
      </c>
      <c r="G11" t="s">
        <v>111</v>
      </c>
      <c r="H11" t="s">
        <v>112</v>
      </c>
      <c r="I11" t="s">
        <v>139</v>
      </c>
      <c r="J11" t="s">
        <v>140</v>
      </c>
      <c r="K11" t="s">
        <v>67</v>
      </c>
      <c r="L11" t="s">
        <v>141</v>
      </c>
      <c r="M11" t="s">
        <v>142</v>
      </c>
      <c r="N11" t="s">
        <v>70</v>
      </c>
      <c r="O11" t="s">
        <v>70</v>
      </c>
      <c r="P11" t="s">
        <v>71</v>
      </c>
      <c r="Q11" t="s">
        <v>72</v>
      </c>
      <c r="R11" t="s">
        <v>95</v>
      </c>
      <c r="S11" t="s">
        <v>143</v>
      </c>
      <c r="T11" t="s">
        <v>144</v>
      </c>
      <c r="U11" t="s">
        <v>139</v>
      </c>
      <c r="V11" t="s">
        <v>99</v>
      </c>
      <c r="W11" t="s">
        <v>139</v>
      </c>
      <c r="X11" t="s">
        <v>145</v>
      </c>
    </row>
    <row r="12" spans="1:24" x14ac:dyDescent="0.2">
      <c r="A12" t="s">
        <v>146</v>
      </c>
      <c r="B12">
        <v>730</v>
      </c>
      <c r="C12" t="s">
        <v>60</v>
      </c>
      <c r="D12" t="s">
        <v>61</v>
      </c>
      <c r="E12" t="s">
        <v>89</v>
      </c>
      <c r="F12" t="s">
        <v>90</v>
      </c>
      <c r="H12" t="s">
        <v>64</v>
      </c>
      <c r="I12" t="s">
        <v>131</v>
      </c>
      <c r="J12" t="s">
        <v>132</v>
      </c>
      <c r="K12" t="s">
        <v>67</v>
      </c>
      <c r="L12" t="s">
        <v>147</v>
      </c>
      <c r="M12" t="s">
        <v>148</v>
      </c>
      <c r="N12" t="s">
        <v>70</v>
      </c>
      <c r="O12" t="s">
        <v>70</v>
      </c>
      <c r="P12" t="s">
        <v>71</v>
      </c>
      <c r="Q12" t="s">
        <v>72</v>
      </c>
      <c r="R12" t="s">
        <v>95</v>
      </c>
      <c r="S12" t="s">
        <v>149</v>
      </c>
      <c r="T12" t="s">
        <v>136</v>
      </c>
      <c r="U12" t="s">
        <v>131</v>
      </c>
      <c r="V12" t="s">
        <v>77</v>
      </c>
      <c r="W12" t="s">
        <v>131</v>
      </c>
      <c r="X12" t="s">
        <v>137</v>
      </c>
    </row>
    <row r="13" spans="1:24" x14ac:dyDescent="0.2">
      <c r="A13" t="s">
        <v>150</v>
      </c>
      <c r="B13">
        <v>730</v>
      </c>
      <c r="C13" t="s">
        <v>60</v>
      </c>
      <c r="D13" t="s">
        <v>61</v>
      </c>
      <c r="E13" t="s">
        <v>89</v>
      </c>
      <c r="F13" t="s">
        <v>90</v>
      </c>
      <c r="H13" t="s">
        <v>64</v>
      </c>
      <c r="I13" t="s">
        <v>139</v>
      </c>
      <c r="J13" t="s">
        <v>140</v>
      </c>
      <c r="K13" t="s">
        <v>67</v>
      </c>
      <c r="L13" t="s">
        <v>151</v>
      </c>
      <c r="M13" t="s">
        <v>152</v>
      </c>
      <c r="N13" t="s">
        <v>70</v>
      </c>
      <c r="O13" t="s">
        <v>70</v>
      </c>
      <c r="P13" t="s">
        <v>71</v>
      </c>
      <c r="Q13" t="s">
        <v>72</v>
      </c>
      <c r="R13" t="s">
        <v>95</v>
      </c>
      <c r="S13" t="s">
        <v>153</v>
      </c>
      <c r="T13" t="s">
        <v>144</v>
      </c>
      <c r="U13" t="s">
        <v>139</v>
      </c>
      <c r="V13" t="s">
        <v>99</v>
      </c>
      <c r="W13" t="s">
        <v>139</v>
      </c>
      <c r="X13" t="s">
        <v>145</v>
      </c>
    </row>
    <row r="14" spans="1:24" x14ac:dyDescent="0.2">
      <c r="A14" t="s">
        <v>154</v>
      </c>
      <c r="B14" t="s">
        <v>155</v>
      </c>
      <c r="C14" t="s">
        <v>60</v>
      </c>
      <c r="D14" t="s">
        <v>156</v>
      </c>
      <c r="E14" t="s">
        <v>157</v>
      </c>
      <c r="F14" t="s">
        <v>158</v>
      </c>
      <c r="G14" t="s">
        <v>159</v>
      </c>
      <c r="H14" t="s">
        <v>160</v>
      </c>
      <c r="I14" t="s">
        <v>102</v>
      </c>
      <c r="J14" t="s">
        <v>103</v>
      </c>
      <c r="K14">
        <v>2850</v>
      </c>
      <c r="L14" t="s">
        <v>161</v>
      </c>
      <c r="M14" t="s">
        <v>161</v>
      </c>
      <c r="N14" t="s">
        <v>162</v>
      </c>
      <c r="O14" t="s">
        <v>162</v>
      </c>
      <c r="P14" t="s">
        <v>163</v>
      </c>
      <c r="Q14" t="s">
        <v>164</v>
      </c>
      <c r="R14" t="s">
        <v>165</v>
      </c>
      <c r="S14" t="s">
        <v>166</v>
      </c>
      <c r="T14" t="s">
        <v>107</v>
      </c>
      <c r="U14" t="s">
        <v>108</v>
      </c>
      <c r="V14" t="s">
        <v>77</v>
      </c>
      <c r="W14" t="s">
        <v>108</v>
      </c>
      <c r="X14" t="s">
        <v>109</v>
      </c>
    </row>
    <row r="15" spans="1:24" x14ac:dyDescent="0.2">
      <c r="A15" t="s">
        <v>167</v>
      </c>
      <c r="B15">
        <v>737</v>
      </c>
      <c r="C15" t="s">
        <v>60</v>
      </c>
      <c r="D15" t="s">
        <v>61</v>
      </c>
      <c r="E15" t="s">
        <v>62</v>
      </c>
      <c r="F15" t="s">
        <v>63</v>
      </c>
      <c r="H15" t="s">
        <v>64</v>
      </c>
      <c r="I15" t="s">
        <v>65</v>
      </c>
      <c r="J15" t="s">
        <v>66</v>
      </c>
      <c r="K15" t="s">
        <v>67</v>
      </c>
      <c r="L15" t="s">
        <v>168</v>
      </c>
      <c r="M15" t="s">
        <v>169</v>
      </c>
      <c r="N15" t="s">
        <v>170</v>
      </c>
      <c r="O15" t="s">
        <v>170</v>
      </c>
      <c r="P15" t="s">
        <v>171</v>
      </c>
      <c r="Q15" t="s">
        <v>172</v>
      </c>
      <c r="R15" t="s">
        <v>73</v>
      </c>
      <c r="S15" t="s">
        <v>74</v>
      </c>
      <c r="T15" t="s">
        <v>75</v>
      </c>
      <c r="U15" t="s">
        <v>76</v>
      </c>
      <c r="V15" t="s">
        <v>77</v>
      </c>
      <c r="W15" t="s">
        <v>76</v>
      </c>
      <c r="X15" t="s">
        <v>78</v>
      </c>
    </row>
    <row r="16" spans="1:24" x14ac:dyDescent="0.2">
      <c r="A16" t="s">
        <v>173</v>
      </c>
      <c r="B16">
        <v>737</v>
      </c>
      <c r="C16" t="s">
        <v>60</v>
      </c>
      <c r="D16" t="s">
        <v>61</v>
      </c>
      <c r="E16" t="s">
        <v>80</v>
      </c>
      <c r="F16" t="s">
        <v>81</v>
      </c>
      <c r="H16" t="s">
        <v>64</v>
      </c>
      <c r="I16" t="s">
        <v>82</v>
      </c>
      <c r="J16" t="s">
        <v>83</v>
      </c>
      <c r="K16" t="s">
        <v>67</v>
      </c>
      <c r="L16" t="s">
        <v>174</v>
      </c>
      <c r="M16" t="s">
        <v>175</v>
      </c>
      <c r="N16" t="s">
        <v>170</v>
      </c>
      <c r="O16" t="s">
        <v>170</v>
      </c>
      <c r="P16" t="s">
        <v>171</v>
      </c>
      <c r="Q16" t="s">
        <v>176</v>
      </c>
      <c r="R16" t="s">
        <v>86</v>
      </c>
      <c r="S16" t="s">
        <v>87</v>
      </c>
      <c r="T16" t="s">
        <v>75</v>
      </c>
      <c r="U16" t="s">
        <v>76</v>
      </c>
      <c r="V16" t="s">
        <v>77</v>
      </c>
      <c r="W16" t="s">
        <v>76</v>
      </c>
      <c r="X16" t="s">
        <v>78</v>
      </c>
    </row>
    <row r="17" spans="1:24" x14ac:dyDescent="0.2">
      <c r="A17" t="s">
        <v>177</v>
      </c>
      <c r="B17">
        <v>737</v>
      </c>
      <c r="C17" t="s">
        <v>60</v>
      </c>
      <c r="D17" t="s">
        <v>61</v>
      </c>
      <c r="E17" t="s">
        <v>89</v>
      </c>
      <c r="F17" t="s">
        <v>90</v>
      </c>
      <c r="H17" t="s">
        <v>64</v>
      </c>
      <c r="I17" t="s">
        <v>91</v>
      </c>
      <c r="J17" t="s">
        <v>92</v>
      </c>
      <c r="K17" t="s">
        <v>67</v>
      </c>
      <c r="L17" t="s">
        <v>178</v>
      </c>
      <c r="M17" t="s">
        <v>179</v>
      </c>
      <c r="N17" t="s">
        <v>170</v>
      </c>
      <c r="O17" t="s">
        <v>170</v>
      </c>
      <c r="P17" t="s">
        <v>171</v>
      </c>
      <c r="Q17" t="s">
        <v>176</v>
      </c>
      <c r="R17" t="s">
        <v>95</v>
      </c>
      <c r="S17" t="s">
        <v>96</v>
      </c>
      <c r="T17" t="s">
        <v>97</v>
      </c>
      <c r="U17" t="s">
        <v>98</v>
      </c>
      <c r="V17" t="s">
        <v>99</v>
      </c>
      <c r="W17" t="s">
        <v>98</v>
      </c>
      <c r="X17" t="s">
        <v>100</v>
      </c>
    </row>
    <row r="18" spans="1:24" x14ac:dyDescent="0.2">
      <c r="A18" t="s">
        <v>180</v>
      </c>
      <c r="B18">
        <v>737</v>
      </c>
      <c r="C18" t="s">
        <v>60</v>
      </c>
      <c r="D18" t="s">
        <v>61</v>
      </c>
      <c r="E18" t="s">
        <v>89</v>
      </c>
      <c r="F18" t="s">
        <v>90</v>
      </c>
      <c r="H18" t="s">
        <v>64</v>
      </c>
      <c r="I18" t="s">
        <v>102</v>
      </c>
      <c r="J18" t="s">
        <v>103</v>
      </c>
      <c r="K18" t="s">
        <v>67</v>
      </c>
      <c r="L18" t="s">
        <v>181</v>
      </c>
      <c r="M18" t="s">
        <v>182</v>
      </c>
      <c r="N18" t="s">
        <v>170</v>
      </c>
      <c r="O18" t="s">
        <v>170</v>
      </c>
      <c r="P18" t="s">
        <v>171</v>
      </c>
      <c r="Q18" t="s">
        <v>176</v>
      </c>
      <c r="R18" t="s">
        <v>95</v>
      </c>
      <c r="S18" t="s">
        <v>106</v>
      </c>
      <c r="T18" t="s">
        <v>107</v>
      </c>
      <c r="U18" t="s">
        <v>108</v>
      </c>
      <c r="V18" t="s">
        <v>77</v>
      </c>
      <c r="W18" t="s">
        <v>108</v>
      </c>
      <c r="X18" t="s">
        <v>109</v>
      </c>
    </row>
    <row r="19" spans="1:24" x14ac:dyDescent="0.2">
      <c r="A19" t="s">
        <v>183</v>
      </c>
      <c r="B19">
        <v>737</v>
      </c>
      <c r="C19" t="s">
        <v>60</v>
      </c>
      <c r="D19" t="s">
        <v>61</v>
      </c>
      <c r="E19" t="s">
        <v>62</v>
      </c>
      <c r="F19" t="s">
        <v>63</v>
      </c>
      <c r="G19" t="s">
        <v>111</v>
      </c>
      <c r="H19" t="s">
        <v>112</v>
      </c>
      <c r="I19" t="s">
        <v>65</v>
      </c>
      <c r="J19" t="s">
        <v>66</v>
      </c>
      <c r="K19" t="s">
        <v>67</v>
      </c>
      <c r="L19" t="s">
        <v>184</v>
      </c>
      <c r="M19" t="s">
        <v>185</v>
      </c>
      <c r="N19" t="s">
        <v>170</v>
      </c>
      <c r="O19" t="s">
        <v>170</v>
      </c>
      <c r="P19" t="s">
        <v>171</v>
      </c>
      <c r="Q19" t="s">
        <v>176</v>
      </c>
      <c r="R19" t="s">
        <v>73</v>
      </c>
      <c r="S19" t="s">
        <v>114</v>
      </c>
      <c r="T19" t="s">
        <v>75</v>
      </c>
      <c r="U19" t="s">
        <v>76</v>
      </c>
      <c r="V19" t="s">
        <v>77</v>
      </c>
      <c r="W19" t="s">
        <v>76</v>
      </c>
      <c r="X19" t="s">
        <v>78</v>
      </c>
    </row>
    <row r="20" spans="1:24" x14ac:dyDescent="0.2">
      <c r="A20" t="s">
        <v>186</v>
      </c>
      <c r="B20">
        <v>737</v>
      </c>
      <c r="C20" t="s">
        <v>60</v>
      </c>
      <c r="D20" t="s">
        <v>61</v>
      </c>
      <c r="E20" t="s">
        <v>80</v>
      </c>
      <c r="F20" t="s">
        <v>81</v>
      </c>
      <c r="G20" t="s">
        <v>111</v>
      </c>
      <c r="H20" t="s">
        <v>112</v>
      </c>
      <c r="I20" t="s">
        <v>82</v>
      </c>
      <c r="J20" t="s">
        <v>83</v>
      </c>
      <c r="K20" t="s">
        <v>67</v>
      </c>
      <c r="L20" t="s">
        <v>187</v>
      </c>
      <c r="M20" t="s">
        <v>188</v>
      </c>
      <c r="N20" t="s">
        <v>170</v>
      </c>
      <c r="O20" t="s">
        <v>170</v>
      </c>
      <c r="P20" t="s">
        <v>171</v>
      </c>
      <c r="Q20" t="s">
        <v>176</v>
      </c>
      <c r="R20" t="s">
        <v>86</v>
      </c>
      <c r="S20" t="s">
        <v>118</v>
      </c>
      <c r="T20" t="s">
        <v>75</v>
      </c>
      <c r="U20" t="s">
        <v>76</v>
      </c>
      <c r="V20" t="s">
        <v>77</v>
      </c>
      <c r="W20" t="s">
        <v>76</v>
      </c>
      <c r="X20" t="s">
        <v>78</v>
      </c>
    </row>
    <row r="21" spans="1:24" x14ac:dyDescent="0.2">
      <c r="A21" t="s">
        <v>189</v>
      </c>
      <c r="B21">
        <v>737</v>
      </c>
      <c r="C21" t="s">
        <v>60</v>
      </c>
      <c r="D21" t="s">
        <v>61</v>
      </c>
      <c r="E21" t="s">
        <v>89</v>
      </c>
      <c r="F21" t="s">
        <v>90</v>
      </c>
      <c r="G21" t="s">
        <v>111</v>
      </c>
      <c r="H21" t="s">
        <v>112</v>
      </c>
      <c r="I21" t="s">
        <v>91</v>
      </c>
      <c r="J21" t="s">
        <v>92</v>
      </c>
      <c r="K21" t="s">
        <v>67</v>
      </c>
      <c r="L21" t="s">
        <v>190</v>
      </c>
      <c r="M21" t="s">
        <v>191</v>
      </c>
      <c r="N21" t="s">
        <v>170</v>
      </c>
      <c r="O21" t="s">
        <v>170</v>
      </c>
      <c r="P21" t="s">
        <v>171</v>
      </c>
      <c r="Q21" t="s">
        <v>176</v>
      </c>
      <c r="R21" t="s">
        <v>95</v>
      </c>
      <c r="S21" t="s">
        <v>122</v>
      </c>
      <c r="T21" t="s">
        <v>97</v>
      </c>
      <c r="U21" t="s">
        <v>98</v>
      </c>
      <c r="V21" t="s">
        <v>99</v>
      </c>
      <c r="W21" t="s">
        <v>98</v>
      </c>
      <c r="X21" t="s">
        <v>100</v>
      </c>
    </row>
    <row r="22" spans="1:24" x14ac:dyDescent="0.2">
      <c r="A22" t="s">
        <v>192</v>
      </c>
      <c r="B22">
        <v>737</v>
      </c>
      <c r="C22" t="s">
        <v>60</v>
      </c>
      <c r="D22" t="s">
        <v>61</v>
      </c>
      <c r="E22" t="s">
        <v>89</v>
      </c>
      <c r="F22" t="s">
        <v>90</v>
      </c>
      <c r="G22" t="s">
        <v>111</v>
      </c>
      <c r="H22" t="s">
        <v>112</v>
      </c>
      <c r="I22" t="s">
        <v>102</v>
      </c>
      <c r="J22" t="s">
        <v>103</v>
      </c>
      <c r="K22" t="s">
        <v>67</v>
      </c>
      <c r="L22" t="s">
        <v>193</v>
      </c>
      <c r="M22" t="s">
        <v>194</v>
      </c>
      <c r="N22" t="s">
        <v>170</v>
      </c>
      <c r="O22" t="s">
        <v>170</v>
      </c>
      <c r="P22" t="s">
        <v>171</v>
      </c>
      <c r="Q22" t="s">
        <v>176</v>
      </c>
      <c r="R22" t="s">
        <v>95</v>
      </c>
      <c r="S22" t="s">
        <v>126</v>
      </c>
      <c r="T22" t="s">
        <v>127</v>
      </c>
      <c r="U22" t="s">
        <v>128</v>
      </c>
      <c r="V22" t="s">
        <v>77</v>
      </c>
      <c r="W22" t="s">
        <v>128</v>
      </c>
      <c r="X22" t="s">
        <v>129</v>
      </c>
    </row>
    <row r="23" spans="1:24" x14ac:dyDescent="0.2">
      <c r="A23" t="s">
        <v>195</v>
      </c>
      <c r="B23">
        <v>737</v>
      </c>
      <c r="C23" t="s">
        <v>60</v>
      </c>
      <c r="D23" t="s">
        <v>61</v>
      </c>
      <c r="E23" t="s">
        <v>89</v>
      </c>
      <c r="F23" t="s">
        <v>90</v>
      </c>
      <c r="G23" t="s">
        <v>111</v>
      </c>
      <c r="H23" t="s">
        <v>112</v>
      </c>
      <c r="I23" t="s">
        <v>131</v>
      </c>
      <c r="J23" t="s">
        <v>132</v>
      </c>
      <c r="K23" t="s">
        <v>67</v>
      </c>
      <c r="L23" t="s">
        <v>196</v>
      </c>
      <c r="M23" t="s">
        <v>197</v>
      </c>
      <c r="N23" t="s">
        <v>170</v>
      </c>
      <c r="O23" t="s">
        <v>170</v>
      </c>
      <c r="P23" t="s">
        <v>171</v>
      </c>
      <c r="Q23" t="s">
        <v>176</v>
      </c>
      <c r="R23" t="s">
        <v>95</v>
      </c>
      <c r="S23" t="s">
        <v>135</v>
      </c>
      <c r="T23" t="s">
        <v>136</v>
      </c>
      <c r="U23" t="s">
        <v>131</v>
      </c>
      <c r="V23" t="s">
        <v>77</v>
      </c>
      <c r="W23" t="s">
        <v>131</v>
      </c>
      <c r="X23" t="s">
        <v>137</v>
      </c>
    </row>
    <row r="24" spans="1:24" x14ac:dyDescent="0.2">
      <c r="A24" t="s">
        <v>198</v>
      </c>
      <c r="B24">
        <v>737</v>
      </c>
      <c r="C24" t="s">
        <v>60</v>
      </c>
      <c r="D24" t="s">
        <v>61</v>
      </c>
      <c r="E24" t="s">
        <v>89</v>
      </c>
      <c r="F24" t="s">
        <v>90</v>
      </c>
      <c r="G24" t="s">
        <v>111</v>
      </c>
      <c r="H24" t="s">
        <v>112</v>
      </c>
      <c r="I24" t="s">
        <v>139</v>
      </c>
      <c r="J24" t="s">
        <v>140</v>
      </c>
      <c r="K24" t="s">
        <v>67</v>
      </c>
      <c r="L24" t="s">
        <v>199</v>
      </c>
      <c r="M24" t="s">
        <v>200</v>
      </c>
      <c r="N24" t="s">
        <v>170</v>
      </c>
      <c r="O24" t="s">
        <v>170</v>
      </c>
      <c r="P24" t="s">
        <v>171</v>
      </c>
      <c r="Q24" t="s">
        <v>176</v>
      </c>
      <c r="R24" t="s">
        <v>95</v>
      </c>
      <c r="S24" t="s">
        <v>143</v>
      </c>
      <c r="T24" t="s">
        <v>144</v>
      </c>
      <c r="U24" t="s">
        <v>139</v>
      </c>
      <c r="V24" t="s">
        <v>99</v>
      </c>
      <c r="W24" t="s">
        <v>139</v>
      </c>
      <c r="X24" t="s">
        <v>145</v>
      </c>
    </row>
    <row r="25" spans="1:24" x14ac:dyDescent="0.2">
      <c r="A25" t="s">
        <v>201</v>
      </c>
      <c r="B25">
        <v>737</v>
      </c>
      <c r="C25" t="s">
        <v>60</v>
      </c>
      <c r="D25" t="s">
        <v>61</v>
      </c>
      <c r="E25" t="s">
        <v>89</v>
      </c>
      <c r="F25" t="s">
        <v>90</v>
      </c>
      <c r="H25" t="s">
        <v>64</v>
      </c>
      <c r="I25" t="s">
        <v>131</v>
      </c>
      <c r="J25" t="s">
        <v>132</v>
      </c>
      <c r="K25" t="s">
        <v>67</v>
      </c>
      <c r="L25" t="s">
        <v>202</v>
      </c>
      <c r="M25" t="s">
        <v>203</v>
      </c>
      <c r="N25" t="s">
        <v>170</v>
      </c>
      <c r="O25" t="s">
        <v>170</v>
      </c>
      <c r="P25" t="s">
        <v>171</v>
      </c>
      <c r="Q25" t="s">
        <v>176</v>
      </c>
      <c r="R25" t="s">
        <v>95</v>
      </c>
      <c r="S25" t="s">
        <v>149</v>
      </c>
      <c r="T25" t="s">
        <v>136</v>
      </c>
      <c r="U25" t="s">
        <v>131</v>
      </c>
      <c r="V25" t="s">
        <v>77</v>
      </c>
      <c r="W25" t="s">
        <v>131</v>
      </c>
      <c r="X25" t="s">
        <v>137</v>
      </c>
    </row>
    <row r="26" spans="1:24" x14ac:dyDescent="0.2">
      <c r="A26" t="s">
        <v>204</v>
      </c>
      <c r="B26">
        <v>737</v>
      </c>
      <c r="C26" t="s">
        <v>60</v>
      </c>
      <c r="D26" t="s">
        <v>61</v>
      </c>
      <c r="E26" t="s">
        <v>89</v>
      </c>
      <c r="F26" t="s">
        <v>90</v>
      </c>
      <c r="H26" t="s">
        <v>64</v>
      </c>
      <c r="I26" t="s">
        <v>139</v>
      </c>
      <c r="J26" t="s">
        <v>140</v>
      </c>
      <c r="K26" t="s">
        <v>67</v>
      </c>
      <c r="L26" t="s">
        <v>205</v>
      </c>
      <c r="M26" t="s">
        <v>206</v>
      </c>
      <c r="N26" t="s">
        <v>170</v>
      </c>
      <c r="O26" t="s">
        <v>170</v>
      </c>
      <c r="P26" t="s">
        <v>171</v>
      </c>
      <c r="Q26" t="s">
        <v>176</v>
      </c>
      <c r="R26" t="s">
        <v>95</v>
      </c>
      <c r="S26" t="s">
        <v>153</v>
      </c>
      <c r="T26" t="s">
        <v>144</v>
      </c>
      <c r="U26" t="s">
        <v>139</v>
      </c>
      <c r="V26" t="s">
        <v>99</v>
      </c>
      <c r="W26" t="s">
        <v>139</v>
      </c>
      <c r="X26" t="s">
        <v>145</v>
      </c>
    </row>
    <row r="27" spans="1:24" x14ac:dyDescent="0.2">
      <c r="A27" t="s">
        <v>207</v>
      </c>
      <c r="B27" t="s">
        <v>208</v>
      </c>
      <c r="C27" t="s">
        <v>60</v>
      </c>
      <c r="D27" t="s">
        <v>156</v>
      </c>
      <c r="E27" t="s">
        <v>157</v>
      </c>
      <c r="F27" t="s">
        <v>158</v>
      </c>
      <c r="G27" t="s">
        <v>159</v>
      </c>
      <c r="H27" t="s">
        <v>160</v>
      </c>
      <c r="I27" t="s">
        <v>102</v>
      </c>
      <c r="J27" t="s">
        <v>103</v>
      </c>
      <c r="K27">
        <v>2850</v>
      </c>
      <c r="L27" t="s">
        <v>209</v>
      </c>
      <c r="M27" t="s">
        <v>209</v>
      </c>
      <c r="N27" t="s">
        <v>210</v>
      </c>
      <c r="O27" t="s">
        <v>210</v>
      </c>
      <c r="P27" t="s">
        <v>211</v>
      </c>
      <c r="Q27" t="s">
        <v>212</v>
      </c>
      <c r="R27" t="s">
        <v>165</v>
      </c>
      <c r="S27" t="s">
        <v>166</v>
      </c>
      <c r="T27" t="s">
        <v>107</v>
      </c>
      <c r="U27" t="s">
        <v>108</v>
      </c>
      <c r="V27" t="s">
        <v>77</v>
      </c>
      <c r="W27" t="s">
        <v>108</v>
      </c>
      <c r="X27" t="s">
        <v>109</v>
      </c>
    </row>
    <row r="28" spans="1:24" x14ac:dyDescent="0.2">
      <c r="A28" t="s">
        <v>213</v>
      </c>
      <c r="B28">
        <v>739</v>
      </c>
      <c r="C28" t="s">
        <v>60</v>
      </c>
      <c r="D28" t="s">
        <v>61</v>
      </c>
      <c r="E28" t="s">
        <v>62</v>
      </c>
      <c r="F28" t="s">
        <v>63</v>
      </c>
      <c r="H28" t="s">
        <v>64</v>
      </c>
      <c r="I28" t="s">
        <v>65</v>
      </c>
      <c r="J28" t="s">
        <v>66</v>
      </c>
      <c r="K28" t="s">
        <v>67</v>
      </c>
      <c r="L28" t="s">
        <v>214</v>
      </c>
      <c r="M28" t="s">
        <v>215</v>
      </c>
      <c r="N28" t="s">
        <v>170</v>
      </c>
      <c r="O28" t="s">
        <v>170</v>
      </c>
      <c r="P28" t="s">
        <v>216</v>
      </c>
      <c r="Q28" t="s">
        <v>217</v>
      </c>
      <c r="R28" t="s">
        <v>73</v>
      </c>
      <c r="S28" t="s">
        <v>74</v>
      </c>
      <c r="T28" t="s">
        <v>75</v>
      </c>
      <c r="U28" t="s">
        <v>76</v>
      </c>
      <c r="V28" t="s">
        <v>77</v>
      </c>
      <c r="W28" t="s">
        <v>76</v>
      </c>
      <c r="X28" t="s">
        <v>78</v>
      </c>
    </row>
    <row r="29" spans="1:24" x14ac:dyDescent="0.2">
      <c r="A29" t="s">
        <v>218</v>
      </c>
      <c r="B29">
        <v>739</v>
      </c>
      <c r="C29" t="s">
        <v>60</v>
      </c>
      <c r="D29" t="s">
        <v>61</v>
      </c>
      <c r="E29" t="s">
        <v>80</v>
      </c>
      <c r="F29" t="s">
        <v>81</v>
      </c>
      <c r="H29" t="s">
        <v>64</v>
      </c>
      <c r="I29" t="s">
        <v>82</v>
      </c>
      <c r="J29" t="s">
        <v>83</v>
      </c>
      <c r="K29" t="s">
        <v>67</v>
      </c>
      <c r="L29" t="s">
        <v>219</v>
      </c>
      <c r="M29" t="s">
        <v>220</v>
      </c>
      <c r="N29" t="s">
        <v>170</v>
      </c>
      <c r="O29" t="s">
        <v>170</v>
      </c>
      <c r="P29" t="s">
        <v>216</v>
      </c>
      <c r="Q29" t="s">
        <v>217</v>
      </c>
      <c r="R29" t="s">
        <v>86</v>
      </c>
      <c r="S29" t="s">
        <v>87</v>
      </c>
      <c r="T29" t="s">
        <v>75</v>
      </c>
      <c r="U29" t="s">
        <v>76</v>
      </c>
      <c r="V29" t="s">
        <v>77</v>
      </c>
      <c r="W29" t="s">
        <v>76</v>
      </c>
      <c r="X29" t="s">
        <v>78</v>
      </c>
    </row>
    <row r="30" spans="1:24" x14ac:dyDescent="0.2">
      <c r="A30" t="s">
        <v>221</v>
      </c>
      <c r="B30">
        <v>739</v>
      </c>
      <c r="C30" t="s">
        <v>60</v>
      </c>
      <c r="D30" t="s">
        <v>61</v>
      </c>
      <c r="E30" t="s">
        <v>89</v>
      </c>
      <c r="F30" t="s">
        <v>90</v>
      </c>
      <c r="H30" t="s">
        <v>64</v>
      </c>
      <c r="I30" t="s">
        <v>91</v>
      </c>
      <c r="J30" t="s">
        <v>92</v>
      </c>
      <c r="K30" t="s">
        <v>67</v>
      </c>
      <c r="L30" t="s">
        <v>222</v>
      </c>
      <c r="M30" t="s">
        <v>223</v>
      </c>
      <c r="N30" t="s">
        <v>170</v>
      </c>
      <c r="O30" t="s">
        <v>170</v>
      </c>
      <c r="P30" t="s">
        <v>216</v>
      </c>
      <c r="Q30" t="s">
        <v>217</v>
      </c>
      <c r="R30" t="s">
        <v>95</v>
      </c>
      <c r="S30" t="s">
        <v>96</v>
      </c>
      <c r="T30" t="s">
        <v>97</v>
      </c>
      <c r="U30" t="s">
        <v>98</v>
      </c>
      <c r="V30" t="s">
        <v>99</v>
      </c>
      <c r="W30" t="s">
        <v>98</v>
      </c>
      <c r="X30" t="s">
        <v>100</v>
      </c>
    </row>
    <row r="31" spans="1:24" x14ac:dyDescent="0.2">
      <c r="A31" t="s">
        <v>224</v>
      </c>
      <c r="B31">
        <v>739</v>
      </c>
      <c r="C31" t="s">
        <v>60</v>
      </c>
      <c r="D31" t="s">
        <v>61</v>
      </c>
      <c r="E31" t="s">
        <v>89</v>
      </c>
      <c r="F31" t="s">
        <v>90</v>
      </c>
      <c r="H31" t="s">
        <v>64</v>
      </c>
      <c r="I31" t="s">
        <v>102</v>
      </c>
      <c r="J31" t="s">
        <v>103</v>
      </c>
      <c r="K31" t="s">
        <v>67</v>
      </c>
      <c r="L31" t="s">
        <v>225</v>
      </c>
      <c r="M31" t="s">
        <v>226</v>
      </c>
      <c r="N31" t="s">
        <v>170</v>
      </c>
      <c r="O31" t="s">
        <v>170</v>
      </c>
      <c r="P31" t="s">
        <v>216</v>
      </c>
      <c r="Q31" t="s">
        <v>217</v>
      </c>
      <c r="R31" t="s">
        <v>95</v>
      </c>
      <c r="S31" t="s">
        <v>106</v>
      </c>
      <c r="T31" t="s">
        <v>107</v>
      </c>
      <c r="U31" t="s">
        <v>108</v>
      </c>
      <c r="V31" t="s">
        <v>77</v>
      </c>
      <c r="W31" t="s">
        <v>108</v>
      </c>
      <c r="X31" t="s">
        <v>109</v>
      </c>
    </row>
    <row r="32" spans="1:24" x14ac:dyDescent="0.2">
      <c r="A32" t="s">
        <v>227</v>
      </c>
      <c r="B32">
        <v>739</v>
      </c>
      <c r="C32" t="s">
        <v>60</v>
      </c>
      <c r="D32" t="s">
        <v>61</v>
      </c>
      <c r="E32" t="s">
        <v>62</v>
      </c>
      <c r="F32" t="s">
        <v>63</v>
      </c>
      <c r="G32" t="s">
        <v>111</v>
      </c>
      <c r="H32" t="s">
        <v>112</v>
      </c>
      <c r="I32" t="s">
        <v>65</v>
      </c>
      <c r="J32" t="s">
        <v>66</v>
      </c>
      <c r="K32" t="s">
        <v>67</v>
      </c>
      <c r="L32" t="s">
        <v>228</v>
      </c>
      <c r="M32" t="s">
        <v>229</v>
      </c>
      <c r="N32" t="s">
        <v>170</v>
      </c>
      <c r="O32" t="s">
        <v>170</v>
      </c>
      <c r="P32" t="s">
        <v>216</v>
      </c>
      <c r="Q32" t="s">
        <v>217</v>
      </c>
      <c r="R32" t="s">
        <v>73</v>
      </c>
      <c r="S32" t="s">
        <v>114</v>
      </c>
      <c r="T32" t="s">
        <v>75</v>
      </c>
      <c r="U32" t="s">
        <v>76</v>
      </c>
      <c r="V32" t="s">
        <v>77</v>
      </c>
      <c r="W32" t="s">
        <v>76</v>
      </c>
      <c r="X32" t="s">
        <v>78</v>
      </c>
    </row>
    <row r="33" spans="1:24" x14ac:dyDescent="0.2">
      <c r="A33" t="s">
        <v>230</v>
      </c>
      <c r="B33">
        <v>739</v>
      </c>
      <c r="C33" t="s">
        <v>60</v>
      </c>
      <c r="D33" t="s">
        <v>61</v>
      </c>
      <c r="E33" t="s">
        <v>80</v>
      </c>
      <c r="F33" t="s">
        <v>81</v>
      </c>
      <c r="G33" t="s">
        <v>111</v>
      </c>
      <c r="H33" t="s">
        <v>112</v>
      </c>
      <c r="I33" t="s">
        <v>82</v>
      </c>
      <c r="J33" t="s">
        <v>83</v>
      </c>
      <c r="K33" t="s">
        <v>67</v>
      </c>
      <c r="L33" t="s">
        <v>231</v>
      </c>
      <c r="M33" t="s">
        <v>232</v>
      </c>
      <c r="N33" t="s">
        <v>170</v>
      </c>
      <c r="O33" t="s">
        <v>170</v>
      </c>
      <c r="P33" t="s">
        <v>216</v>
      </c>
      <c r="Q33" t="s">
        <v>217</v>
      </c>
      <c r="R33" t="s">
        <v>86</v>
      </c>
      <c r="S33" t="s">
        <v>118</v>
      </c>
      <c r="T33" t="s">
        <v>75</v>
      </c>
      <c r="U33" t="s">
        <v>76</v>
      </c>
      <c r="V33" t="s">
        <v>77</v>
      </c>
      <c r="W33" t="s">
        <v>76</v>
      </c>
      <c r="X33" t="s">
        <v>78</v>
      </c>
    </row>
    <row r="34" spans="1:24" x14ac:dyDescent="0.2">
      <c r="A34" t="s">
        <v>233</v>
      </c>
      <c r="B34">
        <v>739</v>
      </c>
      <c r="C34" t="s">
        <v>60</v>
      </c>
      <c r="D34" t="s">
        <v>61</v>
      </c>
      <c r="E34" t="s">
        <v>89</v>
      </c>
      <c r="F34" t="s">
        <v>90</v>
      </c>
      <c r="G34" t="s">
        <v>111</v>
      </c>
      <c r="H34" t="s">
        <v>112</v>
      </c>
      <c r="I34" t="s">
        <v>91</v>
      </c>
      <c r="J34" t="s">
        <v>92</v>
      </c>
      <c r="K34" t="s">
        <v>67</v>
      </c>
      <c r="L34" t="s">
        <v>234</v>
      </c>
      <c r="M34" t="s">
        <v>235</v>
      </c>
      <c r="N34" t="s">
        <v>170</v>
      </c>
      <c r="O34" t="s">
        <v>170</v>
      </c>
      <c r="P34" t="s">
        <v>216</v>
      </c>
      <c r="Q34" t="s">
        <v>217</v>
      </c>
      <c r="R34" t="s">
        <v>95</v>
      </c>
      <c r="S34" t="s">
        <v>122</v>
      </c>
      <c r="T34" t="s">
        <v>97</v>
      </c>
      <c r="U34" t="s">
        <v>98</v>
      </c>
      <c r="V34" t="s">
        <v>99</v>
      </c>
      <c r="W34" t="s">
        <v>98</v>
      </c>
      <c r="X34" t="s">
        <v>100</v>
      </c>
    </row>
    <row r="35" spans="1:24" x14ac:dyDescent="0.2">
      <c r="A35" t="s">
        <v>236</v>
      </c>
      <c r="B35">
        <v>739</v>
      </c>
      <c r="C35" t="s">
        <v>60</v>
      </c>
      <c r="D35" t="s">
        <v>61</v>
      </c>
      <c r="E35" t="s">
        <v>89</v>
      </c>
      <c r="F35" t="s">
        <v>90</v>
      </c>
      <c r="G35" t="s">
        <v>111</v>
      </c>
      <c r="H35" t="s">
        <v>112</v>
      </c>
      <c r="I35" t="s">
        <v>102</v>
      </c>
      <c r="J35" t="s">
        <v>103</v>
      </c>
      <c r="K35" t="s">
        <v>67</v>
      </c>
      <c r="L35" t="s">
        <v>237</v>
      </c>
      <c r="M35" t="s">
        <v>238</v>
      </c>
      <c r="N35" t="s">
        <v>170</v>
      </c>
      <c r="O35" t="s">
        <v>170</v>
      </c>
      <c r="P35" t="s">
        <v>216</v>
      </c>
      <c r="Q35" t="s">
        <v>217</v>
      </c>
      <c r="R35" t="s">
        <v>95</v>
      </c>
      <c r="S35" t="s">
        <v>126</v>
      </c>
      <c r="T35" t="s">
        <v>127</v>
      </c>
      <c r="U35" t="s">
        <v>128</v>
      </c>
      <c r="V35" t="s">
        <v>77</v>
      </c>
      <c r="W35" t="s">
        <v>128</v>
      </c>
      <c r="X35" t="s">
        <v>129</v>
      </c>
    </row>
    <row r="36" spans="1:24" x14ac:dyDescent="0.2">
      <c r="A36" t="s">
        <v>239</v>
      </c>
      <c r="B36">
        <v>739</v>
      </c>
      <c r="C36" t="s">
        <v>60</v>
      </c>
      <c r="D36" t="s">
        <v>61</v>
      </c>
      <c r="E36" t="s">
        <v>89</v>
      </c>
      <c r="F36" t="s">
        <v>90</v>
      </c>
      <c r="G36" t="s">
        <v>111</v>
      </c>
      <c r="H36" t="s">
        <v>112</v>
      </c>
      <c r="I36" t="s">
        <v>131</v>
      </c>
      <c r="J36" t="s">
        <v>132</v>
      </c>
      <c r="K36" t="s">
        <v>67</v>
      </c>
      <c r="L36" t="s">
        <v>240</v>
      </c>
      <c r="M36" t="s">
        <v>241</v>
      </c>
      <c r="N36" t="s">
        <v>170</v>
      </c>
      <c r="O36" t="s">
        <v>170</v>
      </c>
      <c r="P36" t="s">
        <v>216</v>
      </c>
      <c r="Q36" t="s">
        <v>217</v>
      </c>
      <c r="R36" t="s">
        <v>95</v>
      </c>
      <c r="S36" t="s">
        <v>135</v>
      </c>
      <c r="T36" t="s">
        <v>136</v>
      </c>
      <c r="U36" t="s">
        <v>131</v>
      </c>
      <c r="V36" t="s">
        <v>77</v>
      </c>
      <c r="W36" t="s">
        <v>131</v>
      </c>
      <c r="X36" t="s">
        <v>137</v>
      </c>
    </row>
    <row r="37" spans="1:24" x14ac:dyDescent="0.2">
      <c r="A37" t="s">
        <v>242</v>
      </c>
      <c r="B37">
        <v>739</v>
      </c>
      <c r="C37" t="s">
        <v>60</v>
      </c>
      <c r="D37" t="s">
        <v>61</v>
      </c>
      <c r="E37" t="s">
        <v>89</v>
      </c>
      <c r="F37" t="s">
        <v>90</v>
      </c>
      <c r="G37" t="s">
        <v>111</v>
      </c>
      <c r="H37" t="s">
        <v>112</v>
      </c>
      <c r="I37" t="s">
        <v>139</v>
      </c>
      <c r="J37" t="s">
        <v>140</v>
      </c>
      <c r="K37" t="s">
        <v>67</v>
      </c>
      <c r="L37" t="s">
        <v>243</v>
      </c>
      <c r="M37" t="s">
        <v>244</v>
      </c>
      <c r="N37" t="s">
        <v>170</v>
      </c>
      <c r="O37" t="s">
        <v>170</v>
      </c>
      <c r="P37" t="s">
        <v>216</v>
      </c>
      <c r="Q37" t="s">
        <v>217</v>
      </c>
      <c r="R37" t="s">
        <v>95</v>
      </c>
      <c r="S37" t="s">
        <v>143</v>
      </c>
      <c r="T37" t="s">
        <v>144</v>
      </c>
      <c r="U37" t="s">
        <v>139</v>
      </c>
      <c r="V37" t="s">
        <v>99</v>
      </c>
      <c r="W37" t="s">
        <v>139</v>
      </c>
      <c r="X37" t="s">
        <v>145</v>
      </c>
    </row>
    <row r="38" spans="1:24" x14ac:dyDescent="0.2">
      <c r="A38" t="s">
        <v>245</v>
      </c>
      <c r="B38">
        <v>739</v>
      </c>
      <c r="C38" t="s">
        <v>60</v>
      </c>
      <c r="D38" t="s">
        <v>61</v>
      </c>
      <c r="E38" t="s">
        <v>89</v>
      </c>
      <c r="F38" t="s">
        <v>90</v>
      </c>
      <c r="H38" t="s">
        <v>64</v>
      </c>
      <c r="I38" t="s">
        <v>131</v>
      </c>
      <c r="J38" t="s">
        <v>132</v>
      </c>
      <c r="K38" t="s">
        <v>67</v>
      </c>
      <c r="L38" t="s">
        <v>246</v>
      </c>
      <c r="M38" t="s">
        <v>247</v>
      </c>
      <c r="N38" t="s">
        <v>170</v>
      </c>
      <c r="O38" t="s">
        <v>170</v>
      </c>
      <c r="P38" t="s">
        <v>216</v>
      </c>
      <c r="Q38" t="s">
        <v>217</v>
      </c>
      <c r="R38" t="s">
        <v>95</v>
      </c>
      <c r="S38" t="s">
        <v>149</v>
      </c>
      <c r="T38" t="s">
        <v>136</v>
      </c>
      <c r="U38" t="s">
        <v>131</v>
      </c>
      <c r="V38" t="s">
        <v>77</v>
      </c>
      <c r="W38" t="s">
        <v>131</v>
      </c>
      <c r="X38" t="s">
        <v>137</v>
      </c>
    </row>
    <row r="39" spans="1:24" x14ac:dyDescent="0.2">
      <c r="A39" t="s">
        <v>248</v>
      </c>
      <c r="B39">
        <v>739</v>
      </c>
      <c r="C39" t="s">
        <v>60</v>
      </c>
      <c r="D39" t="s">
        <v>61</v>
      </c>
      <c r="E39" t="s">
        <v>89</v>
      </c>
      <c r="F39" t="s">
        <v>90</v>
      </c>
      <c r="H39" t="s">
        <v>64</v>
      </c>
      <c r="I39" t="s">
        <v>139</v>
      </c>
      <c r="J39" t="s">
        <v>140</v>
      </c>
      <c r="K39" t="s">
        <v>67</v>
      </c>
      <c r="L39" t="s">
        <v>249</v>
      </c>
      <c r="M39" t="s">
        <v>250</v>
      </c>
      <c r="N39" t="s">
        <v>170</v>
      </c>
      <c r="O39" t="s">
        <v>170</v>
      </c>
      <c r="P39" t="s">
        <v>216</v>
      </c>
      <c r="Q39" t="s">
        <v>217</v>
      </c>
      <c r="R39" t="s">
        <v>95</v>
      </c>
      <c r="S39" t="s">
        <v>153</v>
      </c>
      <c r="T39" t="s">
        <v>144</v>
      </c>
      <c r="U39" t="s">
        <v>139</v>
      </c>
      <c r="V39" t="s">
        <v>99</v>
      </c>
      <c r="W39" t="s">
        <v>139</v>
      </c>
      <c r="X39" t="s">
        <v>145</v>
      </c>
    </row>
    <row r="40" spans="1:24" x14ac:dyDescent="0.2">
      <c r="A40" t="s">
        <v>251</v>
      </c>
      <c r="B40" t="s">
        <v>252</v>
      </c>
      <c r="C40" t="s">
        <v>60</v>
      </c>
      <c r="D40" t="s">
        <v>61</v>
      </c>
      <c r="E40" t="s">
        <v>253</v>
      </c>
      <c r="F40" t="s">
        <v>254</v>
      </c>
      <c r="G40" t="s">
        <v>159</v>
      </c>
      <c r="H40" t="s">
        <v>160</v>
      </c>
      <c r="I40" t="s">
        <v>102</v>
      </c>
      <c r="J40" t="s">
        <v>103</v>
      </c>
      <c r="K40">
        <v>3850</v>
      </c>
      <c r="L40" t="s">
        <v>255</v>
      </c>
      <c r="M40" t="s">
        <v>255</v>
      </c>
      <c r="N40" t="s">
        <v>162</v>
      </c>
      <c r="O40" t="s">
        <v>162</v>
      </c>
      <c r="P40" t="s">
        <v>256</v>
      </c>
      <c r="Q40" t="s">
        <v>257</v>
      </c>
      <c r="R40" t="s">
        <v>258</v>
      </c>
      <c r="S40" t="s">
        <v>166</v>
      </c>
      <c r="T40" t="s">
        <v>107</v>
      </c>
      <c r="U40" t="s">
        <v>108</v>
      </c>
      <c r="V40" t="s">
        <v>77</v>
      </c>
      <c r="W40" t="s">
        <v>108</v>
      </c>
      <c r="X40" t="s">
        <v>109</v>
      </c>
    </row>
    <row r="41" spans="1:24" x14ac:dyDescent="0.2">
      <c r="A41" t="s">
        <v>259</v>
      </c>
      <c r="B41">
        <v>760</v>
      </c>
      <c r="C41" t="s">
        <v>60</v>
      </c>
      <c r="D41" t="s">
        <v>61</v>
      </c>
      <c r="E41" t="s">
        <v>260</v>
      </c>
      <c r="F41" t="s">
        <v>261</v>
      </c>
      <c r="H41" t="s">
        <v>64</v>
      </c>
      <c r="I41" t="s">
        <v>65</v>
      </c>
      <c r="J41" t="s">
        <v>66</v>
      </c>
      <c r="K41">
        <v>6250</v>
      </c>
      <c r="L41" t="s">
        <v>262</v>
      </c>
      <c r="M41" t="s">
        <v>262</v>
      </c>
      <c r="N41" t="s">
        <v>263</v>
      </c>
      <c r="O41" t="s">
        <v>263</v>
      </c>
      <c r="P41" t="s">
        <v>264</v>
      </c>
      <c r="Q41" t="s">
        <v>265</v>
      </c>
      <c r="R41" t="s">
        <v>266</v>
      </c>
      <c r="S41" t="s">
        <v>74</v>
      </c>
      <c r="T41" t="s">
        <v>75</v>
      </c>
      <c r="U41" t="s">
        <v>76</v>
      </c>
      <c r="V41" t="s">
        <v>77</v>
      </c>
      <c r="W41" t="s">
        <v>76</v>
      </c>
      <c r="X41" t="s">
        <v>78</v>
      </c>
    </row>
    <row r="42" spans="1:24" x14ac:dyDescent="0.2">
      <c r="A42" t="s">
        <v>267</v>
      </c>
      <c r="B42">
        <v>760</v>
      </c>
      <c r="C42" t="s">
        <v>60</v>
      </c>
      <c r="D42" t="s">
        <v>61</v>
      </c>
      <c r="E42" t="s">
        <v>80</v>
      </c>
      <c r="F42" t="s">
        <v>268</v>
      </c>
      <c r="H42" t="s">
        <v>64</v>
      </c>
      <c r="I42" t="s">
        <v>82</v>
      </c>
      <c r="J42" t="s">
        <v>83</v>
      </c>
      <c r="K42">
        <v>6750</v>
      </c>
      <c r="L42" t="s">
        <v>269</v>
      </c>
      <c r="M42" t="s">
        <v>269</v>
      </c>
      <c r="N42" t="s">
        <v>263</v>
      </c>
      <c r="O42" t="s">
        <v>263</v>
      </c>
      <c r="P42" t="s">
        <v>264</v>
      </c>
      <c r="Q42" t="s">
        <v>265</v>
      </c>
      <c r="R42" t="s">
        <v>86</v>
      </c>
      <c r="S42" t="s">
        <v>87</v>
      </c>
      <c r="T42" t="s">
        <v>75</v>
      </c>
      <c r="U42" t="s">
        <v>76</v>
      </c>
      <c r="V42" t="s">
        <v>77</v>
      </c>
      <c r="W42" t="s">
        <v>76</v>
      </c>
      <c r="X42" t="s">
        <v>78</v>
      </c>
    </row>
    <row r="43" spans="1:24" x14ac:dyDescent="0.2">
      <c r="A43" t="s">
        <v>270</v>
      </c>
      <c r="B43">
        <v>760</v>
      </c>
      <c r="C43" t="s">
        <v>60</v>
      </c>
      <c r="D43" t="s">
        <v>61</v>
      </c>
      <c r="E43" t="s">
        <v>271</v>
      </c>
      <c r="F43" t="s">
        <v>272</v>
      </c>
      <c r="H43" t="s">
        <v>64</v>
      </c>
      <c r="I43" t="s">
        <v>91</v>
      </c>
      <c r="J43" t="s">
        <v>92</v>
      </c>
      <c r="K43">
        <v>3850</v>
      </c>
      <c r="L43" t="s">
        <v>273</v>
      </c>
      <c r="M43" t="s">
        <v>273</v>
      </c>
      <c r="N43" t="s">
        <v>263</v>
      </c>
      <c r="O43" t="s">
        <v>263</v>
      </c>
      <c r="P43" t="s">
        <v>264</v>
      </c>
      <c r="Q43" t="s">
        <v>265</v>
      </c>
      <c r="R43" t="s">
        <v>274</v>
      </c>
      <c r="S43" t="s">
        <v>96</v>
      </c>
      <c r="T43" t="s">
        <v>97</v>
      </c>
      <c r="U43" t="s">
        <v>98</v>
      </c>
      <c r="V43" t="s">
        <v>99</v>
      </c>
      <c r="W43" t="s">
        <v>98</v>
      </c>
      <c r="X43" t="s">
        <v>100</v>
      </c>
    </row>
    <row r="44" spans="1:24" x14ac:dyDescent="0.2">
      <c r="A44" t="s">
        <v>275</v>
      </c>
      <c r="B44">
        <v>760</v>
      </c>
      <c r="C44" t="s">
        <v>60</v>
      </c>
      <c r="D44" t="s">
        <v>61</v>
      </c>
      <c r="E44" t="s">
        <v>271</v>
      </c>
      <c r="F44" t="s">
        <v>272</v>
      </c>
      <c r="H44" t="s">
        <v>64</v>
      </c>
      <c r="I44" t="s">
        <v>102</v>
      </c>
      <c r="J44" t="s">
        <v>103</v>
      </c>
      <c r="K44">
        <v>3750</v>
      </c>
      <c r="L44" t="s">
        <v>276</v>
      </c>
      <c r="M44" t="s">
        <v>276</v>
      </c>
      <c r="N44" t="s">
        <v>263</v>
      </c>
      <c r="O44" t="s">
        <v>263</v>
      </c>
      <c r="P44" t="s">
        <v>264</v>
      </c>
      <c r="Q44" t="s">
        <v>265</v>
      </c>
      <c r="R44" t="s">
        <v>274</v>
      </c>
      <c r="S44" t="s">
        <v>106</v>
      </c>
      <c r="T44" t="s">
        <v>107</v>
      </c>
      <c r="U44" t="s">
        <v>108</v>
      </c>
      <c r="V44" t="s">
        <v>77</v>
      </c>
      <c r="W44" t="s">
        <v>108</v>
      </c>
      <c r="X44" t="s">
        <v>109</v>
      </c>
    </row>
    <row r="45" spans="1:24" x14ac:dyDescent="0.2">
      <c r="A45" t="s">
        <v>277</v>
      </c>
      <c r="B45">
        <v>760</v>
      </c>
      <c r="C45" t="s">
        <v>60</v>
      </c>
      <c r="D45" t="s">
        <v>61</v>
      </c>
      <c r="E45" t="s">
        <v>271</v>
      </c>
      <c r="F45" t="s">
        <v>272</v>
      </c>
      <c r="G45" t="s">
        <v>156</v>
      </c>
      <c r="H45" t="s">
        <v>278</v>
      </c>
      <c r="I45" t="s">
        <v>91</v>
      </c>
      <c r="J45" t="s">
        <v>92</v>
      </c>
      <c r="K45">
        <v>4550</v>
      </c>
      <c r="L45" t="s">
        <v>279</v>
      </c>
      <c r="M45" t="s">
        <v>279</v>
      </c>
      <c r="N45" t="s">
        <v>263</v>
      </c>
      <c r="O45" t="s">
        <v>263</v>
      </c>
      <c r="P45" t="s">
        <v>264</v>
      </c>
      <c r="Q45" t="s">
        <v>265</v>
      </c>
      <c r="R45" t="s">
        <v>274</v>
      </c>
      <c r="S45" t="s">
        <v>280</v>
      </c>
      <c r="T45" t="s">
        <v>97</v>
      </c>
      <c r="U45" t="s">
        <v>98</v>
      </c>
      <c r="V45" t="s">
        <v>99</v>
      </c>
      <c r="W45" t="s">
        <v>98</v>
      </c>
      <c r="X45" t="s">
        <v>100</v>
      </c>
    </row>
    <row r="46" spans="1:24" x14ac:dyDescent="0.2">
      <c r="A46" t="s">
        <v>281</v>
      </c>
      <c r="B46">
        <v>760</v>
      </c>
      <c r="C46" t="s">
        <v>60</v>
      </c>
      <c r="D46" t="s">
        <v>61</v>
      </c>
      <c r="E46" t="s">
        <v>271</v>
      </c>
      <c r="F46" t="s">
        <v>272</v>
      </c>
      <c r="G46" t="s">
        <v>156</v>
      </c>
      <c r="H46" t="s">
        <v>278</v>
      </c>
      <c r="I46" t="s">
        <v>102</v>
      </c>
      <c r="J46" t="s">
        <v>103</v>
      </c>
      <c r="K46">
        <v>4450</v>
      </c>
      <c r="L46" t="s">
        <v>282</v>
      </c>
      <c r="M46" t="s">
        <v>282</v>
      </c>
      <c r="N46" t="s">
        <v>263</v>
      </c>
      <c r="O46" t="s">
        <v>263</v>
      </c>
      <c r="P46" t="s">
        <v>264</v>
      </c>
      <c r="Q46" t="s">
        <v>265</v>
      </c>
      <c r="R46" t="s">
        <v>274</v>
      </c>
      <c r="S46" t="s">
        <v>283</v>
      </c>
      <c r="T46" t="s">
        <v>284</v>
      </c>
      <c r="U46" t="s">
        <v>285</v>
      </c>
      <c r="V46" t="s">
        <v>77</v>
      </c>
      <c r="W46" t="s">
        <v>285</v>
      </c>
      <c r="X46" t="s">
        <v>286</v>
      </c>
    </row>
    <row r="47" spans="1:24" x14ac:dyDescent="0.2">
      <c r="A47" t="s">
        <v>287</v>
      </c>
      <c r="B47">
        <v>760</v>
      </c>
      <c r="C47" t="s">
        <v>60</v>
      </c>
      <c r="D47" t="s">
        <v>61</v>
      </c>
      <c r="E47" t="s">
        <v>271</v>
      </c>
      <c r="F47" t="s">
        <v>272</v>
      </c>
      <c r="G47" t="s">
        <v>156</v>
      </c>
      <c r="H47" t="s">
        <v>278</v>
      </c>
      <c r="I47" t="s">
        <v>131</v>
      </c>
      <c r="J47" t="s">
        <v>132</v>
      </c>
      <c r="K47">
        <v>4950</v>
      </c>
      <c r="L47" t="s">
        <v>288</v>
      </c>
      <c r="M47" t="s">
        <v>288</v>
      </c>
      <c r="N47" t="s">
        <v>263</v>
      </c>
      <c r="O47" t="s">
        <v>263</v>
      </c>
      <c r="P47" t="s">
        <v>264</v>
      </c>
      <c r="Q47" t="s">
        <v>265</v>
      </c>
      <c r="R47" t="s">
        <v>274</v>
      </c>
      <c r="S47" t="s">
        <v>289</v>
      </c>
      <c r="T47" t="s">
        <v>136</v>
      </c>
      <c r="U47" t="s">
        <v>131</v>
      </c>
      <c r="V47" t="s">
        <v>77</v>
      </c>
      <c r="W47" t="s">
        <v>131</v>
      </c>
      <c r="X47" t="s">
        <v>137</v>
      </c>
    </row>
    <row r="48" spans="1:24" x14ac:dyDescent="0.2">
      <c r="A48" t="s">
        <v>290</v>
      </c>
      <c r="B48">
        <v>760</v>
      </c>
      <c r="C48" t="s">
        <v>60</v>
      </c>
      <c r="D48" t="s">
        <v>61</v>
      </c>
      <c r="E48" t="s">
        <v>271</v>
      </c>
      <c r="F48" t="s">
        <v>272</v>
      </c>
      <c r="G48" t="s">
        <v>156</v>
      </c>
      <c r="H48" t="s">
        <v>278</v>
      </c>
      <c r="I48" t="s">
        <v>139</v>
      </c>
      <c r="J48" t="s">
        <v>140</v>
      </c>
      <c r="K48">
        <v>4950</v>
      </c>
      <c r="L48" t="s">
        <v>291</v>
      </c>
      <c r="M48" t="s">
        <v>291</v>
      </c>
      <c r="N48" t="s">
        <v>263</v>
      </c>
      <c r="O48" t="s">
        <v>263</v>
      </c>
      <c r="P48" t="s">
        <v>264</v>
      </c>
      <c r="Q48" t="s">
        <v>265</v>
      </c>
      <c r="R48" t="s">
        <v>274</v>
      </c>
      <c r="S48" t="s">
        <v>292</v>
      </c>
      <c r="T48" t="s">
        <v>144</v>
      </c>
      <c r="U48" t="s">
        <v>139</v>
      </c>
      <c r="V48" t="s">
        <v>99</v>
      </c>
      <c r="W48" t="s">
        <v>139</v>
      </c>
      <c r="X48" t="s">
        <v>145</v>
      </c>
    </row>
    <row r="49" spans="1:24" x14ac:dyDescent="0.2">
      <c r="A49" t="s">
        <v>293</v>
      </c>
      <c r="B49">
        <v>760</v>
      </c>
      <c r="C49" t="s">
        <v>60</v>
      </c>
      <c r="D49" t="s">
        <v>61</v>
      </c>
      <c r="E49" t="s">
        <v>260</v>
      </c>
      <c r="F49" t="s">
        <v>261</v>
      </c>
      <c r="G49" t="s">
        <v>111</v>
      </c>
      <c r="H49" t="s">
        <v>112</v>
      </c>
      <c r="I49" t="s">
        <v>65</v>
      </c>
      <c r="J49" t="s">
        <v>66</v>
      </c>
      <c r="K49">
        <v>6950</v>
      </c>
      <c r="L49" t="s">
        <v>294</v>
      </c>
      <c r="M49" t="s">
        <v>294</v>
      </c>
      <c r="N49" t="s">
        <v>263</v>
      </c>
      <c r="O49" t="s">
        <v>263</v>
      </c>
      <c r="P49" t="s">
        <v>264</v>
      </c>
      <c r="Q49" t="s">
        <v>265</v>
      </c>
      <c r="R49" t="s">
        <v>266</v>
      </c>
      <c r="S49" t="s">
        <v>114</v>
      </c>
      <c r="T49" t="s">
        <v>75</v>
      </c>
      <c r="U49" t="s">
        <v>76</v>
      </c>
      <c r="V49" t="s">
        <v>77</v>
      </c>
      <c r="W49" t="s">
        <v>76</v>
      </c>
      <c r="X49" t="s">
        <v>78</v>
      </c>
    </row>
    <row r="50" spans="1:24" x14ac:dyDescent="0.2">
      <c r="A50" t="s">
        <v>295</v>
      </c>
      <c r="B50">
        <v>760</v>
      </c>
      <c r="C50" t="s">
        <v>60</v>
      </c>
      <c r="D50" t="s">
        <v>61</v>
      </c>
      <c r="E50" t="s">
        <v>80</v>
      </c>
      <c r="F50" t="s">
        <v>268</v>
      </c>
      <c r="G50" t="s">
        <v>111</v>
      </c>
      <c r="H50" t="s">
        <v>112</v>
      </c>
      <c r="I50" t="s">
        <v>82</v>
      </c>
      <c r="J50" t="s">
        <v>83</v>
      </c>
      <c r="K50">
        <v>7450</v>
      </c>
      <c r="L50" t="s">
        <v>296</v>
      </c>
      <c r="M50" t="s">
        <v>296</v>
      </c>
      <c r="N50" t="s">
        <v>263</v>
      </c>
      <c r="O50" t="s">
        <v>263</v>
      </c>
      <c r="P50" t="s">
        <v>264</v>
      </c>
      <c r="Q50" t="s">
        <v>265</v>
      </c>
      <c r="R50" t="s">
        <v>86</v>
      </c>
      <c r="S50" t="s">
        <v>118</v>
      </c>
      <c r="T50" t="s">
        <v>75</v>
      </c>
      <c r="U50" t="s">
        <v>76</v>
      </c>
      <c r="V50" t="s">
        <v>77</v>
      </c>
      <c r="W50" t="s">
        <v>76</v>
      </c>
      <c r="X50" t="s">
        <v>78</v>
      </c>
    </row>
    <row r="51" spans="1:24" x14ac:dyDescent="0.2">
      <c r="A51" t="s">
        <v>297</v>
      </c>
      <c r="B51">
        <v>760</v>
      </c>
      <c r="C51" t="s">
        <v>60</v>
      </c>
      <c r="D51" t="s">
        <v>61</v>
      </c>
      <c r="E51" t="s">
        <v>271</v>
      </c>
      <c r="F51" t="s">
        <v>272</v>
      </c>
      <c r="G51" t="s">
        <v>111</v>
      </c>
      <c r="H51" t="s">
        <v>112</v>
      </c>
      <c r="I51" t="s">
        <v>91</v>
      </c>
      <c r="J51" t="s">
        <v>92</v>
      </c>
      <c r="K51">
        <v>4550</v>
      </c>
      <c r="L51" t="s">
        <v>298</v>
      </c>
      <c r="M51" t="s">
        <v>298</v>
      </c>
      <c r="N51" t="s">
        <v>263</v>
      </c>
      <c r="O51" t="s">
        <v>263</v>
      </c>
      <c r="P51" t="s">
        <v>264</v>
      </c>
      <c r="Q51" t="s">
        <v>265</v>
      </c>
      <c r="R51" t="s">
        <v>274</v>
      </c>
      <c r="S51" t="s">
        <v>122</v>
      </c>
      <c r="T51" t="s">
        <v>97</v>
      </c>
      <c r="U51" t="s">
        <v>98</v>
      </c>
      <c r="V51" t="s">
        <v>99</v>
      </c>
      <c r="W51" t="s">
        <v>98</v>
      </c>
      <c r="X51" t="s">
        <v>100</v>
      </c>
    </row>
    <row r="52" spans="1:24" x14ac:dyDescent="0.2">
      <c r="A52" t="s">
        <v>299</v>
      </c>
      <c r="B52">
        <v>760</v>
      </c>
      <c r="C52" t="s">
        <v>60</v>
      </c>
      <c r="D52" t="s">
        <v>61</v>
      </c>
      <c r="E52" t="s">
        <v>271</v>
      </c>
      <c r="F52" t="s">
        <v>272</v>
      </c>
      <c r="G52" t="s">
        <v>111</v>
      </c>
      <c r="H52" t="s">
        <v>112</v>
      </c>
      <c r="I52" t="s">
        <v>102</v>
      </c>
      <c r="J52" t="s">
        <v>103</v>
      </c>
      <c r="K52">
        <v>4450</v>
      </c>
      <c r="L52" t="s">
        <v>300</v>
      </c>
      <c r="M52" t="s">
        <v>300</v>
      </c>
      <c r="N52" t="s">
        <v>263</v>
      </c>
      <c r="O52" t="s">
        <v>263</v>
      </c>
      <c r="P52" t="s">
        <v>264</v>
      </c>
      <c r="Q52" t="s">
        <v>265</v>
      </c>
      <c r="R52" t="s">
        <v>274</v>
      </c>
      <c r="S52" t="s">
        <v>126</v>
      </c>
      <c r="T52" t="s">
        <v>127</v>
      </c>
      <c r="U52" t="s">
        <v>128</v>
      </c>
      <c r="V52" t="s">
        <v>77</v>
      </c>
      <c r="W52" t="s">
        <v>128</v>
      </c>
      <c r="X52" t="s">
        <v>129</v>
      </c>
    </row>
    <row r="53" spans="1:24" x14ac:dyDescent="0.2">
      <c r="A53" t="s">
        <v>301</v>
      </c>
      <c r="B53">
        <v>760</v>
      </c>
      <c r="C53" t="s">
        <v>60</v>
      </c>
      <c r="D53" t="s">
        <v>61</v>
      </c>
      <c r="E53" t="s">
        <v>271</v>
      </c>
      <c r="F53" t="s">
        <v>272</v>
      </c>
      <c r="G53" t="s">
        <v>111</v>
      </c>
      <c r="H53" t="s">
        <v>112</v>
      </c>
      <c r="I53" t="s">
        <v>131</v>
      </c>
      <c r="J53" t="s">
        <v>132</v>
      </c>
      <c r="K53">
        <v>4950</v>
      </c>
      <c r="L53" t="s">
        <v>302</v>
      </c>
      <c r="M53" t="s">
        <v>302</v>
      </c>
      <c r="N53" t="s">
        <v>263</v>
      </c>
      <c r="O53" t="s">
        <v>263</v>
      </c>
      <c r="P53" t="s">
        <v>264</v>
      </c>
      <c r="Q53" t="s">
        <v>265</v>
      </c>
      <c r="R53" t="s">
        <v>274</v>
      </c>
      <c r="S53" t="s">
        <v>135</v>
      </c>
      <c r="T53" t="s">
        <v>136</v>
      </c>
      <c r="U53" t="s">
        <v>131</v>
      </c>
      <c r="V53" t="s">
        <v>77</v>
      </c>
      <c r="W53" t="s">
        <v>131</v>
      </c>
      <c r="X53" t="s">
        <v>137</v>
      </c>
    </row>
    <row r="54" spans="1:24" x14ac:dyDescent="0.2">
      <c r="A54" t="s">
        <v>303</v>
      </c>
      <c r="B54">
        <v>760</v>
      </c>
      <c r="C54" t="s">
        <v>60</v>
      </c>
      <c r="D54" t="s">
        <v>61</v>
      </c>
      <c r="E54" t="s">
        <v>271</v>
      </c>
      <c r="F54" t="s">
        <v>272</v>
      </c>
      <c r="G54" t="s">
        <v>111</v>
      </c>
      <c r="H54" t="s">
        <v>112</v>
      </c>
      <c r="I54" t="s">
        <v>139</v>
      </c>
      <c r="J54" t="s">
        <v>140</v>
      </c>
      <c r="K54">
        <v>4950</v>
      </c>
      <c r="L54" t="s">
        <v>304</v>
      </c>
      <c r="M54" t="s">
        <v>304</v>
      </c>
      <c r="N54" t="s">
        <v>263</v>
      </c>
      <c r="O54" t="s">
        <v>263</v>
      </c>
      <c r="P54" t="s">
        <v>264</v>
      </c>
      <c r="Q54" t="s">
        <v>265</v>
      </c>
      <c r="R54" t="s">
        <v>274</v>
      </c>
      <c r="S54" t="s">
        <v>143</v>
      </c>
      <c r="T54" t="s">
        <v>144</v>
      </c>
      <c r="U54" t="s">
        <v>139</v>
      </c>
      <c r="V54" t="s">
        <v>99</v>
      </c>
      <c r="W54" t="s">
        <v>139</v>
      </c>
      <c r="X54" t="s">
        <v>145</v>
      </c>
    </row>
    <row r="55" spans="1:24" x14ac:dyDescent="0.2">
      <c r="A55" t="s">
        <v>305</v>
      </c>
      <c r="B55">
        <v>760</v>
      </c>
      <c r="C55" t="s">
        <v>60</v>
      </c>
      <c r="D55" t="s">
        <v>61</v>
      </c>
      <c r="E55" t="s">
        <v>271</v>
      </c>
      <c r="F55" t="s">
        <v>272</v>
      </c>
      <c r="G55" t="s">
        <v>306</v>
      </c>
      <c r="H55" t="s">
        <v>307</v>
      </c>
      <c r="I55" t="s">
        <v>91</v>
      </c>
      <c r="J55" t="s">
        <v>92</v>
      </c>
      <c r="K55">
        <v>5250</v>
      </c>
      <c r="L55" t="s">
        <v>308</v>
      </c>
      <c r="M55" t="s">
        <v>308</v>
      </c>
      <c r="N55" t="s">
        <v>263</v>
      </c>
      <c r="O55" t="s">
        <v>263</v>
      </c>
      <c r="P55" t="s">
        <v>264</v>
      </c>
      <c r="Q55" t="s">
        <v>265</v>
      </c>
      <c r="R55" t="s">
        <v>274</v>
      </c>
      <c r="S55" t="s">
        <v>309</v>
      </c>
      <c r="T55" t="s">
        <v>97</v>
      </c>
      <c r="U55" t="s">
        <v>98</v>
      </c>
      <c r="V55" t="s">
        <v>99</v>
      </c>
      <c r="W55" t="s">
        <v>98</v>
      </c>
      <c r="X55" t="s">
        <v>100</v>
      </c>
    </row>
    <row r="56" spans="1:24" x14ac:dyDescent="0.2">
      <c r="A56" t="s">
        <v>310</v>
      </c>
      <c r="B56">
        <v>760</v>
      </c>
      <c r="C56" t="s">
        <v>60</v>
      </c>
      <c r="D56" t="s">
        <v>61</v>
      </c>
      <c r="E56" t="s">
        <v>271</v>
      </c>
      <c r="F56" t="s">
        <v>272</v>
      </c>
      <c r="G56" t="s">
        <v>306</v>
      </c>
      <c r="H56" t="s">
        <v>307</v>
      </c>
      <c r="I56" t="s">
        <v>102</v>
      </c>
      <c r="J56" t="s">
        <v>103</v>
      </c>
      <c r="K56">
        <v>5150</v>
      </c>
      <c r="L56" t="s">
        <v>311</v>
      </c>
      <c r="M56" t="s">
        <v>311</v>
      </c>
      <c r="N56" t="s">
        <v>263</v>
      </c>
      <c r="O56" t="s">
        <v>263</v>
      </c>
      <c r="P56" t="s">
        <v>264</v>
      </c>
      <c r="Q56" t="s">
        <v>265</v>
      </c>
      <c r="R56" t="s">
        <v>274</v>
      </c>
      <c r="S56" t="s">
        <v>312</v>
      </c>
      <c r="T56" t="s">
        <v>313</v>
      </c>
      <c r="U56" t="s">
        <v>314</v>
      </c>
      <c r="V56" t="s">
        <v>77</v>
      </c>
      <c r="W56" t="s">
        <v>314</v>
      </c>
      <c r="X56" t="s">
        <v>315</v>
      </c>
    </row>
    <row r="57" spans="1:24" x14ac:dyDescent="0.2">
      <c r="A57" t="s">
        <v>316</v>
      </c>
      <c r="B57">
        <v>760</v>
      </c>
      <c r="C57" t="s">
        <v>60</v>
      </c>
      <c r="D57" t="s">
        <v>61</v>
      </c>
      <c r="E57" t="s">
        <v>271</v>
      </c>
      <c r="F57" t="s">
        <v>272</v>
      </c>
      <c r="G57" t="s">
        <v>306</v>
      </c>
      <c r="H57" t="s">
        <v>307</v>
      </c>
      <c r="I57" t="s">
        <v>131</v>
      </c>
      <c r="J57" t="s">
        <v>132</v>
      </c>
      <c r="K57">
        <v>5650</v>
      </c>
      <c r="L57" t="s">
        <v>317</v>
      </c>
      <c r="M57" t="s">
        <v>317</v>
      </c>
      <c r="N57" t="s">
        <v>263</v>
      </c>
      <c r="O57" t="s">
        <v>263</v>
      </c>
      <c r="P57" t="s">
        <v>264</v>
      </c>
      <c r="Q57" t="s">
        <v>265</v>
      </c>
      <c r="R57" t="s">
        <v>274</v>
      </c>
      <c r="S57" t="s">
        <v>318</v>
      </c>
      <c r="T57" t="s">
        <v>136</v>
      </c>
      <c r="U57" t="s">
        <v>131</v>
      </c>
      <c r="V57" t="s">
        <v>77</v>
      </c>
      <c r="W57" t="s">
        <v>131</v>
      </c>
      <c r="X57" t="s">
        <v>137</v>
      </c>
    </row>
    <row r="58" spans="1:24" x14ac:dyDescent="0.2">
      <c r="A58" t="s">
        <v>319</v>
      </c>
      <c r="B58">
        <v>760</v>
      </c>
      <c r="C58" t="s">
        <v>60</v>
      </c>
      <c r="D58" t="s">
        <v>61</v>
      </c>
      <c r="E58" t="s">
        <v>271</v>
      </c>
      <c r="F58" t="s">
        <v>272</v>
      </c>
      <c r="G58" t="s">
        <v>306</v>
      </c>
      <c r="H58" t="s">
        <v>307</v>
      </c>
      <c r="I58" t="s">
        <v>139</v>
      </c>
      <c r="J58" t="s">
        <v>140</v>
      </c>
      <c r="K58">
        <v>5650</v>
      </c>
      <c r="L58" t="s">
        <v>320</v>
      </c>
      <c r="M58" t="s">
        <v>320</v>
      </c>
      <c r="N58" t="s">
        <v>263</v>
      </c>
      <c r="O58" t="s">
        <v>263</v>
      </c>
      <c r="P58" t="s">
        <v>264</v>
      </c>
      <c r="Q58" t="s">
        <v>265</v>
      </c>
      <c r="R58" t="s">
        <v>274</v>
      </c>
      <c r="S58" t="s">
        <v>321</v>
      </c>
      <c r="T58" t="s">
        <v>144</v>
      </c>
      <c r="U58" t="s">
        <v>139</v>
      </c>
      <c r="V58" t="s">
        <v>99</v>
      </c>
      <c r="W58" t="s">
        <v>139</v>
      </c>
      <c r="X58" t="s">
        <v>145</v>
      </c>
    </row>
    <row r="59" spans="1:24" x14ac:dyDescent="0.2">
      <c r="A59" t="s">
        <v>322</v>
      </c>
      <c r="B59">
        <v>760</v>
      </c>
      <c r="C59" t="s">
        <v>60</v>
      </c>
      <c r="D59" t="s">
        <v>61</v>
      </c>
      <c r="E59" t="s">
        <v>271</v>
      </c>
      <c r="F59" t="s">
        <v>272</v>
      </c>
      <c r="H59" t="s">
        <v>64</v>
      </c>
      <c r="I59" t="s">
        <v>131</v>
      </c>
      <c r="J59" t="s">
        <v>132</v>
      </c>
      <c r="K59">
        <v>4250</v>
      </c>
      <c r="L59" t="s">
        <v>323</v>
      </c>
      <c r="M59" t="s">
        <v>323</v>
      </c>
      <c r="N59" t="s">
        <v>263</v>
      </c>
      <c r="O59" t="s">
        <v>263</v>
      </c>
      <c r="P59" t="s">
        <v>264</v>
      </c>
      <c r="Q59" t="s">
        <v>265</v>
      </c>
      <c r="R59" t="s">
        <v>274</v>
      </c>
      <c r="S59" t="s">
        <v>149</v>
      </c>
      <c r="T59" t="s">
        <v>136</v>
      </c>
      <c r="U59" t="s">
        <v>131</v>
      </c>
      <c r="V59" t="s">
        <v>77</v>
      </c>
      <c r="W59" t="s">
        <v>131</v>
      </c>
      <c r="X59" t="s">
        <v>137</v>
      </c>
    </row>
    <row r="60" spans="1:24" x14ac:dyDescent="0.2">
      <c r="A60" t="s">
        <v>324</v>
      </c>
      <c r="B60">
        <v>760</v>
      </c>
      <c r="C60" t="s">
        <v>60</v>
      </c>
      <c r="D60" t="s">
        <v>61</v>
      </c>
      <c r="E60" t="s">
        <v>271</v>
      </c>
      <c r="F60" t="s">
        <v>272</v>
      </c>
      <c r="H60" t="s">
        <v>64</v>
      </c>
      <c r="I60" t="s">
        <v>139</v>
      </c>
      <c r="J60" t="s">
        <v>140</v>
      </c>
      <c r="K60">
        <v>4250</v>
      </c>
      <c r="L60" t="s">
        <v>325</v>
      </c>
      <c r="M60" t="s">
        <v>325</v>
      </c>
      <c r="N60" t="s">
        <v>263</v>
      </c>
      <c r="O60" t="s">
        <v>263</v>
      </c>
      <c r="P60" t="s">
        <v>264</v>
      </c>
      <c r="Q60" t="s">
        <v>265</v>
      </c>
      <c r="R60" t="s">
        <v>274</v>
      </c>
      <c r="S60" t="s">
        <v>153</v>
      </c>
      <c r="T60" t="s">
        <v>144</v>
      </c>
      <c r="U60" t="s">
        <v>139</v>
      </c>
      <c r="V60" t="s">
        <v>99</v>
      </c>
      <c r="W60" t="s">
        <v>139</v>
      </c>
      <c r="X60" t="s">
        <v>145</v>
      </c>
    </row>
    <row r="61" spans="1:24" x14ac:dyDescent="0.2">
      <c r="A61" t="s">
        <v>326</v>
      </c>
      <c r="B61" t="s">
        <v>252</v>
      </c>
      <c r="C61" t="s">
        <v>60</v>
      </c>
      <c r="D61" t="s">
        <v>156</v>
      </c>
      <c r="E61" t="s">
        <v>157</v>
      </c>
      <c r="F61" t="s">
        <v>158</v>
      </c>
      <c r="G61" t="s">
        <v>159</v>
      </c>
      <c r="H61" t="s">
        <v>160</v>
      </c>
      <c r="I61" t="s">
        <v>102</v>
      </c>
      <c r="J61" t="s">
        <v>103</v>
      </c>
      <c r="K61">
        <v>2850</v>
      </c>
      <c r="L61" t="s">
        <v>327</v>
      </c>
      <c r="M61" t="s">
        <v>327</v>
      </c>
      <c r="N61" t="s">
        <v>162</v>
      </c>
      <c r="O61" t="s">
        <v>162</v>
      </c>
      <c r="P61" t="s">
        <v>256</v>
      </c>
      <c r="Q61" t="s">
        <v>257</v>
      </c>
      <c r="R61" t="s">
        <v>165</v>
      </c>
      <c r="S61" t="s">
        <v>166</v>
      </c>
      <c r="T61" t="s">
        <v>107</v>
      </c>
      <c r="U61" t="s">
        <v>108</v>
      </c>
      <c r="V61" t="s">
        <v>77</v>
      </c>
      <c r="W61" t="s">
        <v>108</v>
      </c>
      <c r="X61" t="s">
        <v>109</v>
      </c>
    </row>
    <row r="62" spans="1:24" x14ac:dyDescent="0.2">
      <c r="A62" t="s">
        <v>328</v>
      </c>
      <c r="B62" t="s">
        <v>329</v>
      </c>
      <c r="C62" t="s">
        <v>60</v>
      </c>
      <c r="D62" t="s">
        <v>61</v>
      </c>
      <c r="E62" t="s">
        <v>62</v>
      </c>
      <c r="F62" t="s">
        <v>330</v>
      </c>
      <c r="H62" t="s">
        <v>64</v>
      </c>
      <c r="I62" t="s">
        <v>65</v>
      </c>
      <c r="J62" t="s">
        <v>66</v>
      </c>
      <c r="K62">
        <v>6250</v>
      </c>
      <c r="L62" t="s">
        <v>331</v>
      </c>
      <c r="M62" t="s">
        <v>331</v>
      </c>
      <c r="N62" t="s">
        <v>332</v>
      </c>
      <c r="O62" t="s">
        <v>332</v>
      </c>
      <c r="P62" t="s">
        <v>333</v>
      </c>
      <c r="Q62" t="s">
        <v>334</v>
      </c>
      <c r="R62" t="s">
        <v>73</v>
      </c>
      <c r="S62" t="s">
        <v>74</v>
      </c>
      <c r="T62" t="s">
        <v>75</v>
      </c>
      <c r="U62" t="s">
        <v>76</v>
      </c>
      <c r="V62" t="s">
        <v>77</v>
      </c>
      <c r="W62" t="s">
        <v>76</v>
      </c>
      <c r="X62" t="s">
        <v>78</v>
      </c>
    </row>
    <row r="63" spans="1:24" x14ac:dyDescent="0.2">
      <c r="A63" t="s">
        <v>335</v>
      </c>
      <c r="B63" t="s">
        <v>329</v>
      </c>
      <c r="C63" t="s">
        <v>60</v>
      </c>
      <c r="D63" t="s">
        <v>61</v>
      </c>
      <c r="E63" t="s">
        <v>336</v>
      </c>
      <c r="F63" t="s">
        <v>337</v>
      </c>
      <c r="H63" t="s">
        <v>64</v>
      </c>
      <c r="I63" t="s">
        <v>82</v>
      </c>
      <c r="J63" t="s">
        <v>83</v>
      </c>
      <c r="K63">
        <v>6750</v>
      </c>
      <c r="L63" t="s">
        <v>338</v>
      </c>
      <c r="M63" t="s">
        <v>338</v>
      </c>
      <c r="N63" t="s">
        <v>332</v>
      </c>
      <c r="O63" t="s">
        <v>332</v>
      </c>
      <c r="P63" t="s">
        <v>333</v>
      </c>
      <c r="Q63" t="s">
        <v>334</v>
      </c>
      <c r="R63" t="s">
        <v>339</v>
      </c>
      <c r="S63" t="s">
        <v>87</v>
      </c>
      <c r="T63" t="s">
        <v>75</v>
      </c>
      <c r="U63" t="s">
        <v>76</v>
      </c>
      <c r="V63" t="s">
        <v>77</v>
      </c>
      <c r="W63" t="s">
        <v>76</v>
      </c>
      <c r="X63" t="s">
        <v>78</v>
      </c>
    </row>
    <row r="64" spans="1:24" x14ac:dyDescent="0.2">
      <c r="A64" t="s">
        <v>340</v>
      </c>
      <c r="B64" t="s">
        <v>329</v>
      </c>
      <c r="C64" t="s">
        <v>60</v>
      </c>
      <c r="D64" t="s">
        <v>61</v>
      </c>
      <c r="E64" t="s">
        <v>89</v>
      </c>
      <c r="F64" t="s">
        <v>341</v>
      </c>
      <c r="H64" t="s">
        <v>64</v>
      </c>
      <c r="I64" t="s">
        <v>91</v>
      </c>
      <c r="J64" t="s">
        <v>92</v>
      </c>
      <c r="K64">
        <v>3850</v>
      </c>
      <c r="L64" t="s">
        <v>342</v>
      </c>
      <c r="M64" t="s">
        <v>342</v>
      </c>
      <c r="N64" t="s">
        <v>332</v>
      </c>
      <c r="O64" t="s">
        <v>332</v>
      </c>
      <c r="P64" t="s">
        <v>333</v>
      </c>
      <c r="Q64" t="s">
        <v>334</v>
      </c>
      <c r="R64" t="s">
        <v>95</v>
      </c>
      <c r="S64" t="s">
        <v>96</v>
      </c>
      <c r="T64" t="s">
        <v>97</v>
      </c>
      <c r="U64" t="s">
        <v>98</v>
      </c>
      <c r="V64" t="s">
        <v>99</v>
      </c>
      <c r="W64" t="s">
        <v>98</v>
      </c>
      <c r="X64" t="s">
        <v>100</v>
      </c>
    </row>
    <row r="65" spans="1:24" x14ac:dyDescent="0.2">
      <c r="A65" t="s">
        <v>343</v>
      </c>
      <c r="B65" t="s">
        <v>329</v>
      </c>
      <c r="C65" t="s">
        <v>60</v>
      </c>
      <c r="D65" t="s">
        <v>61</v>
      </c>
      <c r="E65" t="s">
        <v>89</v>
      </c>
      <c r="F65" t="s">
        <v>341</v>
      </c>
      <c r="H65" t="s">
        <v>64</v>
      </c>
      <c r="I65" t="s">
        <v>102</v>
      </c>
      <c r="J65" t="s">
        <v>103</v>
      </c>
      <c r="K65">
        <v>3750</v>
      </c>
      <c r="L65" t="s">
        <v>344</v>
      </c>
      <c r="M65" t="s">
        <v>344</v>
      </c>
      <c r="N65" t="s">
        <v>332</v>
      </c>
      <c r="O65" t="s">
        <v>332</v>
      </c>
      <c r="P65" t="s">
        <v>333</v>
      </c>
      <c r="Q65" t="s">
        <v>334</v>
      </c>
      <c r="R65" t="s">
        <v>95</v>
      </c>
      <c r="S65" t="s">
        <v>106</v>
      </c>
      <c r="T65" t="s">
        <v>107</v>
      </c>
      <c r="U65" t="s">
        <v>108</v>
      </c>
      <c r="V65" t="s">
        <v>77</v>
      </c>
      <c r="W65" t="s">
        <v>108</v>
      </c>
      <c r="X65" t="s">
        <v>109</v>
      </c>
    </row>
    <row r="66" spans="1:24" x14ac:dyDescent="0.2">
      <c r="A66" t="s">
        <v>345</v>
      </c>
      <c r="B66" t="s">
        <v>329</v>
      </c>
      <c r="C66" t="s">
        <v>60</v>
      </c>
      <c r="D66" t="s">
        <v>61</v>
      </c>
      <c r="E66" t="s">
        <v>89</v>
      </c>
      <c r="F66" t="s">
        <v>341</v>
      </c>
      <c r="G66" t="s">
        <v>156</v>
      </c>
      <c r="H66" t="s">
        <v>278</v>
      </c>
      <c r="I66" t="s">
        <v>91</v>
      </c>
      <c r="J66" t="s">
        <v>92</v>
      </c>
      <c r="K66">
        <v>4550</v>
      </c>
      <c r="L66" t="s">
        <v>346</v>
      </c>
      <c r="M66" t="s">
        <v>346</v>
      </c>
      <c r="N66" t="s">
        <v>332</v>
      </c>
      <c r="O66" t="s">
        <v>332</v>
      </c>
      <c r="P66" t="s">
        <v>333</v>
      </c>
      <c r="Q66" t="s">
        <v>334</v>
      </c>
      <c r="R66" t="s">
        <v>95</v>
      </c>
      <c r="S66" t="s">
        <v>280</v>
      </c>
      <c r="T66" t="s">
        <v>97</v>
      </c>
      <c r="U66" t="s">
        <v>98</v>
      </c>
      <c r="V66" t="s">
        <v>99</v>
      </c>
      <c r="W66" t="s">
        <v>98</v>
      </c>
      <c r="X66" t="s">
        <v>100</v>
      </c>
    </row>
    <row r="67" spans="1:24" x14ac:dyDescent="0.2">
      <c r="A67" t="s">
        <v>347</v>
      </c>
      <c r="B67" t="s">
        <v>329</v>
      </c>
      <c r="C67" t="s">
        <v>60</v>
      </c>
      <c r="D67" t="s">
        <v>61</v>
      </c>
      <c r="E67" t="s">
        <v>89</v>
      </c>
      <c r="F67" t="s">
        <v>341</v>
      </c>
      <c r="G67" t="s">
        <v>156</v>
      </c>
      <c r="H67" t="s">
        <v>278</v>
      </c>
      <c r="I67" t="s">
        <v>102</v>
      </c>
      <c r="J67" t="s">
        <v>103</v>
      </c>
      <c r="K67">
        <v>4450</v>
      </c>
      <c r="L67" t="s">
        <v>348</v>
      </c>
      <c r="M67" t="s">
        <v>348</v>
      </c>
      <c r="N67" t="s">
        <v>332</v>
      </c>
      <c r="O67" t="s">
        <v>332</v>
      </c>
      <c r="P67" t="s">
        <v>333</v>
      </c>
      <c r="Q67" t="s">
        <v>334</v>
      </c>
      <c r="R67" t="s">
        <v>95</v>
      </c>
      <c r="S67" t="s">
        <v>283</v>
      </c>
      <c r="T67" t="s">
        <v>284</v>
      </c>
      <c r="U67" t="s">
        <v>285</v>
      </c>
      <c r="V67" t="s">
        <v>77</v>
      </c>
      <c r="W67" t="s">
        <v>285</v>
      </c>
      <c r="X67" t="s">
        <v>286</v>
      </c>
    </row>
    <row r="68" spans="1:24" x14ac:dyDescent="0.2">
      <c r="A68" t="s">
        <v>349</v>
      </c>
      <c r="B68" t="s">
        <v>329</v>
      </c>
      <c r="C68" t="s">
        <v>60</v>
      </c>
      <c r="D68" t="s">
        <v>61</v>
      </c>
      <c r="E68" t="s">
        <v>89</v>
      </c>
      <c r="F68" t="s">
        <v>341</v>
      </c>
      <c r="G68" t="s">
        <v>156</v>
      </c>
      <c r="H68" t="s">
        <v>278</v>
      </c>
      <c r="I68" t="s">
        <v>131</v>
      </c>
      <c r="J68" t="s">
        <v>132</v>
      </c>
      <c r="K68">
        <v>4950</v>
      </c>
      <c r="L68" t="s">
        <v>350</v>
      </c>
      <c r="M68" t="s">
        <v>350</v>
      </c>
      <c r="N68" t="s">
        <v>332</v>
      </c>
      <c r="O68" t="s">
        <v>332</v>
      </c>
      <c r="P68" t="s">
        <v>333</v>
      </c>
      <c r="Q68" t="s">
        <v>334</v>
      </c>
      <c r="R68" t="s">
        <v>95</v>
      </c>
      <c r="S68" t="s">
        <v>289</v>
      </c>
      <c r="T68" t="s">
        <v>136</v>
      </c>
      <c r="U68" t="s">
        <v>131</v>
      </c>
      <c r="V68" t="s">
        <v>77</v>
      </c>
      <c r="W68" t="s">
        <v>131</v>
      </c>
      <c r="X68" t="s">
        <v>137</v>
      </c>
    </row>
    <row r="69" spans="1:24" x14ac:dyDescent="0.2">
      <c r="A69" t="s">
        <v>351</v>
      </c>
      <c r="B69" t="s">
        <v>329</v>
      </c>
      <c r="C69" t="s">
        <v>60</v>
      </c>
      <c r="D69" t="s">
        <v>61</v>
      </c>
      <c r="E69" t="s">
        <v>89</v>
      </c>
      <c r="F69" t="s">
        <v>341</v>
      </c>
      <c r="G69" t="s">
        <v>156</v>
      </c>
      <c r="H69" t="s">
        <v>278</v>
      </c>
      <c r="I69" t="s">
        <v>139</v>
      </c>
      <c r="J69" t="s">
        <v>140</v>
      </c>
      <c r="K69">
        <v>4950</v>
      </c>
      <c r="L69" t="s">
        <v>352</v>
      </c>
      <c r="M69" t="s">
        <v>352</v>
      </c>
      <c r="N69" t="s">
        <v>332</v>
      </c>
      <c r="O69" t="s">
        <v>332</v>
      </c>
      <c r="P69" t="s">
        <v>333</v>
      </c>
      <c r="Q69" t="s">
        <v>334</v>
      </c>
      <c r="R69" t="s">
        <v>95</v>
      </c>
      <c r="S69" t="s">
        <v>292</v>
      </c>
      <c r="T69" t="s">
        <v>144</v>
      </c>
      <c r="U69" t="s">
        <v>139</v>
      </c>
      <c r="V69" t="s">
        <v>99</v>
      </c>
      <c r="W69" t="s">
        <v>139</v>
      </c>
      <c r="X69" t="s">
        <v>145</v>
      </c>
    </row>
    <row r="70" spans="1:24" x14ac:dyDescent="0.2">
      <c r="A70" t="s">
        <v>353</v>
      </c>
      <c r="B70" t="s">
        <v>329</v>
      </c>
      <c r="C70" t="s">
        <v>60</v>
      </c>
      <c r="D70" t="s">
        <v>61</v>
      </c>
      <c r="E70" t="s">
        <v>62</v>
      </c>
      <c r="F70" t="s">
        <v>330</v>
      </c>
      <c r="G70" t="s">
        <v>111</v>
      </c>
      <c r="H70" t="s">
        <v>112</v>
      </c>
      <c r="I70" t="s">
        <v>65</v>
      </c>
      <c r="J70" t="s">
        <v>66</v>
      </c>
      <c r="K70">
        <v>6950</v>
      </c>
      <c r="L70" t="s">
        <v>354</v>
      </c>
      <c r="M70" t="s">
        <v>354</v>
      </c>
      <c r="N70" t="s">
        <v>332</v>
      </c>
      <c r="O70" t="s">
        <v>332</v>
      </c>
      <c r="P70" t="s">
        <v>333</v>
      </c>
      <c r="Q70" t="s">
        <v>334</v>
      </c>
      <c r="R70" t="s">
        <v>73</v>
      </c>
      <c r="S70" t="s">
        <v>114</v>
      </c>
      <c r="T70" t="s">
        <v>75</v>
      </c>
      <c r="U70" t="s">
        <v>76</v>
      </c>
      <c r="V70" t="s">
        <v>77</v>
      </c>
      <c r="W70" t="s">
        <v>76</v>
      </c>
      <c r="X70" t="s">
        <v>78</v>
      </c>
    </row>
    <row r="71" spans="1:24" x14ac:dyDescent="0.2">
      <c r="A71" t="s">
        <v>355</v>
      </c>
      <c r="B71" t="s">
        <v>329</v>
      </c>
      <c r="C71" t="s">
        <v>60</v>
      </c>
      <c r="D71" t="s">
        <v>61</v>
      </c>
      <c r="E71" t="s">
        <v>336</v>
      </c>
      <c r="F71" t="s">
        <v>337</v>
      </c>
      <c r="G71" t="s">
        <v>111</v>
      </c>
      <c r="H71" t="s">
        <v>112</v>
      </c>
      <c r="I71" t="s">
        <v>82</v>
      </c>
      <c r="J71" t="s">
        <v>83</v>
      </c>
      <c r="K71">
        <v>7450</v>
      </c>
      <c r="L71" t="s">
        <v>356</v>
      </c>
      <c r="M71" t="s">
        <v>356</v>
      </c>
      <c r="N71" t="s">
        <v>332</v>
      </c>
      <c r="O71" t="s">
        <v>332</v>
      </c>
      <c r="P71" t="s">
        <v>333</v>
      </c>
      <c r="Q71" t="s">
        <v>334</v>
      </c>
      <c r="R71" t="s">
        <v>339</v>
      </c>
      <c r="S71" t="s">
        <v>118</v>
      </c>
      <c r="T71" t="s">
        <v>75</v>
      </c>
      <c r="U71" t="s">
        <v>76</v>
      </c>
      <c r="V71" t="s">
        <v>77</v>
      </c>
      <c r="W71" t="s">
        <v>76</v>
      </c>
      <c r="X71" t="s">
        <v>78</v>
      </c>
    </row>
    <row r="72" spans="1:24" x14ac:dyDescent="0.2">
      <c r="A72" t="s">
        <v>357</v>
      </c>
      <c r="B72" t="s">
        <v>329</v>
      </c>
      <c r="C72" t="s">
        <v>60</v>
      </c>
      <c r="D72" t="s">
        <v>61</v>
      </c>
      <c r="E72" t="s">
        <v>89</v>
      </c>
      <c r="F72" t="s">
        <v>341</v>
      </c>
      <c r="G72" t="s">
        <v>111</v>
      </c>
      <c r="H72" t="s">
        <v>112</v>
      </c>
      <c r="I72" t="s">
        <v>91</v>
      </c>
      <c r="J72" t="s">
        <v>92</v>
      </c>
      <c r="K72">
        <v>4550</v>
      </c>
      <c r="L72" t="s">
        <v>358</v>
      </c>
      <c r="M72" t="s">
        <v>358</v>
      </c>
      <c r="N72" t="s">
        <v>332</v>
      </c>
      <c r="O72" t="s">
        <v>332</v>
      </c>
      <c r="P72" t="s">
        <v>333</v>
      </c>
      <c r="Q72" t="s">
        <v>334</v>
      </c>
      <c r="R72" t="s">
        <v>95</v>
      </c>
      <c r="S72" t="s">
        <v>122</v>
      </c>
      <c r="T72" t="s">
        <v>97</v>
      </c>
      <c r="U72" t="s">
        <v>98</v>
      </c>
      <c r="V72" t="s">
        <v>99</v>
      </c>
      <c r="W72" t="s">
        <v>98</v>
      </c>
      <c r="X72" t="s">
        <v>100</v>
      </c>
    </row>
    <row r="73" spans="1:24" x14ac:dyDescent="0.2">
      <c r="A73" t="s">
        <v>359</v>
      </c>
      <c r="B73" t="s">
        <v>329</v>
      </c>
      <c r="C73" t="s">
        <v>60</v>
      </c>
      <c r="D73" t="s">
        <v>61</v>
      </c>
      <c r="E73" t="s">
        <v>89</v>
      </c>
      <c r="F73" t="s">
        <v>341</v>
      </c>
      <c r="G73" t="s">
        <v>111</v>
      </c>
      <c r="H73" t="s">
        <v>112</v>
      </c>
      <c r="I73" t="s">
        <v>102</v>
      </c>
      <c r="J73" t="s">
        <v>103</v>
      </c>
      <c r="K73">
        <v>4450</v>
      </c>
      <c r="L73" t="s">
        <v>360</v>
      </c>
      <c r="M73" t="s">
        <v>360</v>
      </c>
      <c r="N73" t="s">
        <v>332</v>
      </c>
      <c r="O73" t="s">
        <v>332</v>
      </c>
      <c r="P73" t="s">
        <v>333</v>
      </c>
      <c r="Q73" t="s">
        <v>334</v>
      </c>
      <c r="R73" t="s">
        <v>95</v>
      </c>
      <c r="S73" t="s">
        <v>126</v>
      </c>
      <c r="T73" t="s">
        <v>127</v>
      </c>
      <c r="U73" t="s">
        <v>128</v>
      </c>
      <c r="V73" t="s">
        <v>77</v>
      </c>
      <c r="W73" t="s">
        <v>128</v>
      </c>
      <c r="X73" t="s">
        <v>129</v>
      </c>
    </row>
    <row r="74" spans="1:24" x14ac:dyDescent="0.2">
      <c r="A74" t="s">
        <v>361</v>
      </c>
      <c r="B74" t="s">
        <v>329</v>
      </c>
      <c r="C74" t="s">
        <v>60</v>
      </c>
      <c r="D74" t="s">
        <v>61</v>
      </c>
      <c r="E74" t="s">
        <v>89</v>
      </c>
      <c r="F74" t="s">
        <v>341</v>
      </c>
      <c r="G74" t="s">
        <v>111</v>
      </c>
      <c r="H74" t="s">
        <v>112</v>
      </c>
      <c r="I74" t="s">
        <v>131</v>
      </c>
      <c r="J74" t="s">
        <v>132</v>
      </c>
      <c r="K74">
        <v>4950</v>
      </c>
      <c r="L74" t="s">
        <v>362</v>
      </c>
      <c r="M74" t="s">
        <v>362</v>
      </c>
      <c r="N74" t="s">
        <v>332</v>
      </c>
      <c r="O74" t="s">
        <v>332</v>
      </c>
      <c r="P74" t="s">
        <v>333</v>
      </c>
      <c r="Q74" t="s">
        <v>334</v>
      </c>
      <c r="R74" t="s">
        <v>95</v>
      </c>
      <c r="S74" t="s">
        <v>135</v>
      </c>
      <c r="T74" t="s">
        <v>136</v>
      </c>
      <c r="U74" t="s">
        <v>131</v>
      </c>
      <c r="V74" t="s">
        <v>77</v>
      </c>
      <c r="W74" t="s">
        <v>131</v>
      </c>
      <c r="X74" t="s">
        <v>137</v>
      </c>
    </row>
    <row r="75" spans="1:24" x14ac:dyDescent="0.2">
      <c r="A75" t="s">
        <v>363</v>
      </c>
      <c r="B75" t="s">
        <v>329</v>
      </c>
      <c r="C75" t="s">
        <v>60</v>
      </c>
      <c r="D75" t="s">
        <v>61</v>
      </c>
      <c r="E75" t="s">
        <v>89</v>
      </c>
      <c r="F75" t="s">
        <v>341</v>
      </c>
      <c r="G75" t="s">
        <v>111</v>
      </c>
      <c r="H75" t="s">
        <v>112</v>
      </c>
      <c r="I75" t="s">
        <v>139</v>
      </c>
      <c r="J75" t="s">
        <v>140</v>
      </c>
      <c r="K75">
        <v>4950</v>
      </c>
      <c r="L75" t="s">
        <v>364</v>
      </c>
      <c r="M75" t="s">
        <v>364</v>
      </c>
      <c r="N75" t="s">
        <v>332</v>
      </c>
      <c r="O75" t="s">
        <v>332</v>
      </c>
      <c r="P75" t="s">
        <v>333</v>
      </c>
      <c r="Q75" t="s">
        <v>334</v>
      </c>
      <c r="R75" t="s">
        <v>95</v>
      </c>
      <c r="S75" t="s">
        <v>143</v>
      </c>
      <c r="T75" t="s">
        <v>144</v>
      </c>
      <c r="U75" t="s">
        <v>139</v>
      </c>
      <c r="V75" t="s">
        <v>99</v>
      </c>
      <c r="W75" t="s">
        <v>139</v>
      </c>
      <c r="X75" t="s">
        <v>145</v>
      </c>
    </row>
    <row r="76" spans="1:24" x14ac:dyDescent="0.2">
      <c r="A76" t="s">
        <v>365</v>
      </c>
      <c r="B76" t="s">
        <v>329</v>
      </c>
      <c r="C76" t="s">
        <v>60</v>
      </c>
      <c r="D76" t="s">
        <v>61</v>
      </c>
      <c r="E76" t="s">
        <v>89</v>
      </c>
      <c r="F76" t="s">
        <v>341</v>
      </c>
      <c r="G76" t="s">
        <v>306</v>
      </c>
      <c r="H76" t="s">
        <v>307</v>
      </c>
      <c r="I76" t="s">
        <v>91</v>
      </c>
      <c r="J76" t="s">
        <v>92</v>
      </c>
      <c r="K76">
        <v>5250</v>
      </c>
      <c r="L76" t="s">
        <v>366</v>
      </c>
      <c r="M76" t="s">
        <v>366</v>
      </c>
      <c r="N76" t="s">
        <v>332</v>
      </c>
      <c r="O76" t="s">
        <v>332</v>
      </c>
      <c r="P76" t="s">
        <v>333</v>
      </c>
      <c r="Q76" t="s">
        <v>334</v>
      </c>
      <c r="R76" t="s">
        <v>95</v>
      </c>
      <c r="S76" t="s">
        <v>309</v>
      </c>
      <c r="T76" t="s">
        <v>97</v>
      </c>
      <c r="U76" t="s">
        <v>98</v>
      </c>
      <c r="V76" t="s">
        <v>99</v>
      </c>
      <c r="W76" t="s">
        <v>98</v>
      </c>
      <c r="X76" t="s">
        <v>100</v>
      </c>
    </row>
    <row r="77" spans="1:24" x14ac:dyDescent="0.2">
      <c r="A77" t="s">
        <v>367</v>
      </c>
      <c r="B77" t="s">
        <v>329</v>
      </c>
      <c r="C77" t="s">
        <v>60</v>
      </c>
      <c r="D77" t="s">
        <v>61</v>
      </c>
      <c r="E77" t="s">
        <v>89</v>
      </c>
      <c r="F77" t="s">
        <v>341</v>
      </c>
      <c r="G77" t="s">
        <v>306</v>
      </c>
      <c r="H77" t="s">
        <v>307</v>
      </c>
      <c r="I77" t="s">
        <v>102</v>
      </c>
      <c r="J77" t="s">
        <v>103</v>
      </c>
      <c r="K77">
        <v>5150</v>
      </c>
      <c r="L77" t="s">
        <v>368</v>
      </c>
      <c r="M77" t="s">
        <v>368</v>
      </c>
      <c r="N77" t="s">
        <v>332</v>
      </c>
      <c r="O77" t="s">
        <v>332</v>
      </c>
      <c r="P77" t="s">
        <v>333</v>
      </c>
      <c r="Q77" t="s">
        <v>334</v>
      </c>
      <c r="R77" t="s">
        <v>95</v>
      </c>
      <c r="S77" t="s">
        <v>312</v>
      </c>
      <c r="T77" t="s">
        <v>313</v>
      </c>
      <c r="U77" t="s">
        <v>314</v>
      </c>
      <c r="V77" t="s">
        <v>77</v>
      </c>
      <c r="W77" t="s">
        <v>314</v>
      </c>
      <c r="X77" t="s">
        <v>315</v>
      </c>
    </row>
    <row r="78" spans="1:24" x14ac:dyDescent="0.2">
      <c r="A78" t="s">
        <v>369</v>
      </c>
      <c r="B78" t="s">
        <v>329</v>
      </c>
      <c r="C78" t="s">
        <v>60</v>
      </c>
      <c r="D78" t="s">
        <v>61</v>
      </c>
      <c r="E78" t="s">
        <v>89</v>
      </c>
      <c r="F78" t="s">
        <v>341</v>
      </c>
      <c r="G78" t="s">
        <v>306</v>
      </c>
      <c r="H78" t="s">
        <v>307</v>
      </c>
      <c r="I78" t="s">
        <v>131</v>
      </c>
      <c r="J78" t="s">
        <v>132</v>
      </c>
      <c r="K78">
        <v>5650</v>
      </c>
      <c r="L78" t="s">
        <v>370</v>
      </c>
      <c r="M78" t="s">
        <v>370</v>
      </c>
      <c r="N78" t="s">
        <v>332</v>
      </c>
      <c r="O78" t="s">
        <v>332</v>
      </c>
      <c r="P78" t="s">
        <v>333</v>
      </c>
      <c r="Q78" t="s">
        <v>334</v>
      </c>
      <c r="R78" t="s">
        <v>95</v>
      </c>
      <c r="S78" t="s">
        <v>318</v>
      </c>
      <c r="T78" t="s">
        <v>136</v>
      </c>
      <c r="U78" t="s">
        <v>131</v>
      </c>
      <c r="V78" t="s">
        <v>77</v>
      </c>
      <c r="W78" t="s">
        <v>131</v>
      </c>
      <c r="X78" t="s">
        <v>137</v>
      </c>
    </row>
    <row r="79" spans="1:24" x14ac:dyDescent="0.2">
      <c r="A79" t="s">
        <v>371</v>
      </c>
      <c r="B79" t="s">
        <v>329</v>
      </c>
      <c r="C79" t="s">
        <v>60</v>
      </c>
      <c r="D79" t="s">
        <v>61</v>
      </c>
      <c r="E79" t="s">
        <v>89</v>
      </c>
      <c r="F79" t="s">
        <v>341</v>
      </c>
      <c r="G79" t="s">
        <v>306</v>
      </c>
      <c r="H79" t="s">
        <v>372</v>
      </c>
      <c r="I79" t="s">
        <v>139</v>
      </c>
      <c r="J79" t="s">
        <v>140</v>
      </c>
      <c r="K79">
        <v>5650</v>
      </c>
      <c r="L79" t="s">
        <v>373</v>
      </c>
      <c r="M79" t="s">
        <v>373</v>
      </c>
      <c r="N79" t="s">
        <v>332</v>
      </c>
      <c r="O79" t="s">
        <v>332</v>
      </c>
      <c r="P79" t="s">
        <v>333</v>
      </c>
      <c r="Q79" t="s">
        <v>334</v>
      </c>
      <c r="R79" t="s">
        <v>95</v>
      </c>
      <c r="S79" t="s">
        <v>321</v>
      </c>
      <c r="T79" t="s">
        <v>144</v>
      </c>
      <c r="U79" t="s">
        <v>139</v>
      </c>
      <c r="V79" t="s">
        <v>99</v>
      </c>
      <c r="W79" t="s">
        <v>139</v>
      </c>
      <c r="X79" t="s">
        <v>145</v>
      </c>
    </row>
    <row r="80" spans="1:24" x14ac:dyDescent="0.2">
      <c r="A80" t="s">
        <v>374</v>
      </c>
      <c r="B80" t="s">
        <v>329</v>
      </c>
      <c r="C80" t="s">
        <v>60</v>
      </c>
      <c r="D80" t="s">
        <v>61</v>
      </c>
      <c r="E80" t="s">
        <v>89</v>
      </c>
      <c r="F80" t="s">
        <v>341</v>
      </c>
      <c r="H80" t="s">
        <v>64</v>
      </c>
      <c r="I80" t="s">
        <v>131</v>
      </c>
      <c r="J80" t="s">
        <v>132</v>
      </c>
      <c r="K80">
        <v>4250</v>
      </c>
      <c r="L80" t="s">
        <v>375</v>
      </c>
      <c r="M80" t="s">
        <v>375</v>
      </c>
      <c r="N80" t="s">
        <v>332</v>
      </c>
      <c r="O80" t="s">
        <v>332</v>
      </c>
      <c r="P80" t="s">
        <v>333</v>
      </c>
      <c r="Q80" t="s">
        <v>334</v>
      </c>
      <c r="R80" t="s">
        <v>95</v>
      </c>
      <c r="S80" t="s">
        <v>149</v>
      </c>
      <c r="T80" t="s">
        <v>136</v>
      </c>
      <c r="U80" t="s">
        <v>131</v>
      </c>
      <c r="V80" t="s">
        <v>77</v>
      </c>
      <c r="W80" t="s">
        <v>131</v>
      </c>
      <c r="X80" t="s">
        <v>137</v>
      </c>
    </row>
    <row r="81" spans="1:24" x14ac:dyDescent="0.2">
      <c r="A81" t="s">
        <v>376</v>
      </c>
      <c r="B81" t="s">
        <v>329</v>
      </c>
      <c r="C81" t="s">
        <v>60</v>
      </c>
      <c r="D81" t="s">
        <v>61</v>
      </c>
      <c r="E81" t="s">
        <v>89</v>
      </c>
      <c r="F81" t="s">
        <v>341</v>
      </c>
      <c r="H81" t="s">
        <v>64</v>
      </c>
      <c r="I81" t="s">
        <v>139</v>
      </c>
      <c r="J81" t="s">
        <v>140</v>
      </c>
      <c r="K81">
        <v>4250</v>
      </c>
      <c r="L81" t="s">
        <v>377</v>
      </c>
      <c r="M81" t="s">
        <v>377</v>
      </c>
      <c r="N81" t="s">
        <v>332</v>
      </c>
      <c r="O81" t="s">
        <v>332</v>
      </c>
      <c r="P81" t="s">
        <v>333</v>
      </c>
      <c r="Q81" t="s">
        <v>334</v>
      </c>
      <c r="R81" t="s">
        <v>95</v>
      </c>
      <c r="S81" t="s">
        <v>153</v>
      </c>
      <c r="T81" t="s">
        <v>144</v>
      </c>
      <c r="U81" t="s">
        <v>139</v>
      </c>
      <c r="V81" t="s">
        <v>99</v>
      </c>
      <c r="W81" t="s">
        <v>139</v>
      </c>
      <c r="X81" t="s">
        <v>145</v>
      </c>
    </row>
    <row r="82" spans="1:24" x14ac:dyDescent="0.2">
      <c r="A82" t="s">
        <v>378</v>
      </c>
      <c r="B82" t="s">
        <v>379</v>
      </c>
      <c r="C82" t="s">
        <v>60</v>
      </c>
      <c r="D82" t="s">
        <v>156</v>
      </c>
      <c r="E82" t="s">
        <v>157</v>
      </c>
      <c r="F82" t="s">
        <v>158</v>
      </c>
      <c r="G82" t="s">
        <v>159</v>
      </c>
      <c r="H82" t="s">
        <v>160</v>
      </c>
      <c r="I82" t="s">
        <v>102</v>
      </c>
      <c r="J82" t="s">
        <v>103</v>
      </c>
      <c r="K82">
        <v>2850</v>
      </c>
      <c r="L82" t="s">
        <v>380</v>
      </c>
      <c r="M82" t="s">
        <v>380</v>
      </c>
      <c r="N82" t="s">
        <v>162</v>
      </c>
      <c r="O82" t="s">
        <v>162</v>
      </c>
      <c r="P82" t="s">
        <v>381</v>
      </c>
      <c r="Q82" t="s">
        <v>382</v>
      </c>
      <c r="R82" t="s">
        <v>165</v>
      </c>
      <c r="S82" t="s">
        <v>166</v>
      </c>
      <c r="T82" t="s">
        <v>107</v>
      </c>
      <c r="U82" t="s">
        <v>108</v>
      </c>
      <c r="V82" t="s">
        <v>77</v>
      </c>
      <c r="W82" t="s">
        <v>108</v>
      </c>
      <c r="X82" t="s">
        <v>109</v>
      </c>
    </row>
    <row r="83" spans="1:24" x14ac:dyDescent="0.2">
      <c r="A83" t="s">
        <v>383</v>
      </c>
      <c r="B83">
        <v>770.10799999999995</v>
      </c>
      <c r="C83" t="s">
        <v>60</v>
      </c>
      <c r="D83" t="s">
        <v>61</v>
      </c>
      <c r="E83" t="s">
        <v>260</v>
      </c>
      <c r="F83" t="s">
        <v>261</v>
      </c>
      <c r="H83" t="s">
        <v>64</v>
      </c>
      <c r="I83" t="s">
        <v>65</v>
      </c>
      <c r="J83" t="s">
        <v>66</v>
      </c>
      <c r="K83">
        <v>6250</v>
      </c>
      <c r="L83" t="s">
        <v>384</v>
      </c>
      <c r="M83" t="s">
        <v>384</v>
      </c>
      <c r="N83" t="s">
        <v>385</v>
      </c>
      <c r="O83" t="s">
        <v>385</v>
      </c>
      <c r="P83" t="s">
        <v>386</v>
      </c>
      <c r="Q83" t="s">
        <v>387</v>
      </c>
      <c r="R83" t="s">
        <v>266</v>
      </c>
      <c r="S83" t="s">
        <v>74</v>
      </c>
      <c r="T83" t="s">
        <v>75</v>
      </c>
      <c r="U83" t="s">
        <v>76</v>
      </c>
      <c r="V83" t="s">
        <v>77</v>
      </c>
      <c r="W83" t="s">
        <v>76</v>
      </c>
      <c r="X83" t="s">
        <v>78</v>
      </c>
    </row>
    <row r="84" spans="1:24" x14ac:dyDescent="0.2">
      <c r="A84" t="s">
        <v>388</v>
      </c>
      <c r="B84">
        <v>770.10799999999995</v>
      </c>
      <c r="C84" t="s">
        <v>60</v>
      </c>
      <c r="D84" t="s">
        <v>61</v>
      </c>
      <c r="E84" t="s">
        <v>336</v>
      </c>
      <c r="F84" t="s">
        <v>337</v>
      </c>
      <c r="H84" t="s">
        <v>64</v>
      </c>
      <c r="I84" t="s">
        <v>82</v>
      </c>
      <c r="J84" t="s">
        <v>83</v>
      </c>
      <c r="K84">
        <v>6750</v>
      </c>
      <c r="L84" t="s">
        <v>389</v>
      </c>
      <c r="M84" t="s">
        <v>389</v>
      </c>
      <c r="N84" t="s">
        <v>385</v>
      </c>
      <c r="O84" t="s">
        <v>385</v>
      </c>
      <c r="P84" t="s">
        <v>386</v>
      </c>
      <c r="Q84" t="s">
        <v>387</v>
      </c>
      <c r="R84" t="s">
        <v>339</v>
      </c>
      <c r="S84" t="s">
        <v>87</v>
      </c>
      <c r="T84" t="s">
        <v>75</v>
      </c>
      <c r="U84" t="s">
        <v>76</v>
      </c>
      <c r="V84" t="s">
        <v>77</v>
      </c>
      <c r="W84" t="s">
        <v>76</v>
      </c>
      <c r="X84" t="s">
        <v>78</v>
      </c>
    </row>
    <row r="85" spans="1:24" x14ac:dyDescent="0.2">
      <c r="A85" t="s">
        <v>390</v>
      </c>
      <c r="B85">
        <v>770.10799999999995</v>
      </c>
      <c r="C85" t="s">
        <v>60</v>
      </c>
      <c r="D85" t="s">
        <v>61</v>
      </c>
      <c r="E85" t="s">
        <v>391</v>
      </c>
      <c r="F85" t="s">
        <v>392</v>
      </c>
      <c r="H85" t="s">
        <v>64</v>
      </c>
      <c r="I85" t="s">
        <v>91</v>
      </c>
      <c r="J85" t="s">
        <v>92</v>
      </c>
      <c r="K85">
        <v>3850</v>
      </c>
      <c r="L85" t="s">
        <v>393</v>
      </c>
      <c r="M85" t="s">
        <v>393</v>
      </c>
      <c r="N85" t="s">
        <v>385</v>
      </c>
      <c r="O85" t="s">
        <v>385</v>
      </c>
      <c r="P85" t="s">
        <v>386</v>
      </c>
      <c r="Q85" t="s">
        <v>387</v>
      </c>
      <c r="R85" t="s">
        <v>394</v>
      </c>
      <c r="S85" t="s">
        <v>96</v>
      </c>
      <c r="T85" t="s">
        <v>97</v>
      </c>
      <c r="U85" t="s">
        <v>98</v>
      </c>
      <c r="V85" t="s">
        <v>99</v>
      </c>
      <c r="W85" t="s">
        <v>98</v>
      </c>
      <c r="X85" t="s">
        <v>100</v>
      </c>
    </row>
    <row r="86" spans="1:24" x14ac:dyDescent="0.2">
      <c r="A86" t="s">
        <v>395</v>
      </c>
      <c r="B86">
        <v>770.10799999999995</v>
      </c>
      <c r="C86" t="s">
        <v>60</v>
      </c>
      <c r="D86" t="s">
        <v>61</v>
      </c>
      <c r="E86" t="s">
        <v>391</v>
      </c>
      <c r="F86" t="s">
        <v>392</v>
      </c>
      <c r="H86" t="s">
        <v>64</v>
      </c>
      <c r="I86" t="s">
        <v>102</v>
      </c>
      <c r="J86" t="s">
        <v>103</v>
      </c>
      <c r="K86">
        <v>3750</v>
      </c>
      <c r="L86" t="s">
        <v>396</v>
      </c>
      <c r="M86" t="s">
        <v>396</v>
      </c>
      <c r="N86" t="s">
        <v>385</v>
      </c>
      <c r="O86" t="s">
        <v>385</v>
      </c>
      <c r="P86" t="s">
        <v>386</v>
      </c>
      <c r="Q86" t="s">
        <v>387</v>
      </c>
      <c r="R86" t="s">
        <v>394</v>
      </c>
      <c r="S86" t="s">
        <v>106</v>
      </c>
      <c r="T86" t="s">
        <v>107</v>
      </c>
      <c r="U86" t="s">
        <v>108</v>
      </c>
      <c r="V86" t="s">
        <v>77</v>
      </c>
      <c r="W86" t="s">
        <v>108</v>
      </c>
      <c r="X86" t="s">
        <v>109</v>
      </c>
    </row>
    <row r="87" spans="1:24" x14ac:dyDescent="0.2">
      <c r="A87" t="s">
        <v>397</v>
      </c>
      <c r="B87">
        <v>770.10799999999995</v>
      </c>
      <c r="C87" t="s">
        <v>60</v>
      </c>
      <c r="D87" t="s">
        <v>61</v>
      </c>
      <c r="E87" t="s">
        <v>391</v>
      </c>
      <c r="F87" t="s">
        <v>392</v>
      </c>
      <c r="G87" t="s">
        <v>156</v>
      </c>
      <c r="H87" t="s">
        <v>278</v>
      </c>
      <c r="I87" t="s">
        <v>91</v>
      </c>
      <c r="J87" t="s">
        <v>92</v>
      </c>
      <c r="K87">
        <v>4550</v>
      </c>
      <c r="L87" t="s">
        <v>398</v>
      </c>
      <c r="M87" t="s">
        <v>398</v>
      </c>
      <c r="N87" t="s">
        <v>385</v>
      </c>
      <c r="O87" t="s">
        <v>385</v>
      </c>
      <c r="P87" t="s">
        <v>386</v>
      </c>
      <c r="Q87" t="s">
        <v>387</v>
      </c>
      <c r="R87" t="s">
        <v>394</v>
      </c>
      <c r="S87" t="s">
        <v>280</v>
      </c>
      <c r="T87" t="s">
        <v>97</v>
      </c>
      <c r="U87" t="s">
        <v>98</v>
      </c>
      <c r="V87" t="s">
        <v>99</v>
      </c>
      <c r="W87" t="s">
        <v>98</v>
      </c>
      <c r="X87" t="s">
        <v>100</v>
      </c>
    </row>
    <row r="88" spans="1:24" x14ac:dyDescent="0.2">
      <c r="A88" t="s">
        <v>399</v>
      </c>
      <c r="B88">
        <v>770.10799999999995</v>
      </c>
      <c r="C88" t="s">
        <v>60</v>
      </c>
      <c r="D88" t="s">
        <v>61</v>
      </c>
      <c r="E88" t="s">
        <v>391</v>
      </c>
      <c r="F88" t="s">
        <v>392</v>
      </c>
      <c r="G88" t="s">
        <v>156</v>
      </c>
      <c r="H88" t="s">
        <v>278</v>
      </c>
      <c r="I88" t="s">
        <v>102</v>
      </c>
      <c r="J88" t="s">
        <v>103</v>
      </c>
      <c r="K88">
        <v>4450</v>
      </c>
      <c r="L88" t="s">
        <v>400</v>
      </c>
      <c r="M88" t="s">
        <v>400</v>
      </c>
      <c r="N88" t="s">
        <v>385</v>
      </c>
      <c r="O88" t="s">
        <v>385</v>
      </c>
      <c r="P88" t="s">
        <v>386</v>
      </c>
      <c r="Q88" t="s">
        <v>387</v>
      </c>
      <c r="R88" t="s">
        <v>394</v>
      </c>
      <c r="S88" t="s">
        <v>283</v>
      </c>
      <c r="T88" t="s">
        <v>284</v>
      </c>
      <c r="U88" t="s">
        <v>285</v>
      </c>
      <c r="V88" t="s">
        <v>77</v>
      </c>
      <c r="W88" t="s">
        <v>285</v>
      </c>
      <c r="X88" t="s">
        <v>286</v>
      </c>
    </row>
    <row r="89" spans="1:24" x14ac:dyDescent="0.2">
      <c r="A89" t="s">
        <v>401</v>
      </c>
      <c r="B89">
        <v>770.10799999999995</v>
      </c>
      <c r="C89" t="s">
        <v>60</v>
      </c>
      <c r="D89" t="s">
        <v>61</v>
      </c>
      <c r="E89" t="s">
        <v>391</v>
      </c>
      <c r="F89" t="s">
        <v>392</v>
      </c>
      <c r="G89" t="s">
        <v>156</v>
      </c>
      <c r="H89" t="s">
        <v>278</v>
      </c>
      <c r="I89" t="s">
        <v>131</v>
      </c>
      <c r="J89" t="s">
        <v>132</v>
      </c>
      <c r="K89">
        <v>4950</v>
      </c>
      <c r="L89" t="s">
        <v>402</v>
      </c>
      <c r="M89" t="s">
        <v>402</v>
      </c>
      <c r="N89" t="s">
        <v>385</v>
      </c>
      <c r="O89" t="s">
        <v>385</v>
      </c>
      <c r="P89" t="s">
        <v>386</v>
      </c>
      <c r="Q89" t="s">
        <v>387</v>
      </c>
      <c r="R89" t="s">
        <v>394</v>
      </c>
      <c r="S89" t="s">
        <v>289</v>
      </c>
      <c r="T89" t="s">
        <v>136</v>
      </c>
      <c r="U89" t="s">
        <v>131</v>
      </c>
      <c r="V89" t="s">
        <v>77</v>
      </c>
      <c r="W89" t="s">
        <v>131</v>
      </c>
      <c r="X89" t="s">
        <v>137</v>
      </c>
    </row>
    <row r="90" spans="1:24" x14ac:dyDescent="0.2">
      <c r="A90" t="s">
        <v>403</v>
      </c>
      <c r="B90">
        <v>770.10799999999995</v>
      </c>
      <c r="C90" t="s">
        <v>60</v>
      </c>
      <c r="D90" t="s">
        <v>61</v>
      </c>
      <c r="E90" t="s">
        <v>391</v>
      </c>
      <c r="F90" t="s">
        <v>392</v>
      </c>
      <c r="G90" t="s">
        <v>156</v>
      </c>
      <c r="H90" t="s">
        <v>278</v>
      </c>
      <c r="I90" t="s">
        <v>139</v>
      </c>
      <c r="J90" t="s">
        <v>140</v>
      </c>
      <c r="K90">
        <v>4950</v>
      </c>
      <c r="L90" t="s">
        <v>404</v>
      </c>
      <c r="M90" t="s">
        <v>404</v>
      </c>
      <c r="N90" t="s">
        <v>385</v>
      </c>
      <c r="O90" t="s">
        <v>385</v>
      </c>
      <c r="P90" t="s">
        <v>386</v>
      </c>
      <c r="Q90" t="s">
        <v>387</v>
      </c>
      <c r="R90" t="s">
        <v>394</v>
      </c>
      <c r="S90" t="s">
        <v>292</v>
      </c>
      <c r="T90" t="s">
        <v>144</v>
      </c>
      <c r="U90" t="s">
        <v>139</v>
      </c>
      <c r="V90" t="s">
        <v>99</v>
      </c>
      <c r="W90" t="s">
        <v>139</v>
      </c>
      <c r="X90" t="s">
        <v>145</v>
      </c>
    </row>
    <row r="91" spans="1:24" x14ac:dyDescent="0.2">
      <c r="A91" t="s">
        <v>405</v>
      </c>
      <c r="B91">
        <v>770.10799999999995</v>
      </c>
      <c r="C91" t="s">
        <v>60</v>
      </c>
      <c r="D91" t="s">
        <v>61</v>
      </c>
      <c r="E91" t="s">
        <v>260</v>
      </c>
      <c r="F91" t="s">
        <v>261</v>
      </c>
      <c r="G91" t="s">
        <v>111</v>
      </c>
      <c r="H91" t="s">
        <v>112</v>
      </c>
      <c r="I91" t="s">
        <v>65</v>
      </c>
      <c r="J91" t="s">
        <v>66</v>
      </c>
      <c r="K91">
        <v>6950</v>
      </c>
      <c r="L91" t="s">
        <v>406</v>
      </c>
      <c r="M91" t="s">
        <v>406</v>
      </c>
      <c r="N91" t="s">
        <v>385</v>
      </c>
      <c r="O91" t="s">
        <v>385</v>
      </c>
      <c r="P91" t="s">
        <v>386</v>
      </c>
      <c r="Q91" t="s">
        <v>387</v>
      </c>
      <c r="R91" t="s">
        <v>266</v>
      </c>
      <c r="S91" t="s">
        <v>114</v>
      </c>
      <c r="T91" t="s">
        <v>75</v>
      </c>
      <c r="U91" t="s">
        <v>76</v>
      </c>
      <c r="V91" t="s">
        <v>77</v>
      </c>
      <c r="W91" t="s">
        <v>76</v>
      </c>
      <c r="X91" t="s">
        <v>78</v>
      </c>
    </row>
    <row r="92" spans="1:24" x14ac:dyDescent="0.2">
      <c r="A92" t="s">
        <v>407</v>
      </c>
      <c r="B92">
        <v>770.10799999999995</v>
      </c>
      <c r="C92" t="s">
        <v>60</v>
      </c>
      <c r="D92" t="s">
        <v>61</v>
      </c>
      <c r="E92" t="s">
        <v>336</v>
      </c>
      <c r="F92" t="s">
        <v>337</v>
      </c>
      <c r="G92" t="s">
        <v>111</v>
      </c>
      <c r="H92" t="s">
        <v>112</v>
      </c>
      <c r="I92" t="s">
        <v>82</v>
      </c>
      <c r="J92" t="s">
        <v>83</v>
      </c>
      <c r="K92">
        <v>7450</v>
      </c>
      <c r="L92" t="s">
        <v>408</v>
      </c>
      <c r="M92" t="s">
        <v>408</v>
      </c>
      <c r="N92" t="s">
        <v>385</v>
      </c>
      <c r="O92" t="s">
        <v>385</v>
      </c>
      <c r="P92" t="s">
        <v>386</v>
      </c>
      <c r="Q92" t="s">
        <v>387</v>
      </c>
      <c r="R92" t="s">
        <v>339</v>
      </c>
      <c r="S92" t="s">
        <v>118</v>
      </c>
      <c r="T92" t="s">
        <v>75</v>
      </c>
      <c r="U92" t="s">
        <v>76</v>
      </c>
      <c r="V92" t="s">
        <v>77</v>
      </c>
      <c r="W92" t="s">
        <v>76</v>
      </c>
      <c r="X92" t="s">
        <v>78</v>
      </c>
    </row>
    <row r="93" spans="1:24" x14ac:dyDescent="0.2">
      <c r="A93" t="s">
        <v>409</v>
      </c>
      <c r="B93">
        <v>770.10799999999995</v>
      </c>
      <c r="C93" t="s">
        <v>60</v>
      </c>
      <c r="D93" t="s">
        <v>61</v>
      </c>
      <c r="E93" t="s">
        <v>391</v>
      </c>
      <c r="F93" t="s">
        <v>392</v>
      </c>
      <c r="G93" t="s">
        <v>111</v>
      </c>
      <c r="H93" t="s">
        <v>112</v>
      </c>
      <c r="I93" t="s">
        <v>91</v>
      </c>
      <c r="J93" t="s">
        <v>92</v>
      </c>
      <c r="K93">
        <v>4550</v>
      </c>
      <c r="L93" t="s">
        <v>410</v>
      </c>
      <c r="M93" t="s">
        <v>410</v>
      </c>
      <c r="N93" t="s">
        <v>385</v>
      </c>
      <c r="O93" t="s">
        <v>385</v>
      </c>
      <c r="P93" t="s">
        <v>386</v>
      </c>
      <c r="Q93" t="s">
        <v>387</v>
      </c>
      <c r="R93" t="s">
        <v>394</v>
      </c>
      <c r="S93" t="s">
        <v>122</v>
      </c>
      <c r="T93" t="s">
        <v>97</v>
      </c>
      <c r="U93" t="s">
        <v>98</v>
      </c>
      <c r="V93" t="s">
        <v>99</v>
      </c>
      <c r="W93" t="s">
        <v>98</v>
      </c>
      <c r="X93" t="s">
        <v>100</v>
      </c>
    </row>
    <row r="94" spans="1:24" x14ac:dyDescent="0.2">
      <c r="A94" t="s">
        <v>411</v>
      </c>
      <c r="B94">
        <v>770.10799999999995</v>
      </c>
      <c r="C94" t="s">
        <v>60</v>
      </c>
      <c r="D94" t="s">
        <v>61</v>
      </c>
      <c r="E94" t="s">
        <v>391</v>
      </c>
      <c r="F94" t="s">
        <v>392</v>
      </c>
      <c r="G94" t="s">
        <v>111</v>
      </c>
      <c r="H94" t="s">
        <v>112</v>
      </c>
      <c r="I94" t="s">
        <v>102</v>
      </c>
      <c r="J94" t="s">
        <v>103</v>
      </c>
      <c r="K94">
        <v>4450</v>
      </c>
      <c r="L94" t="s">
        <v>412</v>
      </c>
      <c r="M94" t="s">
        <v>412</v>
      </c>
      <c r="N94" t="s">
        <v>385</v>
      </c>
      <c r="O94" t="s">
        <v>385</v>
      </c>
      <c r="P94" t="s">
        <v>386</v>
      </c>
      <c r="Q94" t="s">
        <v>387</v>
      </c>
      <c r="R94" t="s">
        <v>394</v>
      </c>
      <c r="S94" t="s">
        <v>126</v>
      </c>
      <c r="T94" t="s">
        <v>127</v>
      </c>
      <c r="U94" t="s">
        <v>128</v>
      </c>
      <c r="V94" t="s">
        <v>77</v>
      </c>
      <c r="W94" t="s">
        <v>128</v>
      </c>
      <c r="X94" t="s">
        <v>129</v>
      </c>
    </row>
    <row r="95" spans="1:24" x14ac:dyDescent="0.2">
      <c r="A95" t="s">
        <v>413</v>
      </c>
      <c r="B95">
        <v>770.10799999999995</v>
      </c>
      <c r="C95" t="s">
        <v>60</v>
      </c>
      <c r="D95" t="s">
        <v>61</v>
      </c>
      <c r="E95" t="s">
        <v>391</v>
      </c>
      <c r="F95" t="s">
        <v>392</v>
      </c>
      <c r="G95" t="s">
        <v>111</v>
      </c>
      <c r="H95" t="s">
        <v>112</v>
      </c>
      <c r="I95" t="s">
        <v>131</v>
      </c>
      <c r="J95" t="s">
        <v>132</v>
      </c>
      <c r="K95">
        <v>4950</v>
      </c>
      <c r="L95" t="s">
        <v>414</v>
      </c>
      <c r="M95" t="s">
        <v>414</v>
      </c>
      <c r="N95" t="s">
        <v>385</v>
      </c>
      <c r="O95" t="s">
        <v>385</v>
      </c>
      <c r="P95" t="s">
        <v>386</v>
      </c>
      <c r="Q95" t="s">
        <v>387</v>
      </c>
      <c r="R95" t="s">
        <v>394</v>
      </c>
      <c r="S95" t="s">
        <v>135</v>
      </c>
      <c r="T95" t="s">
        <v>136</v>
      </c>
      <c r="U95" t="s">
        <v>131</v>
      </c>
      <c r="V95" t="s">
        <v>77</v>
      </c>
      <c r="W95" t="s">
        <v>131</v>
      </c>
      <c r="X95" t="s">
        <v>137</v>
      </c>
    </row>
    <row r="96" spans="1:24" x14ac:dyDescent="0.2">
      <c r="A96" t="s">
        <v>415</v>
      </c>
      <c r="B96">
        <v>770.10799999999995</v>
      </c>
      <c r="C96" t="s">
        <v>60</v>
      </c>
      <c r="D96" t="s">
        <v>61</v>
      </c>
      <c r="E96" t="s">
        <v>391</v>
      </c>
      <c r="F96" t="s">
        <v>392</v>
      </c>
      <c r="G96" t="s">
        <v>111</v>
      </c>
      <c r="H96" t="s">
        <v>112</v>
      </c>
      <c r="I96" t="s">
        <v>139</v>
      </c>
      <c r="J96" t="s">
        <v>140</v>
      </c>
      <c r="K96">
        <v>4950</v>
      </c>
      <c r="L96" t="s">
        <v>416</v>
      </c>
      <c r="M96" t="s">
        <v>416</v>
      </c>
      <c r="N96" t="s">
        <v>385</v>
      </c>
      <c r="O96" t="s">
        <v>385</v>
      </c>
      <c r="P96" t="s">
        <v>386</v>
      </c>
      <c r="Q96" t="s">
        <v>387</v>
      </c>
      <c r="R96" t="s">
        <v>394</v>
      </c>
      <c r="S96" t="s">
        <v>143</v>
      </c>
      <c r="T96" t="s">
        <v>144</v>
      </c>
      <c r="U96" t="s">
        <v>139</v>
      </c>
      <c r="V96" t="s">
        <v>99</v>
      </c>
      <c r="W96" t="s">
        <v>139</v>
      </c>
      <c r="X96" t="s">
        <v>145</v>
      </c>
    </row>
    <row r="97" spans="1:24" x14ac:dyDescent="0.2">
      <c r="A97" t="s">
        <v>417</v>
      </c>
      <c r="B97">
        <v>770.10799999999995</v>
      </c>
      <c r="C97" t="s">
        <v>60</v>
      </c>
      <c r="D97" t="s">
        <v>61</v>
      </c>
      <c r="E97" t="s">
        <v>391</v>
      </c>
      <c r="F97" t="s">
        <v>392</v>
      </c>
      <c r="G97" t="s">
        <v>306</v>
      </c>
      <c r="H97" t="s">
        <v>307</v>
      </c>
      <c r="I97" t="s">
        <v>91</v>
      </c>
      <c r="J97" t="s">
        <v>92</v>
      </c>
      <c r="K97">
        <v>5250</v>
      </c>
      <c r="L97" t="s">
        <v>418</v>
      </c>
      <c r="M97" t="s">
        <v>418</v>
      </c>
      <c r="N97" t="s">
        <v>385</v>
      </c>
      <c r="O97" t="s">
        <v>385</v>
      </c>
      <c r="P97" t="s">
        <v>386</v>
      </c>
      <c r="Q97" t="s">
        <v>387</v>
      </c>
      <c r="R97" t="s">
        <v>394</v>
      </c>
      <c r="S97" t="s">
        <v>309</v>
      </c>
      <c r="T97" t="s">
        <v>97</v>
      </c>
      <c r="U97" t="s">
        <v>98</v>
      </c>
      <c r="V97" t="s">
        <v>99</v>
      </c>
      <c r="W97" t="s">
        <v>98</v>
      </c>
      <c r="X97" t="s">
        <v>100</v>
      </c>
    </row>
    <row r="98" spans="1:24" x14ac:dyDescent="0.2">
      <c r="A98" t="s">
        <v>419</v>
      </c>
      <c r="B98">
        <v>770.10799999999995</v>
      </c>
      <c r="C98" t="s">
        <v>60</v>
      </c>
      <c r="D98" t="s">
        <v>61</v>
      </c>
      <c r="E98" t="s">
        <v>391</v>
      </c>
      <c r="F98" t="s">
        <v>392</v>
      </c>
      <c r="G98" t="s">
        <v>306</v>
      </c>
      <c r="H98" t="s">
        <v>307</v>
      </c>
      <c r="I98" t="s">
        <v>102</v>
      </c>
      <c r="J98" t="s">
        <v>103</v>
      </c>
      <c r="K98">
        <v>5150</v>
      </c>
      <c r="L98" t="s">
        <v>420</v>
      </c>
      <c r="M98" t="s">
        <v>420</v>
      </c>
      <c r="N98" t="s">
        <v>385</v>
      </c>
      <c r="O98" t="s">
        <v>385</v>
      </c>
      <c r="P98" t="s">
        <v>386</v>
      </c>
      <c r="Q98" t="s">
        <v>387</v>
      </c>
      <c r="R98" t="s">
        <v>394</v>
      </c>
      <c r="S98" t="s">
        <v>312</v>
      </c>
      <c r="T98" t="s">
        <v>313</v>
      </c>
      <c r="U98" t="s">
        <v>314</v>
      </c>
      <c r="V98" t="s">
        <v>77</v>
      </c>
      <c r="W98" t="s">
        <v>314</v>
      </c>
      <c r="X98" t="s">
        <v>315</v>
      </c>
    </row>
    <row r="99" spans="1:24" x14ac:dyDescent="0.2">
      <c r="A99" t="s">
        <v>421</v>
      </c>
      <c r="B99">
        <v>770.10799999999995</v>
      </c>
      <c r="C99" t="s">
        <v>60</v>
      </c>
      <c r="D99" t="s">
        <v>61</v>
      </c>
      <c r="E99" t="s">
        <v>391</v>
      </c>
      <c r="F99" t="s">
        <v>392</v>
      </c>
      <c r="G99" t="s">
        <v>306</v>
      </c>
      <c r="H99" t="s">
        <v>307</v>
      </c>
      <c r="I99" t="s">
        <v>131</v>
      </c>
      <c r="J99" t="s">
        <v>132</v>
      </c>
      <c r="K99">
        <v>5650</v>
      </c>
      <c r="L99" t="s">
        <v>422</v>
      </c>
      <c r="M99" t="s">
        <v>422</v>
      </c>
      <c r="N99" t="s">
        <v>385</v>
      </c>
      <c r="O99" t="s">
        <v>385</v>
      </c>
      <c r="P99" t="s">
        <v>386</v>
      </c>
      <c r="Q99" t="s">
        <v>387</v>
      </c>
      <c r="R99" t="s">
        <v>394</v>
      </c>
      <c r="S99" t="s">
        <v>318</v>
      </c>
      <c r="T99" t="s">
        <v>136</v>
      </c>
      <c r="U99" t="s">
        <v>131</v>
      </c>
      <c r="V99" t="s">
        <v>77</v>
      </c>
      <c r="W99" t="s">
        <v>131</v>
      </c>
      <c r="X99" t="s">
        <v>137</v>
      </c>
    </row>
    <row r="100" spans="1:24" x14ac:dyDescent="0.2">
      <c r="A100" t="s">
        <v>423</v>
      </c>
      <c r="B100">
        <v>770.10799999999995</v>
      </c>
      <c r="C100" t="s">
        <v>60</v>
      </c>
      <c r="D100" t="s">
        <v>61</v>
      </c>
      <c r="E100" t="s">
        <v>391</v>
      </c>
      <c r="F100" t="s">
        <v>392</v>
      </c>
      <c r="G100" t="s">
        <v>306</v>
      </c>
      <c r="H100" t="s">
        <v>307</v>
      </c>
      <c r="I100" t="s">
        <v>139</v>
      </c>
      <c r="J100" t="s">
        <v>140</v>
      </c>
      <c r="K100">
        <v>5650</v>
      </c>
      <c r="L100" t="s">
        <v>424</v>
      </c>
      <c r="M100" t="s">
        <v>424</v>
      </c>
      <c r="N100" t="s">
        <v>385</v>
      </c>
      <c r="O100" t="s">
        <v>385</v>
      </c>
      <c r="P100" t="s">
        <v>386</v>
      </c>
      <c r="Q100" t="s">
        <v>387</v>
      </c>
      <c r="R100" t="s">
        <v>394</v>
      </c>
      <c r="S100" t="s">
        <v>321</v>
      </c>
      <c r="T100" t="s">
        <v>144</v>
      </c>
      <c r="U100" t="s">
        <v>139</v>
      </c>
      <c r="V100" t="s">
        <v>99</v>
      </c>
      <c r="W100" t="s">
        <v>139</v>
      </c>
      <c r="X100" t="s">
        <v>145</v>
      </c>
    </row>
    <row r="101" spans="1:24" x14ac:dyDescent="0.2">
      <c r="A101" t="s">
        <v>425</v>
      </c>
      <c r="B101">
        <v>770.10799999999995</v>
      </c>
      <c r="C101" t="s">
        <v>60</v>
      </c>
      <c r="D101" t="s">
        <v>61</v>
      </c>
      <c r="E101" t="s">
        <v>391</v>
      </c>
      <c r="F101" t="s">
        <v>392</v>
      </c>
      <c r="H101" t="s">
        <v>64</v>
      </c>
      <c r="I101" t="s">
        <v>131</v>
      </c>
      <c r="J101" t="s">
        <v>132</v>
      </c>
      <c r="K101">
        <v>4250</v>
      </c>
      <c r="L101" t="s">
        <v>426</v>
      </c>
      <c r="M101" t="s">
        <v>426</v>
      </c>
      <c r="N101" t="s">
        <v>385</v>
      </c>
      <c r="O101" t="s">
        <v>385</v>
      </c>
      <c r="P101" t="s">
        <v>386</v>
      </c>
      <c r="Q101" t="s">
        <v>387</v>
      </c>
      <c r="R101" t="s">
        <v>394</v>
      </c>
      <c r="S101" t="s">
        <v>149</v>
      </c>
      <c r="T101" t="s">
        <v>136</v>
      </c>
      <c r="U101" t="s">
        <v>131</v>
      </c>
      <c r="V101" t="s">
        <v>77</v>
      </c>
      <c r="W101" t="s">
        <v>131</v>
      </c>
      <c r="X101" t="s">
        <v>137</v>
      </c>
    </row>
    <row r="102" spans="1:24" x14ac:dyDescent="0.2">
      <c r="A102" t="s">
        <v>427</v>
      </c>
      <c r="B102">
        <v>770.10799999999995</v>
      </c>
      <c r="C102" t="s">
        <v>60</v>
      </c>
      <c r="D102" t="s">
        <v>61</v>
      </c>
      <c r="E102" t="s">
        <v>391</v>
      </c>
      <c r="F102" t="s">
        <v>392</v>
      </c>
      <c r="H102" t="s">
        <v>64</v>
      </c>
      <c r="I102" t="s">
        <v>139</v>
      </c>
      <c r="J102" t="s">
        <v>140</v>
      </c>
      <c r="K102">
        <v>4250</v>
      </c>
      <c r="L102" t="s">
        <v>428</v>
      </c>
      <c r="M102" t="s">
        <v>428</v>
      </c>
      <c r="N102" t="s">
        <v>385</v>
      </c>
      <c r="O102" t="s">
        <v>385</v>
      </c>
      <c r="P102" t="s">
        <v>386</v>
      </c>
      <c r="Q102" t="s">
        <v>387</v>
      </c>
      <c r="R102" t="s">
        <v>394</v>
      </c>
      <c r="S102" t="s">
        <v>153</v>
      </c>
      <c r="T102" t="s">
        <v>144</v>
      </c>
      <c r="U102" t="s">
        <v>139</v>
      </c>
      <c r="V102" t="s">
        <v>99</v>
      </c>
      <c r="W102" t="s">
        <v>139</v>
      </c>
      <c r="X102" t="s">
        <v>145</v>
      </c>
    </row>
    <row r="103" spans="1:24" x14ac:dyDescent="0.2">
      <c r="A103" t="s">
        <v>429</v>
      </c>
      <c r="B103" t="s">
        <v>430</v>
      </c>
      <c r="C103" t="s">
        <v>60</v>
      </c>
      <c r="D103" t="s">
        <v>61</v>
      </c>
      <c r="E103" t="s">
        <v>253</v>
      </c>
      <c r="F103" t="s">
        <v>254</v>
      </c>
      <c r="G103" t="s">
        <v>159</v>
      </c>
      <c r="H103" t="s">
        <v>160</v>
      </c>
      <c r="I103" t="s">
        <v>102</v>
      </c>
      <c r="J103" t="s">
        <v>103</v>
      </c>
      <c r="K103">
        <v>3850</v>
      </c>
      <c r="L103" t="s">
        <v>431</v>
      </c>
      <c r="M103" t="s">
        <v>431</v>
      </c>
      <c r="N103" t="s">
        <v>432</v>
      </c>
      <c r="O103" t="s">
        <v>432</v>
      </c>
      <c r="P103" t="s">
        <v>433</v>
      </c>
      <c r="Q103" t="s">
        <v>434</v>
      </c>
      <c r="R103" t="s">
        <v>258</v>
      </c>
      <c r="S103" t="s">
        <v>166</v>
      </c>
      <c r="T103" t="s">
        <v>107</v>
      </c>
      <c r="U103" t="s">
        <v>108</v>
      </c>
      <c r="V103" t="s">
        <v>77</v>
      </c>
      <c r="W103" t="s">
        <v>108</v>
      </c>
      <c r="X103" t="s">
        <v>109</v>
      </c>
    </row>
    <row r="104" spans="1:24" x14ac:dyDescent="0.2">
      <c r="A104" t="s">
        <v>435</v>
      </c>
      <c r="B104">
        <v>776.06100000000004</v>
      </c>
      <c r="C104" t="s">
        <v>60</v>
      </c>
      <c r="D104" t="s">
        <v>61</v>
      </c>
      <c r="E104" t="s">
        <v>62</v>
      </c>
      <c r="F104" t="s">
        <v>63</v>
      </c>
      <c r="H104" t="s">
        <v>64</v>
      </c>
      <c r="I104" t="s">
        <v>65</v>
      </c>
      <c r="J104" t="s">
        <v>66</v>
      </c>
      <c r="K104" t="s">
        <v>67</v>
      </c>
      <c r="L104" t="s">
        <v>436</v>
      </c>
      <c r="M104" t="s">
        <v>437</v>
      </c>
      <c r="N104" t="s">
        <v>385</v>
      </c>
      <c r="O104" t="s">
        <v>385</v>
      </c>
      <c r="P104" t="s">
        <v>438</v>
      </c>
      <c r="Q104" t="s">
        <v>439</v>
      </c>
      <c r="R104" t="s">
        <v>73</v>
      </c>
      <c r="S104" t="s">
        <v>74</v>
      </c>
      <c r="T104" t="s">
        <v>75</v>
      </c>
      <c r="U104" t="s">
        <v>76</v>
      </c>
      <c r="V104" t="s">
        <v>77</v>
      </c>
      <c r="W104" t="s">
        <v>76</v>
      </c>
      <c r="X104" t="s">
        <v>78</v>
      </c>
    </row>
    <row r="105" spans="1:24" x14ac:dyDescent="0.2">
      <c r="A105" t="s">
        <v>440</v>
      </c>
      <c r="B105">
        <v>776.06100000000004</v>
      </c>
      <c r="C105" t="s">
        <v>60</v>
      </c>
      <c r="D105" t="s">
        <v>61</v>
      </c>
      <c r="E105" t="s">
        <v>336</v>
      </c>
      <c r="F105" t="s">
        <v>441</v>
      </c>
      <c r="H105" t="s">
        <v>64</v>
      </c>
      <c r="I105" t="s">
        <v>82</v>
      </c>
      <c r="J105" t="s">
        <v>83</v>
      </c>
      <c r="K105" t="s">
        <v>67</v>
      </c>
      <c r="L105" t="s">
        <v>442</v>
      </c>
      <c r="M105" t="s">
        <v>443</v>
      </c>
      <c r="N105" t="s">
        <v>385</v>
      </c>
      <c r="O105" t="s">
        <v>385</v>
      </c>
      <c r="P105" t="s">
        <v>438</v>
      </c>
      <c r="Q105" t="s">
        <v>439</v>
      </c>
      <c r="R105" t="s">
        <v>339</v>
      </c>
      <c r="S105" t="s">
        <v>87</v>
      </c>
      <c r="T105" t="s">
        <v>75</v>
      </c>
      <c r="U105" t="s">
        <v>76</v>
      </c>
      <c r="V105" t="s">
        <v>77</v>
      </c>
      <c r="W105" t="s">
        <v>76</v>
      </c>
      <c r="X105" t="s">
        <v>78</v>
      </c>
    </row>
    <row r="106" spans="1:24" x14ac:dyDescent="0.2">
      <c r="A106" t="s">
        <v>444</v>
      </c>
      <c r="B106">
        <v>776.06100000000004</v>
      </c>
      <c r="C106" t="s">
        <v>60</v>
      </c>
      <c r="D106" t="s">
        <v>61</v>
      </c>
      <c r="E106" t="s">
        <v>445</v>
      </c>
      <c r="F106" t="s">
        <v>446</v>
      </c>
      <c r="H106" t="s">
        <v>64</v>
      </c>
      <c r="I106" t="s">
        <v>91</v>
      </c>
      <c r="J106" t="s">
        <v>92</v>
      </c>
      <c r="K106" t="s">
        <v>67</v>
      </c>
      <c r="L106" t="s">
        <v>447</v>
      </c>
      <c r="M106" t="s">
        <v>448</v>
      </c>
      <c r="N106" t="s">
        <v>385</v>
      </c>
      <c r="O106" t="s">
        <v>385</v>
      </c>
      <c r="P106" t="s">
        <v>438</v>
      </c>
      <c r="Q106" t="s">
        <v>439</v>
      </c>
      <c r="R106" t="s">
        <v>449</v>
      </c>
      <c r="S106" t="s">
        <v>96</v>
      </c>
      <c r="T106" t="s">
        <v>97</v>
      </c>
      <c r="U106" t="s">
        <v>98</v>
      </c>
      <c r="V106" t="s">
        <v>99</v>
      </c>
      <c r="W106" t="s">
        <v>98</v>
      </c>
      <c r="X106" t="s">
        <v>100</v>
      </c>
    </row>
    <row r="107" spans="1:24" x14ac:dyDescent="0.2">
      <c r="A107" t="s">
        <v>450</v>
      </c>
      <c r="B107">
        <v>776.06100000000004</v>
      </c>
      <c r="C107" t="s">
        <v>60</v>
      </c>
      <c r="D107" t="s">
        <v>61</v>
      </c>
      <c r="E107" t="s">
        <v>445</v>
      </c>
      <c r="F107" t="s">
        <v>446</v>
      </c>
      <c r="H107" t="s">
        <v>64</v>
      </c>
      <c r="I107" t="s">
        <v>102</v>
      </c>
      <c r="J107" t="s">
        <v>103</v>
      </c>
      <c r="K107" t="s">
        <v>67</v>
      </c>
      <c r="L107" t="s">
        <v>451</v>
      </c>
      <c r="M107" t="s">
        <v>452</v>
      </c>
      <c r="N107" t="s">
        <v>385</v>
      </c>
      <c r="O107" t="s">
        <v>385</v>
      </c>
      <c r="P107" t="s">
        <v>438</v>
      </c>
      <c r="Q107" t="s">
        <v>439</v>
      </c>
      <c r="R107" t="s">
        <v>449</v>
      </c>
      <c r="S107" t="s">
        <v>106</v>
      </c>
      <c r="T107" t="s">
        <v>107</v>
      </c>
      <c r="U107" t="s">
        <v>108</v>
      </c>
      <c r="V107" t="s">
        <v>77</v>
      </c>
      <c r="W107" t="s">
        <v>108</v>
      </c>
      <c r="X107" t="s">
        <v>109</v>
      </c>
    </row>
    <row r="108" spans="1:24" x14ac:dyDescent="0.2">
      <c r="A108" t="s">
        <v>453</v>
      </c>
      <c r="B108">
        <v>776.06100000000004</v>
      </c>
      <c r="C108" t="s">
        <v>60</v>
      </c>
      <c r="D108" t="s">
        <v>61</v>
      </c>
      <c r="E108" t="s">
        <v>445</v>
      </c>
      <c r="F108" t="s">
        <v>446</v>
      </c>
      <c r="G108" t="s">
        <v>156</v>
      </c>
      <c r="H108" t="s">
        <v>278</v>
      </c>
      <c r="I108" t="s">
        <v>91</v>
      </c>
      <c r="J108" t="s">
        <v>92</v>
      </c>
      <c r="K108" t="s">
        <v>67</v>
      </c>
      <c r="L108" t="s">
        <v>454</v>
      </c>
      <c r="M108" t="s">
        <v>455</v>
      </c>
      <c r="N108" t="s">
        <v>385</v>
      </c>
      <c r="O108" t="s">
        <v>385</v>
      </c>
      <c r="P108" t="s">
        <v>438</v>
      </c>
      <c r="Q108" t="s">
        <v>439</v>
      </c>
      <c r="R108" t="s">
        <v>449</v>
      </c>
      <c r="S108" t="s">
        <v>280</v>
      </c>
      <c r="T108" t="s">
        <v>97</v>
      </c>
      <c r="U108" t="s">
        <v>98</v>
      </c>
      <c r="V108" t="s">
        <v>99</v>
      </c>
      <c r="W108" t="s">
        <v>98</v>
      </c>
      <c r="X108" t="s">
        <v>100</v>
      </c>
    </row>
    <row r="109" spans="1:24" x14ac:dyDescent="0.2">
      <c r="A109" t="s">
        <v>456</v>
      </c>
      <c r="B109">
        <v>776.06100000000004</v>
      </c>
      <c r="C109" t="s">
        <v>60</v>
      </c>
      <c r="D109" t="s">
        <v>61</v>
      </c>
      <c r="E109" t="s">
        <v>445</v>
      </c>
      <c r="F109" t="s">
        <v>446</v>
      </c>
      <c r="G109" t="s">
        <v>156</v>
      </c>
      <c r="H109" t="s">
        <v>278</v>
      </c>
      <c r="I109" t="s">
        <v>102</v>
      </c>
      <c r="J109" t="s">
        <v>103</v>
      </c>
      <c r="K109" t="s">
        <v>67</v>
      </c>
      <c r="L109" t="s">
        <v>457</v>
      </c>
      <c r="M109" t="s">
        <v>458</v>
      </c>
      <c r="N109" t="s">
        <v>385</v>
      </c>
      <c r="O109" t="s">
        <v>385</v>
      </c>
      <c r="P109" t="s">
        <v>438</v>
      </c>
      <c r="Q109" t="s">
        <v>439</v>
      </c>
      <c r="R109" t="s">
        <v>449</v>
      </c>
      <c r="S109" t="s">
        <v>283</v>
      </c>
      <c r="T109" t="s">
        <v>284</v>
      </c>
      <c r="U109" t="s">
        <v>285</v>
      </c>
      <c r="V109" t="s">
        <v>77</v>
      </c>
      <c r="W109" t="s">
        <v>285</v>
      </c>
      <c r="X109" t="s">
        <v>286</v>
      </c>
    </row>
    <row r="110" spans="1:24" x14ac:dyDescent="0.2">
      <c r="A110" t="s">
        <v>459</v>
      </c>
      <c r="B110">
        <v>776.06100000000004</v>
      </c>
      <c r="C110" t="s">
        <v>60</v>
      </c>
      <c r="D110" t="s">
        <v>61</v>
      </c>
      <c r="E110" t="s">
        <v>445</v>
      </c>
      <c r="F110" t="s">
        <v>446</v>
      </c>
      <c r="G110" t="s">
        <v>156</v>
      </c>
      <c r="H110" t="s">
        <v>278</v>
      </c>
      <c r="I110" t="s">
        <v>131</v>
      </c>
      <c r="J110" t="s">
        <v>132</v>
      </c>
      <c r="K110" t="s">
        <v>67</v>
      </c>
      <c r="L110" t="s">
        <v>460</v>
      </c>
      <c r="M110" t="s">
        <v>461</v>
      </c>
      <c r="N110" t="s">
        <v>385</v>
      </c>
      <c r="O110" t="s">
        <v>385</v>
      </c>
      <c r="P110" t="s">
        <v>438</v>
      </c>
      <c r="Q110" t="s">
        <v>439</v>
      </c>
      <c r="R110" t="s">
        <v>449</v>
      </c>
      <c r="S110" t="s">
        <v>289</v>
      </c>
      <c r="T110" t="s">
        <v>136</v>
      </c>
      <c r="U110" t="s">
        <v>131</v>
      </c>
      <c r="V110" t="s">
        <v>77</v>
      </c>
      <c r="W110" t="s">
        <v>131</v>
      </c>
      <c r="X110" t="s">
        <v>137</v>
      </c>
    </row>
    <row r="111" spans="1:24" x14ac:dyDescent="0.2">
      <c r="A111" t="s">
        <v>462</v>
      </c>
      <c r="B111">
        <v>776.06100000000004</v>
      </c>
      <c r="C111" t="s">
        <v>60</v>
      </c>
      <c r="D111" t="s">
        <v>61</v>
      </c>
      <c r="E111" t="s">
        <v>445</v>
      </c>
      <c r="F111" t="s">
        <v>446</v>
      </c>
      <c r="G111" t="s">
        <v>156</v>
      </c>
      <c r="H111" t="s">
        <v>278</v>
      </c>
      <c r="I111" t="s">
        <v>139</v>
      </c>
      <c r="J111" t="s">
        <v>140</v>
      </c>
      <c r="K111" t="s">
        <v>67</v>
      </c>
      <c r="L111" t="s">
        <v>463</v>
      </c>
      <c r="M111" t="s">
        <v>464</v>
      </c>
      <c r="N111" t="s">
        <v>385</v>
      </c>
      <c r="O111" t="s">
        <v>385</v>
      </c>
      <c r="P111" t="s">
        <v>438</v>
      </c>
      <c r="Q111" t="s">
        <v>439</v>
      </c>
      <c r="R111" t="s">
        <v>449</v>
      </c>
      <c r="S111" t="s">
        <v>292</v>
      </c>
      <c r="T111" t="s">
        <v>144</v>
      </c>
      <c r="U111" t="s">
        <v>139</v>
      </c>
      <c r="V111" t="s">
        <v>99</v>
      </c>
      <c r="W111" t="s">
        <v>139</v>
      </c>
      <c r="X111" t="s">
        <v>145</v>
      </c>
    </row>
    <row r="112" spans="1:24" x14ac:dyDescent="0.2">
      <c r="A112" t="s">
        <v>465</v>
      </c>
      <c r="B112">
        <v>776.06100000000004</v>
      </c>
      <c r="C112" t="s">
        <v>60</v>
      </c>
      <c r="D112" t="s">
        <v>61</v>
      </c>
      <c r="E112" t="s">
        <v>62</v>
      </c>
      <c r="F112" t="s">
        <v>63</v>
      </c>
      <c r="G112" t="s">
        <v>111</v>
      </c>
      <c r="H112" t="s">
        <v>112</v>
      </c>
      <c r="I112" t="s">
        <v>65</v>
      </c>
      <c r="J112" t="s">
        <v>66</v>
      </c>
      <c r="K112" t="s">
        <v>67</v>
      </c>
      <c r="L112" t="s">
        <v>466</v>
      </c>
      <c r="M112" t="s">
        <v>467</v>
      </c>
      <c r="N112" t="s">
        <v>385</v>
      </c>
      <c r="O112" t="s">
        <v>385</v>
      </c>
      <c r="P112" t="s">
        <v>438</v>
      </c>
      <c r="Q112" t="s">
        <v>439</v>
      </c>
      <c r="R112" t="s">
        <v>73</v>
      </c>
      <c r="S112" t="s">
        <v>114</v>
      </c>
      <c r="T112" t="s">
        <v>75</v>
      </c>
      <c r="U112" t="s">
        <v>76</v>
      </c>
      <c r="V112" t="s">
        <v>77</v>
      </c>
      <c r="W112" t="s">
        <v>76</v>
      </c>
      <c r="X112" t="s">
        <v>78</v>
      </c>
    </row>
    <row r="113" spans="1:24" x14ac:dyDescent="0.2">
      <c r="A113" t="s">
        <v>468</v>
      </c>
      <c r="B113">
        <v>776.06100000000004</v>
      </c>
      <c r="C113" t="s">
        <v>60</v>
      </c>
      <c r="D113" t="s">
        <v>61</v>
      </c>
      <c r="E113" t="s">
        <v>336</v>
      </c>
      <c r="F113" t="s">
        <v>441</v>
      </c>
      <c r="G113" t="s">
        <v>111</v>
      </c>
      <c r="H113" t="s">
        <v>112</v>
      </c>
      <c r="I113" t="s">
        <v>82</v>
      </c>
      <c r="J113" t="s">
        <v>83</v>
      </c>
      <c r="K113" t="s">
        <v>67</v>
      </c>
      <c r="L113" t="s">
        <v>469</v>
      </c>
      <c r="M113" t="s">
        <v>470</v>
      </c>
      <c r="N113" t="s">
        <v>385</v>
      </c>
      <c r="O113" t="s">
        <v>385</v>
      </c>
      <c r="P113" t="s">
        <v>438</v>
      </c>
      <c r="Q113" t="s">
        <v>439</v>
      </c>
      <c r="R113" t="s">
        <v>339</v>
      </c>
      <c r="S113" t="s">
        <v>118</v>
      </c>
      <c r="T113" t="s">
        <v>75</v>
      </c>
      <c r="U113" t="s">
        <v>76</v>
      </c>
      <c r="V113" t="s">
        <v>77</v>
      </c>
      <c r="W113" t="s">
        <v>76</v>
      </c>
      <c r="X113" t="s">
        <v>78</v>
      </c>
    </row>
    <row r="114" spans="1:24" x14ac:dyDescent="0.2">
      <c r="A114" t="s">
        <v>471</v>
      </c>
      <c r="B114">
        <v>776.06100000000004</v>
      </c>
      <c r="C114" t="s">
        <v>60</v>
      </c>
      <c r="D114" t="s">
        <v>61</v>
      </c>
      <c r="E114" t="s">
        <v>445</v>
      </c>
      <c r="F114" t="s">
        <v>446</v>
      </c>
      <c r="G114" t="s">
        <v>111</v>
      </c>
      <c r="H114" t="s">
        <v>112</v>
      </c>
      <c r="I114" t="s">
        <v>91</v>
      </c>
      <c r="J114" t="s">
        <v>92</v>
      </c>
      <c r="K114" t="s">
        <v>67</v>
      </c>
      <c r="L114" t="s">
        <v>472</v>
      </c>
      <c r="M114" t="s">
        <v>473</v>
      </c>
      <c r="N114" t="s">
        <v>385</v>
      </c>
      <c r="O114" t="s">
        <v>385</v>
      </c>
      <c r="P114" t="s">
        <v>438</v>
      </c>
      <c r="Q114" t="s">
        <v>439</v>
      </c>
      <c r="R114" t="s">
        <v>449</v>
      </c>
      <c r="S114" t="s">
        <v>122</v>
      </c>
      <c r="T114" t="s">
        <v>97</v>
      </c>
      <c r="U114" t="s">
        <v>98</v>
      </c>
      <c r="V114" t="s">
        <v>99</v>
      </c>
      <c r="W114" t="s">
        <v>98</v>
      </c>
      <c r="X114" t="s">
        <v>100</v>
      </c>
    </row>
    <row r="115" spans="1:24" x14ac:dyDescent="0.2">
      <c r="A115" t="s">
        <v>474</v>
      </c>
      <c r="B115">
        <v>776.06100000000004</v>
      </c>
      <c r="C115" t="s">
        <v>60</v>
      </c>
      <c r="D115" t="s">
        <v>61</v>
      </c>
      <c r="E115" t="s">
        <v>445</v>
      </c>
      <c r="F115" t="s">
        <v>446</v>
      </c>
      <c r="G115" t="s">
        <v>111</v>
      </c>
      <c r="H115" t="s">
        <v>112</v>
      </c>
      <c r="I115" t="s">
        <v>102</v>
      </c>
      <c r="J115" t="s">
        <v>103</v>
      </c>
      <c r="K115" t="s">
        <v>67</v>
      </c>
      <c r="L115" t="s">
        <v>475</v>
      </c>
      <c r="M115" t="s">
        <v>476</v>
      </c>
      <c r="N115" t="s">
        <v>385</v>
      </c>
      <c r="O115" t="s">
        <v>385</v>
      </c>
      <c r="P115" t="s">
        <v>438</v>
      </c>
      <c r="Q115" t="s">
        <v>439</v>
      </c>
      <c r="R115" t="s">
        <v>449</v>
      </c>
      <c r="S115" t="s">
        <v>126</v>
      </c>
      <c r="T115" t="s">
        <v>127</v>
      </c>
      <c r="U115" t="s">
        <v>128</v>
      </c>
      <c r="V115" t="s">
        <v>77</v>
      </c>
      <c r="W115" t="s">
        <v>128</v>
      </c>
      <c r="X115" t="s">
        <v>129</v>
      </c>
    </row>
    <row r="116" spans="1:24" x14ac:dyDescent="0.2">
      <c r="A116" t="s">
        <v>477</v>
      </c>
      <c r="B116">
        <v>776.06100000000004</v>
      </c>
      <c r="C116" t="s">
        <v>60</v>
      </c>
      <c r="D116" t="s">
        <v>61</v>
      </c>
      <c r="E116" t="s">
        <v>445</v>
      </c>
      <c r="F116" t="s">
        <v>446</v>
      </c>
      <c r="G116" t="s">
        <v>111</v>
      </c>
      <c r="H116" t="s">
        <v>112</v>
      </c>
      <c r="I116" t="s">
        <v>131</v>
      </c>
      <c r="J116" t="s">
        <v>132</v>
      </c>
      <c r="K116" t="s">
        <v>67</v>
      </c>
      <c r="L116" t="s">
        <v>478</v>
      </c>
      <c r="M116" t="s">
        <v>479</v>
      </c>
      <c r="N116" t="s">
        <v>385</v>
      </c>
      <c r="O116" t="s">
        <v>385</v>
      </c>
      <c r="P116" t="s">
        <v>438</v>
      </c>
      <c r="Q116" t="s">
        <v>439</v>
      </c>
      <c r="R116" t="s">
        <v>449</v>
      </c>
      <c r="S116" t="s">
        <v>135</v>
      </c>
      <c r="T116" t="s">
        <v>136</v>
      </c>
      <c r="U116" t="s">
        <v>131</v>
      </c>
      <c r="V116" t="s">
        <v>77</v>
      </c>
      <c r="W116" t="s">
        <v>131</v>
      </c>
      <c r="X116" t="s">
        <v>137</v>
      </c>
    </row>
    <row r="117" spans="1:24" x14ac:dyDescent="0.2">
      <c r="A117" t="s">
        <v>480</v>
      </c>
      <c r="B117">
        <v>776.06100000000004</v>
      </c>
      <c r="C117" t="s">
        <v>60</v>
      </c>
      <c r="D117" t="s">
        <v>61</v>
      </c>
      <c r="E117" t="s">
        <v>445</v>
      </c>
      <c r="F117" t="s">
        <v>446</v>
      </c>
      <c r="G117" t="s">
        <v>111</v>
      </c>
      <c r="H117" t="s">
        <v>112</v>
      </c>
      <c r="I117" t="s">
        <v>139</v>
      </c>
      <c r="J117" t="s">
        <v>140</v>
      </c>
      <c r="K117" t="s">
        <v>67</v>
      </c>
      <c r="L117" t="s">
        <v>481</v>
      </c>
      <c r="M117" t="s">
        <v>482</v>
      </c>
      <c r="N117" t="s">
        <v>385</v>
      </c>
      <c r="O117" t="s">
        <v>385</v>
      </c>
      <c r="P117" t="s">
        <v>438</v>
      </c>
      <c r="Q117" t="s">
        <v>439</v>
      </c>
      <c r="R117" t="s">
        <v>449</v>
      </c>
      <c r="S117" t="s">
        <v>143</v>
      </c>
      <c r="T117" t="s">
        <v>144</v>
      </c>
      <c r="U117" t="s">
        <v>139</v>
      </c>
      <c r="V117" t="s">
        <v>99</v>
      </c>
      <c r="W117" t="s">
        <v>139</v>
      </c>
      <c r="X117" t="s">
        <v>145</v>
      </c>
    </row>
    <row r="118" spans="1:24" x14ac:dyDescent="0.2">
      <c r="A118" t="s">
        <v>483</v>
      </c>
      <c r="B118">
        <v>776.06100000000004</v>
      </c>
      <c r="C118" t="s">
        <v>60</v>
      </c>
      <c r="D118" t="s">
        <v>61</v>
      </c>
      <c r="E118" t="s">
        <v>445</v>
      </c>
      <c r="F118" t="s">
        <v>446</v>
      </c>
      <c r="G118" t="s">
        <v>306</v>
      </c>
      <c r="H118" t="s">
        <v>307</v>
      </c>
      <c r="I118" t="s">
        <v>91</v>
      </c>
      <c r="J118" t="s">
        <v>92</v>
      </c>
      <c r="K118" t="s">
        <v>67</v>
      </c>
      <c r="L118" t="s">
        <v>484</v>
      </c>
      <c r="M118" t="s">
        <v>485</v>
      </c>
      <c r="N118" t="s">
        <v>385</v>
      </c>
      <c r="O118" t="s">
        <v>385</v>
      </c>
      <c r="P118" t="s">
        <v>438</v>
      </c>
      <c r="Q118" t="s">
        <v>439</v>
      </c>
      <c r="R118" t="s">
        <v>449</v>
      </c>
      <c r="S118" t="s">
        <v>309</v>
      </c>
      <c r="T118" t="s">
        <v>97</v>
      </c>
      <c r="U118" t="s">
        <v>98</v>
      </c>
      <c r="V118" t="s">
        <v>99</v>
      </c>
      <c r="W118" t="s">
        <v>98</v>
      </c>
      <c r="X118" t="s">
        <v>100</v>
      </c>
    </row>
    <row r="119" spans="1:24" x14ac:dyDescent="0.2">
      <c r="A119" t="s">
        <v>486</v>
      </c>
      <c r="B119">
        <v>776.06100000000004</v>
      </c>
      <c r="C119" t="s">
        <v>60</v>
      </c>
      <c r="D119" t="s">
        <v>61</v>
      </c>
      <c r="E119" t="s">
        <v>445</v>
      </c>
      <c r="F119" t="s">
        <v>446</v>
      </c>
      <c r="G119" t="s">
        <v>306</v>
      </c>
      <c r="H119" t="s">
        <v>307</v>
      </c>
      <c r="I119" t="s">
        <v>102</v>
      </c>
      <c r="J119" t="s">
        <v>103</v>
      </c>
      <c r="K119" t="s">
        <v>67</v>
      </c>
      <c r="L119" t="s">
        <v>487</v>
      </c>
      <c r="M119" t="s">
        <v>488</v>
      </c>
      <c r="N119" t="s">
        <v>385</v>
      </c>
      <c r="O119" t="s">
        <v>385</v>
      </c>
      <c r="P119" t="s">
        <v>438</v>
      </c>
      <c r="Q119" t="s">
        <v>439</v>
      </c>
      <c r="R119" t="s">
        <v>449</v>
      </c>
      <c r="S119" t="s">
        <v>312</v>
      </c>
      <c r="T119" t="s">
        <v>313</v>
      </c>
      <c r="U119" t="s">
        <v>314</v>
      </c>
      <c r="V119" t="s">
        <v>77</v>
      </c>
      <c r="W119" t="s">
        <v>314</v>
      </c>
      <c r="X119" t="s">
        <v>315</v>
      </c>
    </row>
    <row r="120" spans="1:24" x14ac:dyDescent="0.2">
      <c r="A120" t="s">
        <v>489</v>
      </c>
      <c r="B120">
        <v>776.06100000000004</v>
      </c>
      <c r="C120" t="s">
        <v>60</v>
      </c>
      <c r="D120" t="s">
        <v>61</v>
      </c>
      <c r="E120" t="s">
        <v>445</v>
      </c>
      <c r="F120" t="s">
        <v>446</v>
      </c>
      <c r="G120" t="s">
        <v>306</v>
      </c>
      <c r="H120" t="s">
        <v>307</v>
      </c>
      <c r="I120" t="s">
        <v>131</v>
      </c>
      <c r="J120" t="s">
        <v>132</v>
      </c>
      <c r="K120" t="s">
        <v>67</v>
      </c>
      <c r="L120" t="s">
        <v>490</v>
      </c>
      <c r="M120" t="s">
        <v>491</v>
      </c>
      <c r="N120" t="s">
        <v>385</v>
      </c>
      <c r="O120" t="s">
        <v>385</v>
      </c>
      <c r="P120" t="s">
        <v>438</v>
      </c>
      <c r="Q120" t="s">
        <v>439</v>
      </c>
      <c r="R120" t="s">
        <v>449</v>
      </c>
      <c r="S120" t="s">
        <v>318</v>
      </c>
      <c r="T120" t="s">
        <v>136</v>
      </c>
      <c r="U120" t="s">
        <v>131</v>
      </c>
      <c r="V120" t="s">
        <v>77</v>
      </c>
      <c r="W120" t="s">
        <v>131</v>
      </c>
      <c r="X120" t="s">
        <v>137</v>
      </c>
    </row>
    <row r="121" spans="1:24" x14ac:dyDescent="0.2">
      <c r="A121" t="s">
        <v>492</v>
      </c>
      <c r="B121">
        <v>776.06100000000004</v>
      </c>
      <c r="C121" t="s">
        <v>60</v>
      </c>
      <c r="D121" t="s">
        <v>61</v>
      </c>
      <c r="E121" t="s">
        <v>445</v>
      </c>
      <c r="F121" t="s">
        <v>446</v>
      </c>
      <c r="G121" t="s">
        <v>306</v>
      </c>
      <c r="H121" t="s">
        <v>307</v>
      </c>
      <c r="I121" t="s">
        <v>139</v>
      </c>
      <c r="J121" t="s">
        <v>140</v>
      </c>
      <c r="K121" t="s">
        <v>67</v>
      </c>
      <c r="L121" t="s">
        <v>493</v>
      </c>
      <c r="M121" t="s">
        <v>494</v>
      </c>
      <c r="N121" t="s">
        <v>385</v>
      </c>
      <c r="O121" t="s">
        <v>385</v>
      </c>
      <c r="P121" t="s">
        <v>438</v>
      </c>
      <c r="Q121" t="s">
        <v>439</v>
      </c>
      <c r="R121" t="s">
        <v>449</v>
      </c>
      <c r="S121" t="s">
        <v>321</v>
      </c>
      <c r="T121" t="s">
        <v>144</v>
      </c>
      <c r="U121" t="s">
        <v>139</v>
      </c>
      <c r="V121" t="s">
        <v>99</v>
      </c>
      <c r="W121" t="s">
        <v>139</v>
      </c>
      <c r="X121" t="s">
        <v>145</v>
      </c>
    </row>
    <row r="122" spans="1:24" x14ac:dyDescent="0.2">
      <c r="A122" t="s">
        <v>495</v>
      </c>
      <c r="B122">
        <v>776.06100000000004</v>
      </c>
      <c r="C122" t="s">
        <v>60</v>
      </c>
      <c r="D122" t="s">
        <v>61</v>
      </c>
      <c r="E122" t="s">
        <v>445</v>
      </c>
      <c r="F122" t="s">
        <v>446</v>
      </c>
      <c r="H122" t="s">
        <v>64</v>
      </c>
      <c r="I122" t="s">
        <v>131</v>
      </c>
      <c r="J122" t="s">
        <v>132</v>
      </c>
      <c r="K122" t="s">
        <v>67</v>
      </c>
      <c r="L122" t="s">
        <v>496</v>
      </c>
      <c r="M122" t="s">
        <v>497</v>
      </c>
      <c r="N122" t="s">
        <v>385</v>
      </c>
      <c r="O122" t="s">
        <v>385</v>
      </c>
      <c r="P122" t="s">
        <v>438</v>
      </c>
      <c r="Q122" t="s">
        <v>439</v>
      </c>
      <c r="R122" t="s">
        <v>449</v>
      </c>
      <c r="S122" t="s">
        <v>149</v>
      </c>
      <c r="T122" t="s">
        <v>136</v>
      </c>
      <c r="U122" t="s">
        <v>131</v>
      </c>
      <c r="V122" t="s">
        <v>77</v>
      </c>
      <c r="W122" t="s">
        <v>131</v>
      </c>
      <c r="X122" t="s">
        <v>137</v>
      </c>
    </row>
    <row r="123" spans="1:24" x14ac:dyDescent="0.2">
      <c r="A123" t="s">
        <v>498</v>
      </c>
      <c r="B123">
        <v>776.06100000000004</v>
      </c>
      <c r="C123" t="s">
        <v>60</v>
      </c>
      <c r="D123" t="s">
        <v>61</v>
      </c>
      <c r="E123" t="s">
        <v>445</v>
      </c>
      <c r="F123" t="s">
        <v>446</v>
      </c>
      <c r="H123" t="s">
        <v>64</v>
      </c>
      <c r="I123" t="s">
        <v>139</v>
      </c>
      <c r="J123" t="s">
        <v>140</v>
      </c>
      <c r="K123" t="s">
        <v>67</v>
      </c>
      <c r="L123" t="s">
        <v>499</v>
      </c>
      <c r="M123" t="s">
        <v>500</v>
      </c>
      <c r="N123" t="s">
        <v>385</v>
      </c>
      <c r="O123" t="s">
        <v>385</v>
      </c>
      <c r="P123" t="s">
        <v>438</v>
      </c>
      <c r="Q123" t="s">
        <v>439</v>
      </c>
      <c r="R123" t="s">
        <v>449</v>
      </c>
      <c r="S123" t="s">
        <v>153</v>
      </c>
      <c r="T123" t="s">
        <v>144</v>
      </c>
      <c r="U123" t="s">
        <v>139</v>
      </c>
      <c r="V123" t="s">
        <v>99</v>
      </c>
      <c r="W123" t="s">
        <v>139</v>
      </c>
      <c r="X123" t="s">
        <v>145</v>
      </c>
    </row>
    <row r="124" spans="1:24" x14ac:dyDescent="0.2">
      <c r="A124" t="s">
        <v>501</v>
      </c>
      <c r="B124" t="s">
        <v>430</v>
      </c>
      <c r="C124" t="s">
        <v>60</v>
      </c>
      <c r="D124" t="s">
        <v>156</v>
      </c>
      <c r="E124" t="s">
        <v>445</v>
      </c>
      <c r="F124" t="s">
        <v>502</v>
      </c>
      <c r="G124" t="s">
        <v>159</v>
      </c>
      <c r="H124" t="s">
        <v>160</v>
      </c>
      <c r="I124" t="s">
        <v>102</v>
      </c>
      <c r="J124" t="s">
        <v>103</v>
      </c>
      <c r="K124">
        <v>2850</v>
      </c>
      <c r="L124" t="s">
        <v>503</v>
      </c>
      <c r="M124" t="s">
        <v>503</v>
      </c>
      <c r="N124" t="s">
        <v>432</v>
      </c>
      <c r="O124" t="s">
        <v>432</v>
      </c>
      <c r="P124" t="s">
        <v>433</v>
      </c>
      <c r="Q124" t="s">
        <v>434</v>
      </c>
      <c r="R124" t="s">
        <v>504</v>
      </c>
      <c r="S124" t="s">
        <v>166</v>
      </c>
      <c r="T124" t="s">
        <v>107</v>
      </c>
      <c r="U124" t="s">
        <v>108</v>
      </c>
      <c r="V124" t="s">
        <v>77</v>
      </c>
      <c r="W124" t="s">
        <v>108</v>
      </c>
      <c r="X124" t="s">
        <v>109</v>
      </c>
    </row>
    <row r="125" spans="1:24" x14ac:dyDescent="0.2">
      <c r="A125" t="s">
        <v>505</v>
      </c>
      <c r="B125">
        <v>778.10500000000002</v>
      </c>
      <c r="C125" t="s">
        <v>60</v>
      </c>
      <c r="D125" t="s">
        <v>61</v>
      </c>
      <c r="E125" t="s">
        <v>89</v>
      </c>
      <c r="F125" t="s">
        <v>341</v>
      </c>
      <c r="H125" t="s">
        <v>64</v>
      </c>
      <c r="I125" t="s">
        <v>65</v>
      </c>
      <c r="J125" t="s">
        <v>66</v>
      </c>
      <c r="K125">
        <v>6250</v>
      </c>
      <c r="L125" t="s">
        <v>506</v>
      </c>
      <c r="M125" t="s">
        <v>506</v>
      </c>
      <c r="N125" t="s">
        <v>385</v>
      </c>
      <c r="O125" t="s">
        <v>385</v>
      </c>
      <c r="P125" t="s">
        <v>507</v>
      </c>
      <c r="Q125" t="s">
        <v>508</v>
      </c>
      <c r="R125" t="s">
        <v>95</v>
      </c>
      <c r="S125" t="s">
        <v>74</v>
      </c>
      <c r="T125" t="s">
        <v>75</v>
      </c>
      <c r="U125" t="s">
        <v>76</v>
      </c>
      <c r="V125" t="s">
        <v>77</v>
      </c>
      <c r="W125" t="s">
        <v>76</v>
      </c>
      <c r="X125" t="s">
        <v>78</v>
      </c>
    </row>
    <row r="126" spans="1:24" x14ac:dyDescent="0.2">
      <c r="A126" t="s">
        <v>509</v>
      </c>
      <c r="B126">
        <v>778.10500000000002</v>
      </c>
      <c r="C126" t="s">
        <v>60</v>
      </c>
      <c r="D126" t="s">
        <v>61</v>
      </c>
      <c r="E126" t="s">
        <v>62</v>
      </c>
      <c r="F126" t="s">
        <v>330</v>
      </c>
      <c r="H126" t="s">
        <v>64</v>
      </c>
      <c r="I126" t="s">
        <v>82</v>
      </c>
      <c r="J126" t="s">
        <v>83</v>
      </c>
      <c r="K126">
        <v>6750</v>
      </c>
      <c r="L126" t="s">
        <v>510</v>
      </c>
      <c r="M126" t="s">
        <v>510</v>
      </c>
      <c r="N126" t="s">
        <v>385</v>
      </c>
      <c r="O126" t="s">
        <v>385</v>
      </c>
      <c r="P126" t="s">
        <v>507</v>
      </c>
      <c r="Q126" t="s">
        <v>508</v>
      </c>
      <c r="R126" t="s">
        <v>73</v>
      </c>
      <c r="S126" t="s">
        <v>87</v>
      </c>
      <c r="T126" t="s">
        <v>75</v>
      </c>
      <c r="U126" t="s">
        <v>76</v>
      </c>
      <c r="V126" t="s">
        <v>77</v>
      </c>
      <c r="W126" t="s">
        <v>76</v>
      </c>
      <c r="X126" t="s">
        <v>78</v>
      </c>
    </row>
    <row r="127" spans="1:24" x14ac:dyDescent="0.2">
      <c r="A127" t="s">
        <v>511</v>
      </c>
      <c r="B127">
        <v>778.10500000000002</v>
      </c>
      <c r="C127" t="s">
        <v>60</v>
      </c>
      <c r="D127" t="s">
        <v>61</v>
      </c>
      <c r="E127" t="s">
        <v>512</v>
      </c>
      <c r="F127" t="s">
        <v>513</v>
      </c>
      <c r="H127" t="s">
        <v>64</v>
      </c>
      <c r="I127" t="s">
        <v>91</v>
      </c>
      <c r="J127" t="s">
        <v>92</v>
      </c>
      <c r="K127">
        <v>3850</v>
      </c>
      <c r="L127" t="s">
        <v>514</v>
      </c>
      <c r="M127" t="s">
        <v>514</v>
      </c>
      <c r="N127" t="s">
        <v>385</v>
      </c>
      <c r="O127" t="s">
        <v>385</v>
      </c>
      <c r="P127" t="s">
        <v>507</v>
      </c>
      <c r="Q127" t="s">
        <v>508</v>
      </c>
      <c r="R127" t="s">
        <v>515</v>
      </c>
      <c r="S127" t="s">
        <v>96</v>
      </c>
      <c r="T127" t="s">
        <v>97</v>
      </c>
      <c r="U127" t="s">
        <v>98</v>
      </c>
      <c r="V127" t="s">
        <v>99</v>
      </c>
      <c r="W127" t="s">
        <v>98</v>
      </c>
      <c r="X127" t="s">
        <v>100</v>
      </c>
    </row>
    <row r="128" spans="1:24" x14ac:dyDescent="0.2">
      <c r="A128" t="s">
        <v>516</v>
      </c>
      <c r="B128">
        <v>778.10500000000002</v>
      </c>
      <c r="C128" t="s">
        <v>60</v>
      </c>
      <c r="D128" t="s">
        <v>61</v>
      </c>
      <c r="E128" t="s">
        <v>512</v>
      </c>
      <c r="F128" t="s">
        <v>513</v>
      </c>
      <c r="H128" t="s">
        <v>64</v>
      </c>
      <c r="I128" t="s">
        <v>102</v>
      </c>
      <c r="J128" t="s">
        <v>103</v>
      </c>
      <c r="K128">
        <v>3750</v>
      </c>
      <c r="L128" t="s">
        <v>517</v>
      </c>
      <c r="M128" t="s">
        <v>517</v>
      </c>
      <c r="N128" t="s">
        <v>385</v>
      </c>
      <c r="O128" t="s">
        <v>385</v>
      </c>
      <c r="P128" t="s">
        <v>507</v>
      </c>
      <c r="Q128" t="s">
        <v>508</v>
      </c>
      <c r="R128" t="s">
        <v>515</v>
      </c>
      <c r="S128" t="s">
        <v>106</v>
      </c>
      <c r="T128" t="s">
        <v>107</v>
      </c>
      <c r="U128" t="s">
        <v>108</v>
      </c>
      <c r="V128" t="s">
        <v>77</v>
      </c>
      <c r="W128" t="s">
        <v>108</v>
      </c>
      <c r="X128" t="s">
        <v>109</v>
      </c>
    </row>
    <row r="129" spans="1:24" x14ac:dyDescent="0.2">
      <c r="A129" t="s">
        <v>518</v>
      </c>
      <c r="B129">
        <v>778.10500000000002</v>
      </c>
      <c r="C129" t="s">
        <v>60</v>
      </c>
      <c r="D129" t="s">
        <v>61</v>
      </c>
      <c r="E129" t="s">
        <v>512</v>
      </c>
      <c r="F129" t="s">
        <v>513</v>
      </c>
      <c r="G129" t="s">
        <v>156</v>
      </c>
      <c r="H129" t="s">
        <v>278</v>
      </c>
      <c r="I129" t="s">
        <v>91</v>
      </c>
      <c r="J129" t="s">
        <v>92</v>
      </c>
      <c r="K129">
        <v>4550</v>
      </c>
      <c r="L129" t="s">
        <v>519</v>
      </c>
      <c r="M129" t="s">
        <v>519</v>
      </c>
      <c r="N129" t="s">
        <v>385</v>
      </c>
      <c r="O129" t="s">
        <v>385</v>
      </c>
      <c r="P129" t="s">
        <v>507</v>
      </c>
      <c r="Q129" t="s">
        <v>508</v>
      </c>
      <c r="R129" t="s">
        <v>515</v>
      </c>
      <c r="S129" t="s">
        <v>280</v>
      </c>
      <c r="T129" t="s">
        <v>97</v>
      </c>
      <c r="U129" t="s">
        <v>98</v>
      </c>
      <c r="V129" t="s">
        <v>99</v>
      </c>
      <c r="W129" t="s">
        <v>98</v>
      </c>
      <c r="X129" t="s">
        <v>100</v>
      </c>
    </row>
    <row r="130" spans="1:24" x14ac:dyDescent="0.2">
      <c r="A130" t="s">
        <v>520</v>
      </c>
      <c r="B130">
        <v>778.10500000000002</v>
      </c>
      <c r="C130" t="s">
        <v>60</v>
      </c>
      <c r="D130" t="s">
        <v>61</v>
      </c>
      <c r="E130" t="s">
        <v>512</v>
      </c>
      <c r="F130" t="s">
        <v>513</v>
      </c>
      <c r="G130" t="s">
        <v>156</v>
      </c>
      <c r="H130" t="s">
        <v>278</v>
      </c>
      <c r="I130" t="s">
        <v>102</v>
      </c>
      <c r="J130" t="s">
        <v>103</v>
      </c>
      <c r="K130">
        <v>4450</v>
      </c>
      <c r="L130" t="s">
        <v>521</v>
      </c>
      <c r="M130" t="s">
        <v>521</v>
      </c>
      <c r="N130" t="s">
        <v>385</v>
      </c>
      <c r="O130" t="s">
        <v>385</v>
      </c>
      <c r="P130" t="s">
        <v>507</v>
      </c>
      <c r="Q130" t="s">
        <v>508</v>
      </c>
      <c r="R130" t="s">
        <v>515</v>
      </c>
      <c r="S130" t="s">
        <v>283</v>
      </c>
      <c r="T130" t="s">
        <v>284</v>
      </c>
      <c r="U130" t="s">
        <v>285</v>
      </c>
      <c r="V130" t="s">
        <v>77</v>
      </c>
      <c r="W130" t="s">
        <v>285</v>
      </c>
      <c r="X130" t="s">
        <v>286</v>
      </c>
    </row>
    <row r="131" spans="1:24" x14ac:dyDescent="0.2">
      <c r="A131" t="s">
        <v>522</v>
      </c>
      <c r="B131">
        <v>778.10500000000002</v>
      </c>
      <c r="C131" t="s">
        <v>60</v>
      </c>
      <c r="D131" t="s">
        <v>61</v>
      </c>
      <c r="E131" t="s">
        <v>512</v>
      </c>
      <c r="F131" t="s">
        <v>513</v>
      </c>
      <c r="G131" t="s">
        <v>156</v>
      </c>
      <c r="H131" t="s">
        <v>278</v>
      </c>
      <c r="I131" t="s">
        <v>131</v>
      </c>
      <c r="J131" t="s">
        <v>132</v>
      </c>
      <c r="K131">
        <v>4950</v>
      </c>
      <c r="L131" t="s">
        <v>523</v>
      </c>
      <c r="M131" t="s">
        <v>523</v>
      </c>
      <c r="N131" t="s">
        <v>385</v>
      </c>
      <c r="O131" t="s">
        <v>385</v>
      </c>
      <c r="P131" t="s">
        <v>507</v>
      </c>
      <c r="Q131" t="s">
        <v>508</v>
      </c>
      <c r="R131" t="s">
        <v>515</v>
      </c>
      <c r="S131" t="s">
        <v>289</v>
      </c>
      <c r="T131" t="s">
        <v>136</v>
      </c>
      <c r="U131" t="s">
        <v>131</v>
      </c>
      <c r="V131" t="s">
        <v>77</v>
      </c>
      <c r="W131" t="s">
        <v>131</v>
      </c>
      <c r="X131" t="s">
        <v>137</v>
      </c>
    </row>
    <row r="132" spans="1:24" x14ac:dyDescent="0.2">
      <c r="A132" t="s">
        <v>524</v>
      </c>
      <c r="B132">
        <v>778.10500000000002</v>
      </c>
      <c r="C132" t="s">
        <v>60</v>
      </c>
      <c r="D132" t="s">
        <v>61</v>
      </c>
      <c r="E132" t="s">
        <v>512</v>
      </c>
      <c r="F132" t="s">
        <v>513</v>
      </c>
      <c r="G132" t="s">
        <v>156</v>
      </c>
      <c r="H132" t="s">
        <v>278</v>
      </c>
      <c r="I132" t="s">
        <v>139</v>
      </c>
      <c r="J132" t="s">
        <v>140</v>
      </c>
      <c r="K132">
        <v>4950</v>
      </c>
      <c r="L132" t="s">
        <v>525</v>
      </c>
      <c r="M132" t="s">
        <v>525</v>
      </c>
      <c r="N132" t="s">
        <v>385</v>
      </c>
      <c r="O132" t="s">
        <v>385</v>
      </c>
      <c r="P132" t="s">
        <v>507</v>
      </c>
      <c r="Q132" t="s">
        <v>508</v>
      </c>
      <c r="R132" t="s">
        <v>515</v>
      </c>
      <c r="S132" t="s">
        <v>292</v>
      </c>
      <c r="T132" t="s">
        <v>144</v>
      </c>
      <c r="U132" t="s">
        <v>139</v>
      </c>
      <c r="V132" t="s">
        <v>99</v>
      </c>
      <c r="W132" t="s">
        <v>139</v>
      </c>
      <c r="X132" t="s">
        <v>145</v>
      </c>
    </row>
    <row r="133" spans="1:24" x14ac:dyDescent="0.2">
      <c r="A133" t="s">
        <v>526</v>
      </c>
      <c r="B133">
        <v>778.10500000000002</v>
      </c>
      <c r="C133" t="s">
        <v>60</v>
      </c>
      <c r="D133" t="s">
        <v>61</v>
      </c>
      <c r="E133" t="s">
        <v>89</v>
      </c>
      <c r="F133" t="s">
        <v>341</v>
      </c>
      <c r="G133" t="s">
        <v>111</v>
      </c>
      <c r="H133" t="s">
        <v>112</v>
      </c>
      <c r="I133" t="s">
        <v>65</v>
      </c>
      <c r="J133" t="s">
        <v>66</v>
      </c>
      <c r="K133">
        <v>6950</v>
      </c>
      <c r="L133" t="s">
        <v>527</v>
      </c>
      <c r="M133" t="s">
        <v>527</v>
      </c>
      <c r="N133" t="s">
        <v>385</v>
      </c>
      <c r="O133" t="s">
        <v>385</v>
      </c>
      <c r="P133" t="s">
        <v>507</v>
      </c>
      <c r="Q133" t="s">
        <v>508</v>
      </c>
      <c r="R133" t="s">
        <v>95</v>
      </c>
      <c r="S133" t="s">
        <v>114</v>
      </c>
      <c r="T133" t="s">
        <v>75</v>
      </c>
      <c r="U133" t="s">
        <v>76</v>
      </c>
      <c r="V133" t="s">
        <v>77</v>
      </c>
      <c r="W133" t="s">
        <v>76</v>
      </c>
      <c r="X133" t="s">
        <v>78</v>
      </c>
    </row>
    <row r="134" spans="1:24" x14ac:dyDescent="0.2">
      <c r="A134" t="s">
        <v>528</v>
      </c>
      <c r="B134">
        <v>778.10500000000002</v>
      </c>
      <c r="C134" t="s">
        <v>60</v>
      </c>
      <c r="D134" t="s">
        <v>61</v>
      </c>
      <c r="E134" t="s">
        <v>62</v>
      </c>
      <c r="F134" t="s">
        <v>330</v>
      </c>
      <c r="G134" t="s">
        <v>111</v>
      </c>
      <c r="H134" t="s">
        <v>112</v>
      </c>
      <c r="I134" t="s">
        <v>82</v>
      </c>
      <c r="J134" t="s">
        <v>83</v>
      </c>
      <c r="K134">
        <v>7450</v>
      </c>
      <c r="L134" t="s">
        <v>529</v>
      </c>
      <c r="M134" t="s">
        <v>529</v>
      </c>
      <c r="N134" t="s">
        <v>385</v>
      </c>
      <c r="O134" t="s">
        <v>385</v>
      </c>
      <c r="P134" t="s">
        <v>507</v>
      </c>
      <c r="Q134" t="s">
        <v>508</v>
      </c>
      <c r="R134" t="s">
        <v>73</v>
      </c>
      <c r="S134" t="s">
        <v>118</v>
      </c>
      <c r="T134" t="s">
        <v>75</v>
      </c>
      <c r="U134" t="s">
        <v>76</v>
      </c>
      <c r="V134" t="s">
        <v>77</v>
      </c>
      <c r="W134" t="s">
        <v>76</v>
      </c>
      <c r="X134" t="s">
        <v>78</v>
      </c>
    </row>
    <row r="135" spans="1:24" x14ac:dyDescent="0.2">
      <c r="A135" t="s">
        <v>530</v>
      </c>
      <c r="B135">
        <v>778.10500000000002</v>
      </c>
      <c r="C135" t="s">
        <v>60</v>
      </c>
      <c r="D135" t="s">
        <v>61</v>
      </c>
      <c r="E135" t="s">
        <v>512</v>
      </c>
      <c r="F135" t="s">
        <v>513</v>
      </c>
      <c r="G135" t="s">
        <v>111</v>
      </c>
      <c r="H135" t="s">
        <v>112</v>
      </c>
      <c r="I135" t="s">
        <v>91</v>
      </c>
      <c r="J135" t="s">
        <v>92</v>
      </c>
      <c r="K135">
        <v>4550</v>
      </c>
      <c r="L135" t="s">
        <v>531</v>
      </c>
      <c r="M135" t="s">
        <v>531</v>
      </c>
      <c r="N135" t="s">
        <v>385</v>
      </c>
      <c r="O135" t="s">
        <v>385</v>
      </c>
      <c r="P135" t="s">
        <v>507</v>
      </c>
      <c r="Q135" t="s">
        <v>508</v>
      </c>
      <c r="R135" t="s">
        <v>515</v>
      </c>
      <c r="S135" t="s">
        <v>122</v>
      </c>
      <c r="T135" t="s">
        <v>97</v>
      </c>
      <c r="U135" t="s">
        <v>98</v>
      </c>
      <c r="V135" t="s">
        <v>99</v>
      </c>
      <c r="W135" t="s">
        <v>98</v>
      </c>
      <c r="X135" t="s">
        <v>100</v>
      </c>
    </row>
    <row r="136" spans="1:24" x14ac:dyDescent="0.2">
      <c r="A136" t="s">
        <v>532</v>
      </c>
      <c r="B136">
        <v>778.10500000000002</v>
      </c>
      <c r="C136" t="s">
        <v>60</v>
      </c>
      <c r="D136" t="s">
        <v>61</v>
      </c>
      <c r="E136" t="s">
        <v>512</v>
      </c>
      <c r="F136" t="s">
        <v>513</v>
      </c>
      <c r="G136" t="s">
        <v>111</v>
      </c>
      <c r="H136" t="s">
        <v>112</v>
      </c>
      <c r="I136" t="s">
        <v>102</v>
      </c>
      <c r="J136" t="s">
        <v>103</v>
      </c>
      <c r="K136">
        <v>4450</v>
      </c>
      <c r="L136" t="s">
        <v>533</v>
      </c>
      <c r="M136" t="s">
        <v>533</v>
      </c>
      <c r="N136" t="s">
        <v>385</v>
      </c>
      <c r="O136" t="s">
        <v>385</v>
      </c>
      <c r="P136" t="s">
        <v>507</v>
      </c>
      <c r="Q136" t="s">
        <v>508</v>
      </c>
      <c r="R136" t="s">
        <v>515</v>
      </c>
      <c r="S136" t="s">
        <v>126</v>
      </c>
      <c r="T136" t="s">
        <v>127</v>
      </c>
      <c r="U136" t="s">
        <v>128</v>
      </c>
      <c r="V136" t="s">
        <v>77</v>
      </c>
      <c r="W136" t="s">
        <v>128</v>
      </c>
      <c r="X136" t="s">
        <v>129</v>
      </c>
    </row>
    <row r="137" spans="1:24" x14ac:dyDescent="0.2">
      <c r="A137" t="s">
        <v>534</v>
      </c>
      <c r="B137">
        <v>778.10500000000002</v>
      </c>
      <c r="C137" t="s">
        <v>60</v>
      </c>
      <c r="D137" t="s">
        <v>61</v>
      </c>
      <c r="E137" t="s">
        <v>512</v>
      </c>
      <c r="F137" t="s">
        <v>513</v>
      </c>
      <c r="G137" t="s">
        <v>111</v>
      </c>
      <c r="H137" t="s">
        <v>112</v>
      </c>
      <c r="I137" t="s">
        <v>131</v>
      </c>
      <c r="J137" t="s">
        <v>132</v>
      </c>
      <c r="K137">
        <v>4950</v>
      </c>
      <c r="L137" t="s">
        <v>535</v>
      </c>
      <c r="M137" t="s">
        <v>535</v>
      </c>
      <c r="N137" t="s">
        <v>385</v>
      </c>
      <c r="O137" t="s">
        <v>385</v>
      </c>
      <c r="P137" t="s">
        <v>507</v>
      </c>
      <c r="Q137" t="s">
        <v>508</v>
      </c>
      <c r="R137" t="s">
        <v>515</v>
      </c>
      <c r="S137" t="s">
        <v>135</v>
      </c>
      <c r="T137" t="s">
        <v>136</v>
      </c>
      <c r="U137" t="s">
        <v>131</v>
      </c>
      <c r="V137" t="s">
        <v>77</v>
      </c>
      <c r="W137" t="s">
        <v>131</v>
      </c>
      <c r="X137" t="s">
        <v>137</v>
      </c>
    </row>
    <row r="138" spans="1:24" x14ac:dyDescent="0.2">
      <c r="A138" t="s">
        <v>536</v>
      </c>
      <c r="B138">
        <v>778.10500000000002</v>
      </c>
      <c r="C138" t="s">
        <v>60</v>
      </c>
      <c r="D138" t="s">
        <v>61</v>
      </c>
      <c r="E138" t="s">
        <v>512</v>
      </c>
      <c r="F138" t="s">
        <v>513</v>
      </c>
      <c r="G138" t="s">
        <v>111</v>
      </c>
      <c r="H138" t="s">
        <v>112</v>
      </c>
      <c r="I138" t="s">
        <v>139</v>
      </c>
      <c r="J138" t="s">
        <v>140</v>
      </c>
      <c r="K138">
        <v>4950</v>
      </c>
      <c r="L138" t="s">
        <v>537</v>
      </c>
      <c r="M138" t="s">
        <v>537</v>
      </c>
      <c r="N138" t="s">
        <v>385</v>
      </c>
      <c r="O138" t="s">
        <v>385</v>
      </c>
      <c r="P138" t="s">
        <v>507</v>
      </c>
      <c r="Q138" t="s">
        <v>508</v>
      </c>
      <c r="R138" t="s">
        <v>515</v>
      </c>
      <c r="S138" t="s">
        <v>143</v>
      </c>
      <c r="T138" t="s">
        <v>144</v>
      </c>
      <c r="U138" t="s">
        <v>139</v>
      </c>
      <c r="V138" t="s">
        <v>99</v>
      </c>
      <c r="W138" t="s">
        <v>139</v>
      </c>
      <c r="X138" t="s">
        <v>145</v>
      </c>
    </row>
    <row r="139" spans="1:24" x14ac:dyDescent="0.2">
      <c r="A139" t="s">
        <v>538</v>
      </c>
      <c r="B139">
        <v>778.10500000000002</v>
      </c>
      <c r="C139" t="s">
        <v>60</v>
      </c>
      <c r="D139" t="s">
        <v>61</v>
      </c>
      <c r="E139" t="s">
        <v>512</v>
      </c>
      <c r="F139" t="s">
        <v>513</v>
      </c>
      <c r="G139" t="s">
        <v>306</v>
      </c>
      <c r="H139" t="s">
        <v>307</v>
      </c>
      <c r="I139" t="s">
        <v>91</v>
      </c>
      <c r="J139" t="s">
        <v>92</v>
      </c>
      <c r="K139">
        <v>5250</v>
      </c>
      <c r="L139" t="s">
        <v>539</v>
      </c>
      <c r="M139" t="s">
        <v>539</v>
      </c>
      <c r="N139" t="s">
        <v>385</v>
      </c>
      <c r="O139" t="s">
        <v>385</v>
      </c>
      <c r="P139" t="s">
        <v>507</v>
      </c>
      <c r="Q139" t="s">
        <v>508</v>
      </c>
      <c r="R139" t="s">
        <v>515</v>
      </c>
      <c r="S139" t="s">
        <v>309</v>
      </c>
      <c r="T139" t="s">
        <v>97</v>
      </c>
      <c r="U139" t="s">
        <v>98</v>
      </c>
      <c r="V139" t="s">
        <v>99</v>
      </c>
      <c r="W139" t="s">
        <v>98</v>
      </c>
      <c r="X139" t="s">
        <v>100</v>
      </c>
    </row>
    <row r="140" spans="1:24" x14ac:dyDescent="0.2">
      <c r="A140" t="s">
        <v>540</v>
      </c>
      <c r="B140">
        <v>778.10500000000002</v>
      </c>
      <c r="C140" t="s">
        <v>60</v>
      </c>
      <c r="D140" t="s">
        <v>61</v>
      </c>
      <c r="E140" t="s">
        <v>512</v>
      </c>
      <c r="F140" t="s">
        <v>513</v>
      </c>
      <c r="G140" t="s">
        <v>306</v>
      </c>
      <c r="H140" t="s">
        <v>307</v>
      </c>
      <c r="I140" t="s">
        <v>102</v>
      </c>
      <c r="J140" t="s">
        <v>103</v>
      </c>
      <c r="K140">
        <v>5150</v>
      </c>
      <c r="L140" t="s">
        <v>541</v>
      </c>
      <c r="M140" t="s">
        <v>541</v>
      </c>
      <c r="N140" t="s">
        <v>385</v>
      </c>
      <c r="O140" t="s">
        <v>385</v>
      </c>
      <c r="P140" t="s">
        <v>507</v>
      </c>
      <c r="Q140" t="s">
        <v>508</v>
      </c>
      <c r="R140" t="s">
        <v>515</v>
      </c>
      <c r="S140" t="s">
        <v>312</v>
      </c>
      <c r="T140" t="s">
        <v>313</v>
      </c>
      <c r="U140" t="s">
        <v>314</v>
      </c>
      <c r="V140" t="s">
        <v>77</v>
      </c>
      <c r="W140" t="s">
        <v>314</v>
      </c>
      <c r="X140" t="s">
        <v>315</v>
      </c>
    </row>
    <row r="141" spans="1:24" x14ac:dyDescent="0.2">
      <c r="A141" t="s">
        <v>542</v>
      </c>
      <c r="B141">
        <v>778.10500000000002</v>
      </c>
      <c r="C141" t="s">
        <v>60</v>
      </c>
      <c r="D141" t="s">
        <v>61</v>
      </c>
      <c r="E141" t="s">
        <v>512</v>
      </c>
      <c r="F141" t="s">
        <v>513</v>
      </c>
      <c r="G141" t="s">
        <v>306</v>
      </c>
      <c r="H141" t="s">
        <v>307</v>
      </c>
      <c r="I141" t="s">
        <v>131</v>
      </c>
      <c r="J141" t="s">
        <v>132</v>
      </c>
      <c r="K141">
        <v>5650</v>
      </c>
      <c r="L141" t="s">
        <v>543</v>
      </c>
      <c r="M141" t="s">
        <v>543</v>
      </c>
      <c r="N141" t="s">
        <v>385</v>
      </c>
      <c r="O141" t="s">
        <v>385</v>
      </c>
      <c r="P141" t="s">
        <v>507</v>
      </c>
      <c r="Q141" t="s">
        <v>508</v>
      </c>
      <c r="R141" t="s">
        <v>515</v>
      </c>
      <c r="S141" t="s">
        <v>318</v>
      </c>
      <c r="T141" t="s">
        <v>136</v>
      </c>
      <c r="U141" t="s">
        <v>131</v>
      </c>
      <c r="V141" t="s">
        <v>77</v>
      </c>
      <c r="W141" t="s">
        <v>131</v>
      </c>
      <c r="X141" t="s">
        <v>137</v>
      </c>
    </row>
    <row r="142" spans="1:24" x14ac:dyDescent="0.2">
      <c r="A142" t="s">
        <v>544</v>
      </c>
      <c r="B142">
        <v>778.10500000000002</v>
      </c>
      <c r="C142" t="s">
        <v>60</v>
      </c>
      <c r="D142" t="s">
        <v>61</v>
      </c>
      <c r="E142" t="s">
        <v>512</v>
      </c>
      <c r="F142" t="s">
        <v>513</v>
      </c>
      <c r="G142" t="s">
        <v>306</v>
      </c>
      <c r="H142" t="s">
        <v>307</v>
      </c>
      <c r="I142" t="s">
        <v>139</v>
      </c>
      <c r="J142" t="s">
        <v>140</v>
      </c>
      <c r="K142">
        <v>5650</v>
      </c>
      <c r="L142" t="s">
        <v>545</v>
      </c>
      <c r="M142" t="s">
        <v>545</v>
      </c>
      <c r="N142" t="s">
        <v>385</v>
      </c>
      <c r="O142" t="s">
        <v>385</v>
      </c>
      <c r="P142" t="s">
        <v>507</v>
      </c>
      <c r="Q142" t="s">
        <v>508</v>
      </c>
      <c r="R142" t="s">
        <v>515</v>
      </c>
      <c r="S142" t="s">
        <v>321</v>
      </c>
      <c r="T142" t="s">
        <v>144</v>
      </c>
      <c r="U142" t="s">
        <v>139</v>
      </c>
      <c r="V142" t="s">
        <v>99</v>
      </c>
      <c r="W142" t="s">
        <v>139</v>
      </c>
      <c r="X142" t="s">
        <v>145</v>
      </c>
    </row>
    <row r="143" spans="1:24" x14ac:dyDescent="0.2">
      <c r="A143" t="s">
        <v>546</v>
      </c>
      <c r="B143">
        <v>778.10500000000002</v>
      </c>
      <c r="C143" t="s">
        <v>60</v>
      </c>
      <c r="D143" t="s">
        <v>61</v>
      </c>
      <c r="E143" t="s">
        <v>512</v>
      </c>
      <c r="F143" t="s">
        <v>513</v>
      </c>
      <c r="H143" t="s">
        <v>64</v>
      </c>
      <c r="I143" t="s">
        <v>131</v>
      </c>
      <c r="J143" t="s">
        <v>132</v>
      </c>
      <c r="K143">
        <v>4250</v>
      </c>
      <c r="L143" t="s">
        <v>547</v>
      </c>
      <c r="M143" t="s">
        <v>547</v>
      </c>
      <c r="N143" t="s">
        <v>385</v>
      </c>
      <c r="O143" t="s">
        <v>385</v>
      </c>
      <c r="P143" t="s">
        <v>507</v>
      </c>
      <c r="Q143" t="s">
        <v>508</v>
      </c>
      <c r="R143" t="s">
        <v>515</v>
      </c>
      <c r="S143" t="s">
        <v>149</v>
      </c>
      <c r="T143" t="s">
        <v>136</v>
      </c>
      <c r="U143" t="s">
        <v>131</v>
      </c>
      <c r="V143" t="s">
        <v>77</v>
      </c>
      <c r="W143" t="s">
        <v>131</v>
      </c>
      <c r="X143" t="s">
        <v>137</v>
      </c>
    </row>
    <row r="144" spans="1:24" x14ac:dyDescent="0.2">
      <c r="A144" t="s">
        <v>548</v>
      </c>
      <c r="B144">
        <v>778.10500000000002</v>
      </c>
      <c r="C144" t="s">
        <v>60</v>
      </c>
      <c r="D144" t="s">
        <v>61</v>
      </c>
      <c r="E144" t="s">
        <v>512</v>
      </c>
      <c r="F144" t="s">
        <v>513</v>
      </c>
      <c r="H144" t="s">
        <v>64</v>
      </c>
      <c r="I144" t="s">
        <v>139</v>
      </c>
      <c r="J144" t="s">
        <v>140</v>
      </c>
      <c r="K144">
        <v>4250</v>
      </c>
      <c r="L144" t="s">
        <v>549</v>
      </c>
      <c r="M144" t="s">
        <v>549</v>
      </c>
      <c r="N144" t="s">
        <v>385</v>
      </c>
      <c r="O144" t="s">
        <v>385</v>
      </c>
      <c r="P144" t="s">
        <v>507</v>
      </c>
      <c r="Q144" t="s">
        <v>508</v>
      </c>
      <c r="R144" t="s">
        <v>515</v>
      </c>
      <c r="S144" t="s">
        <v>153</v>
      </c>
      <c r="T144" t="s">
        <v>144</v>
      </c>
      <c r="U144" t="s">
        <v>139</v>
      </c>
      <c r="V144" t="s">
        <v>99</v>
      </c>
      <c r="W144" t="s">
        <v>139</v>
      </c>
      <c r="X144" t="s">
        <v>145</v>
      </c>
    </row>
    <row r="145" spans="1:24" x14ac:dyDescent="0.2">
      <c r="A145" t="s">
        <v>550</v>
      </c>
      <c r="B145" t="s">
        <v>551</v>
      </c>
      <c r="C145" t="s">
        <v>60</v>
      </c>
      <c r="D145" t="s">
        <v>156</v>
      </c>
      <c r="E145" t="s">
        <v>157</v>
      </c>
      <c r="F145" t="s">
        <v>158</v>
      </c>
      <c r="G145" t="s">
        <v>159</v>
      </c>
      <c r="H145" t="s">
        <v>160</v>
      </c>
      <c r="I145" t="s">
        <v>102</v>
      </c>
      <c r="J145" t="s">
        <v>103</v>
      </c>
      <c r="K145">
        <v>2850</v>
      </c>
      <c r="L145" t="s">
        <v>552</v>
      </c>
      <c r="M145" t="s">
        <v>552</v>
      </c>
      <c r="N145" t="s">
        <v>553</v>
      </c>
      <c r="O145" t="s">
        <v>553</v>
      </c>
      <c r="P145" t="s">
        <v>554</v>
      </c>
      <c r="Q145" t="s">
        <v>555</v>
      </c>
      <c r="R145" t="s">
        <v>165</v>
      </c>
      <c r="S145" t="s">
        <v>166</v>
      </c>
      <c r="T145" t="s">
        <v>107</v>
      </c>
      <c r="U145" t="s">
        <v>108</v>
      </c>
      <c r="V145" t="s">
        <v>77</v>
      </c>
      <c r="W145" t="s">
        <v>108</v>
      </c>
      <c r="X145" t="s">
        <v>109</v>
      </c>
    </row>
    <row r="146" spans="1:24" x14ac:dyDescent="0.2">
      <c r="A146" t="s">
        <v>556</v>
      </c>
      <c r="B146" t="s">
        <v>557</v>
      </c>
      <c r="C146" t="s">
        <v>558</v>
      </c>
      <c r="D146" t="s">
        <v>559</v>
      </c>
      <c r="E146" t="s">
        <v>560</v>
      </c>
      <c r="F146" t="s">
        <v>561</v>
      </c>
      <c r="H146" t="s">
        <v>64</v>
      </c>
      <c r="I146" t="s">
        <v>102</v>
      </c>
      <c r="J146" t="s">
        <v>103</v>
      </c>
      <c r="K146">
        <v>800</v>
      </c>
      <c r="L146" t="s">
        <v>562</v>
      </c>
      <c r="M146" t="s">
        <v>562</v>
      </c>
      <c r="N146" t="s">
        <v>563</v>
      </c>
      <c r="O146" t="s">
        <v>563</v>
      </c>
      <c r="P146" t="s">
        <v>564</v>
      </c>
      <c r="Q146" t="s">
        <v>565</v>
      </c>
      <c r="R146" t="s">
        <v>566</v>
      </c>
      <c r="S146" t="s">
        <v>567</v>
      </c>
      <c r="T146" t="s">
        <v>107</v>
      </c>
      <c r="U146" t="s">
        <v>568</v>
      </c>
      <c r="V146" t="s">
        <v>77</v>
      </c>
      <c r="W146" t="s">
        <v>569</v>
      </c>
      <c r="X146" t="s">
        <v>570</v>
      </c>
    </row>
    <row r="147" spans="1:24" x14ac:dyDescent="0.2">
      <c r="A147" t="s">
        <v>571</v>
      </c>
      <c r="B147" t="s">
        <v>557</v>
      </c>
      <c r="C147" t="s">
        <v>558</v>
      </c>
      <c r="D147" t="s">
        <v>572</v>
      </c>
      <c r="E147" t="s">
        <v>560</v>
      </c>
      <c r="F147" t="s">
        <v>573</v>
      </c>
      <c r="G147" t="s">
        <v>159</v>
      </c>
      <c r="H147" t="s">
        <v>160</v>
      </c>
      <c r="I147" t="s">
        <v>102</v>
      </c>
      <c r="J147" t="s">
        <v>103</v>
      </c>
      <c r="K147">
        <v>900</v>
      </c>
      <c r="L147" t="s">
        <v>574</v>
      </c>
      <c r="M147" t="s">
        <v>574</v>
      </c>
      <c r="N147" t="s">
        <v>563</v>
      </c>
      <c r="O147" t="s">
        <v>563</v>
      </c>
      <c r="P147" t="s">
        <v>575</v>
      </c>
      <c r="Q147" t="s">
        <v>576</v>
      </c>
      <c r="R147" t="s">
        <v>577</v>
      </c>
      <c r="S147" t="s">
        <v>578</v>
      </c>
      <c r="T147" t="s">
        <v>107</v>
      </c>
      <c r="U147" t="s">
        <v>579</v>
      </c>
      <c r="V147" t="s">
        <v>77</v>
      </c>
      <c r="W147" t="s">
        <v>580</v>
      </c>
      <c r="X147" t="s">
        <v>581</v>
      </c>
    </row>
    <row r="148" spans="1:24" x14ac:dyDescent="0.2">
      <c r="A148" t="s">
        <v>582</v>
      </c>
      <c r="B148" t="s">
        <v>557</v>
      </c>
      <c r="C148" t="s">
        <v>558</v>
      </c>
      <c r="D148" t="s">
        <v>572</v>
      </c>
      <c r="E148" t="s">
        <v>560</v>
      </c>
      <c r="F148" t="s">
        <v>583</v>
      </c>
      <c r="H148" t="s">
        <v>64</v>
      </c>
      <c r="I148" t="s">
        <v>102</v>
      </c>
      <c r="J148" t="s">
        <v>103</v>
      </c>
      <c r="K148">
        <v>800</v>
      </c>
      <c r="L148" t="s">
        <v>584</v>
      </c>
      <c r="M148" t="s">
        <v>584</v>
      </c>
      <c r="N148" t="s">
        <v>563</v>
      </c>
      <c r="O148" t="s">
        <v>563</v>
      </c>
      <c r="P148" t="s">
        <v>575</v>
      </c>
      <c r="Q148" t="s">
        <v>576</v>
      </c>
      <c r="R148" t="s">
        <v>577</v>
      </c>
      <c r="S148" t="s">
        <v>585</v>
      </c>
      <c r="T148" t="s">
        <v>107</v>
      </c>
      <c r="U148" t="s">
        <v>586</v>
      </c>
      <c r="V148" t="s">
        <v>77</v>
      </c>
      <c r="W148" t="s">
        <v>587</v>
      </c>
      <c r="X148" t="s">
        <v>588</v>
      </c>
    </row>
    <row r="149" spans="1:24" x14ac:dyDescent="0.2">
      <c r="A149" t="s">
        <v>589</v>
      </c>
      <c r="B149">
        <v>780.24099999999999</v>
      </c>
      <c r="C149" t="s">
        <v>60</v>
      </c>
      <c r="D149" t="s">
        <v>61</v>
      </c>
      <c r="E149" t="s">
        <v>89</v>
      </c>
      <c r="F149" t="s">
        <v>341</v>
      </c>
      <c r="H149" t="s">
        <v>64</v>
      </c>
      <c r="I149" t="s">
        <v>65</v>
      </c>
      <c r="J149" t="s">
        <v>66</v>
      </c>
      <c r="K149">
        <v>6250</v>
      </c>
      <c r="L149" t="s">
        <v>590</v>
      </c>
      <c r="M149" t="s">
        <v>590</v>
      </c>
      <c r="N149" t="s">
        <v>385</v>
      </c>
      <c r="O149" t="s">
        <v>385</v>
      </c>
      <c r="P149" t="s">
        <v>591</v>
      </c>
      <c r="Q149" t="s">
        <v>592</v>
      </c>
      <c r="R149" t="s">
        <v>95</v>
      </c>
      <c r="S149" t="s">
        <v>74</v>
      </c>
      <c r="T149" t="s">
        <v>75</v>
      </c>
      <c r="U149" t="s">
        <v>76</v>
      </c>
      <c r="V149" t="s">
        <v>77</v>
      </c>
      <c r="W149" t="s">
        <v>76</v>
      </c>
      <c r="X149" t="s">
        <v>78</v>
      </c>
    </row>
    <row r="150" spans="1:24" x14ac:dyDescent="0.2">
      <c r="A150" t="s">
        <v>593</v>
      </c>
      <c r="B150">
        <v>780.24099999999999</v>
      </c>
      <c r="C150" t="s">
        <v>60</v>
      </c>
      <c r="D150" t="s">
        <v>61</v>
      </c>
      <c r="E150" t="s">
        <v>62</v>
      </c>
      <c r="F150" t="s">
        <v>330</v>
      </c>
      <c r="H150" t="s">
        <v>64</v>
      </c>
      <c r="I150" t="s">
        <v>82</v>
      </c>
      <c r="J150" t="s">
        <v>83</v>
      </c>
      <c r="K150">
        <v>6750</v>
      </c>
      <c r="L150" t="s">
        <v>594</v>
      </c>
      <c r="M150" t="s">
        <v>594</v>
      </c>
      <c r="N150" t="s">
        <v>385</v>
      </c>
      <c r="O150" t="s">
        <v>385</v>
      </c>
      <c r="P150" t="s">
        <v>591</v>
      </c>
      <c r="Q150" t="s">
        <v>592</v>
      </c>
      <c r="R150" t="s">
        <v>73</v>
      </c>
      <c r="S150" t="s">
        <v>87</v>
      </c>
      <c r="T150" t="s">
        <v>75</v>
      </c>
      <c r="U150" t="s">
        <v>76</v>
      </c>
      <c r="V150" t="s">
        <v>77</v>
      </c>
      <c r="W150" t="s">
        <v>76</v>
      </c>
      <c r="X150" t="s">
        <v>78</v>
      </c>
    </row>
    <row r="151" spans="1:24" x14ac:dyDescent="0.2">
      <c r="A151" t="s">
        <v>595</v>
      </c>
      <c r="B151">
        <v>780.24099999999999</v>
      </c>
      <c r="C151" t="s">
        <v>60</v>
      </c>
      <c r="D151" t="s">
        <v>61</v>
      </c>
      <c r="E151" t="s">
        <v>512</v>
      </c>
      <c r="F151" t="s">
        <v>513</v>
      </c>
      <c r="H151" t="s">
        <v>64</v>
      </c>
      <c r="I151" t="s">
        <v>91</v>
      </c>
      <c r="J151" t="s">
        <v>92</v>
      </c>
      <c r="K151">
        <v>3850</v>
      </c>
      <c r="L151" t="s">
        <v>596</v>
      </c>
      <c r="M151" t="s">
        <v>596</v>
      </c>
      <c r="N151" t="s">
        <v>385</v>
      </c>
      <c r="O151" t="s">
        <v>385</v>
      </c>
      <c r="P151" t="s">
        <v>591</v>
      </c>
      <c r="Q151" t="s">
        <v>592</v>
      </c>
      <c r="R151" t="s">
        <v>515</v>
      </c>
      <c r="S151" t="s">
        <v>96</v>
      </c>
      <c r="T151" t="s">
        <v>97</v>
      </c>
      <c r="U151" t="s">
        <v>98</v>
      </c>
      <c r="V151" t="s">
        <v>99</v>
      </c>
      <c r="W151" t="s">
        <v>98</v>
      </c>
      <c r="X151" t="s">
        <v>100</v>
      </c>
    </row>
    <row r="152" spans="1:24" x14ac:dyDescent="0.2">
      <c r="A152" t="s">
        <v>597</v>
      </c>
      <c r="B152">
        <v>780.24099999999999</v>
      </c>
      <c r="C152" t="s">
        <v>60</v>
      </c>
      <c r="D152" t="s">
        <v>61</v>
      </c>
      <c r="E152" t="s">
        <v>512</v>
      </c>
      <c r="F152" t="s">
        <v>513</v>
      </c>
      <c r="H152" t="s">
        <v>64</v>
      </c>
      <c r="I152" t="s">
        <v>102</v>
      </c>
      <c r="J152" t="s">
        <v>103</v>
      </c>
      <c r="K152">
        <v>3750</v>
      </c>
      <c r="L152" t="s">
        <v>598</v>
      </c>
      <c r="M152" t="s">
        <v>598</v>
      </c>
      <c r="N152" t="s">
        <v>385</v>
      </c>
      <c r="O152" t="s">
        <v>385</v>
      </c>
      <c r="P152" t="s">
        <v>591</v>
      </c>
      <c r="Q152" t="s">
        <v>592</v>
      </c>
      <c r="R152" t="s">
        <v>515</v>
      </c>
      <c r="S152" t="s">
        <v>106</v>
      </c>
      <c r="T152" t="s">
        <v>107</v>
      </c>
      <c r="U152" t="s">
        <v>108</v>
      </c>
      <c r="V152" t="s">
        <v>77</v>
      </c>
      <c r="W152" t="s">
        <v>108</v>
      </c>
      <c r="X152" t="s">
        <v>109</v>
      </c>
    </row>
    <row r="153" spans="1:24" x14ac:dyDescent="0.2">
      <c r="A153" t="s">
        <v>599</v>
      </c>
      <c r="B153">
        <v>780.24099999999999</v>
      </c>
      <c r="C153" t="s">
        <v>60</v>
      </c>
      <c r="D153" t="s">
        <v>61</v>
      </c>
      <c r="E153" t="s">
        <v>512</v>
      </c>
      <c r="F153" t="s">
        <v>513</v>
      </c>
      <c r="G153" t="s">
        <v>156</v>
      </c>
      <c r="H153" t="s">
        <v>278</v>
      </c>
      <c r="I153" t="s">
        <v>91</v>
      </c>
      <c r="J153" t="s">
        <v>92</v>
      </c>
      <c r="K153">
        <v>4550</v>
      </c>
      <c r="L153" t="s">
        <v>600</v>
      </c>
      <c r="M153" t="s">
        <v>600</v>
      </c>
      <c r="N153" t="s">
        <v>385</v>
      </c>
      <c r="O153" t="s">
        <v>385</v>
      </c>
      <c r="P153" t="s">
        <v>591</v>
      </c>
      <c r="Q153" t="s">
        <v>592</v>
      </c>
      <c r="R153" t="s">
        <v>515</v>
      </c>
      <c r="S153" t="s">
        <v>280</v>
      </c>
      <c r="T153" t="s">
        <v>97</v>
      </c>
      <c r="U153" t="s">
        <v>98</v>
      </c>
      <c r="V153" t="s">
        <v>99</v>
      </c>
      <c r="W153" t="s">
        <v>98</v>
      </c>
      <c r="X153" t="s">
        <v>100</v>
      </c>
    </row>
    <row r="154" spans="1:24" x14ac:dyDescent="0.2">
      <c r="A154" t="s">
        <v>601</v>
      </c>
      <c r="B154">
        <v>780.24099999999999</v>
      </c>
      <c r="C154" t="s">
        <v>60</v>
      </c>
      <c r="D154" t="s">
        <v>61</v>
      </c>
      <c r="E154" t="s">
        <v>512</v>
      </c>
      <c r="F154" t="s">
        <v>513</v>
      </c>
      <c r="G154" t="s">
        <v>156</v>
      </c>
      <c r="H154" t="s">
        <v>278</v>
      </c>
      <c r="I154" t="s">
        <v>102</v>
      </c>
      <c r="J154" t="s">
        <v>103</v>
      </c>
      <c r="K154">
        <v>4450</v>
      </c>
      <c r="L154" t="s">
        <v>602</v>
      </c>
      <c r="M154" t="s">
        <v>602</v>
      </c>
      <c r="N154" t="s">
        <v>385</v>
      </c>
      <c r="O154" t="s">
        <v>385</v>
      </c>
      <c r="P154" t="s">
        <v>591</v>
      </c>
      <c r="Q154" t="s">
        <v>592</v>
      </c>
      <c r="R154" t="s">
        <v>515</v>
      </c>
      <c r="S154" t="s">
        <v>283</v>
      </c>
      <c r="T154" t="s">
        <v>284</v>
      </c>
      <c r="U154" t="s">
        <v>285</v>
      </c>
      <c r="V154" t="s">
        <v>77</v>
      </c>
      <c r="W154" t="s">
        <v>285</v>
      </c>
      <c r="X154" t="s">
        <v>286</v>
      </c>
    </row>
    <row r="155" spans="1:24" x14ac:dyDescent="0.2">
      <c r="A155" t="s">
        <v>603</v>
      </c>
      <c r="B155">
        <v>780.24099999999999</v>
      </c>
      <c r="C155" t="s">
        <v>60</v>
      </c>
      <c r="D155" t="s">
        <v>61</v>
      </c>
      <c r="E155" t="s">
        <v>512</v>
      </c>
      <c r="F155" t="s">
        <v>513</v>
      </c>
      <c r="G155" t="s">
        <v>156</v>
      </c>
      <c r="H155" t="s">
        <v>278</v>
      </c>
      <c r="I155" t="s">
        <v>131</v>
      </c>
      <c r="J155" t="s">
        <v>132</v>
      </c>
      <c r="K155">
        <v>4950</v>
      </c>
      <c r="L155" t="s">
        <v>604</v>
      </c>
      <c r="M155" t="s">
        <v>604</v>
      </c>
      <c r="N155" t="s">
        <v>385</v>
      </c>
      <c r="O155" t="s">
        <v>385</v>
      </c>
      <c r="P155" t="s">
        <v>591</v>
      </c>
      <c r="Q155" t="s">
        <v>592</v>
      </c>
      <c r="R155" t="s">
        <v>515</v>
      </c>
      <c r="S155" t="s">
        <v>289</v>
      </c>
      <c r="T155" t="s">
        <v>136</v>
      </c>
      <c r="U155" t="s">
        <v>131</v>
      </c>
      <c r="V155" t="s">
        <v>77</v>
      </c>
      <c r="W155" t="s">
        <v>131</v>
      </c>
      <c r="X155" t="s">
        <v>137</v>
      </c>
    </row>
    <row r="156" spans="1:24" x14ac:dyDescent="0.2">
      <c r="A156" t="s">
        <v>605</v>
      </c>
      <c r="B156">
        <v>780.24099999999999</v>
      </c>
      <c r="C156" t="s">
        <v>60</v>
      </c>
      <c r="D156" t="s">
        <v>156</v>
      </c>
      <c r="E156" t="s">
        <v>89</v>
      </c>
      <c r="F156" t="s">
        <v>606</v>
      </c>
      <c r="G156" t="s">
        <v>156</v>
      </c>
      <c r="H156" t="s">
        <v>278</v>
      </c>
      <c r="I156" t="s">
        <v>139</v>
      </c>
      <c r="J156" t="s">
        <v>140</v>
      </c>
      <c r="K156">
        <v>3950</v>
      </c>
      <c r="L156" t="s">
        <v>607</v>
      </c>
      <c r="M156" t="s">
        <v>607</v>
      </c>
      <c r="N156" t="s">
        <v>385</v>
      </c>
      <c r="O156" t="s">
        <v>385</v>
      </c>
      <c r="P156" t="s">
        <v>591</v>
      </c>
      <c r="Q156" t="s">
        <v>592</v>
      </c>
      <c r="R156" t="s">
        <v>608</v>
      </c>
      <c r="S156" t="s">
        <v>292</v>
      </c>
      <c r="T156" t="s">
        <v>144</v>
      </c>
      <c r="U156" t="s">
        <v>139</v>
      </c>
      <c r="V156" t="s">
        <v>99</v>
      </c>
      <c r="W156" t="s">
        <v>139</v>
      </c>
      <c r="X156" t="s">
        <v>145</v>
      </c>
    </row>
    <row r="157" spans="1:24" x14ac:dyDescent="0.2">
      <c r="A157" t="s">
        <v>609</v>
      </c>
      <c r="B157">
        <v>780.24099999999999</v>
      </c>
      <c r="C157" t="s">
        <v>60</v>
      </c>
      <c r="D157" t="s">
        <v>61</v>
      </c>
      <c r="E157" t="s">
        <v>512</v>
      </c>
      <c r="F157" t="s">
        <v>513</v>
      </c>
      <c r="G157" t="s">
        <v>156</v>
      </c>
      <c r="H157" t="s">
        <v>278</v>
      </c>
      <c r="I157" t="s">
        <v>139</v>
      </c>
      <c r="J157" t="s">
        <v>140</v>
      </c>
      <c r="K157">
        <v>4950</v>
      </c>
      <c r="L157" t="s">
        <v>610</v>
      </c>
      <c r="M157" t="s">
        <v>610</v>
      </c>
      <c r="N157" t="s">
        <v>385</v>
      </c>
      <c r="O157" t="s">
        <v>385</v>
      </c>
      <c r="P157" t="s">
        <v>591</v>
      </c>
      <c r="Q157" t="s">
        <v>592</v>
      </c>
      <c r="R157" t="s">
        <v>515</v>
      </c>
      <c r="S157" t="s">
        <v>292</v>
      </c>
      <c r="T157" t="s">
        <v>144</v>
      </c>
      <c r="U157" t="s">
        <v>139</v>
      </c>
      <c r="V157" t="s">
        <v>99</v>
      </c>
      <c r="W157" t="s">
        <v>139</v>
      </c>
      <c r="X157" t="s">
        <v>145</v>
      </c>
    </row>
    <row r="158" spans="1:24" x14ac:dyDescent="0.2">
      <c r="A158" t="s">
        <v>611</v>
      </c>
      <c r="B158">
        <v>780.24099999999999</v>
      </c>
      <c r="C158" t="s">
        <v>60</v>
      </c>
      <c r="D158" t="s">
        <v>612</v>
      </c>
      <c r="E158" t="s">
        <v>613</v>
      </c>
      <c r="F158" t="s">
        <v>614</v>
      </c>
      <c r="G158" t="s">
        <v>156</v>
      </c>
      <c r="H158" t="s">
        <v>278</v>
      </c>
      <c r="I158" t="s">
        <v>139</v>
      </c>
      <c r="J158" t="s">
        <v>140</v>
      </c>
      <c r="K158">
        <v>5450</v>
      </c>
      <c r="L158" t="s">
        <v>615</v>
      </c>
      <c r="M158" t="s">
        <v>615</v>
      </c>
      <c r="N158" t="s">
        <v>385</v>
      </c>
      <c r="O158" t="s">
        <v>385</v>
      </c>
      <c r="P158" t="s">
        <v>591</v>
      </c>
      <c r="Q158" t="s">
        <v>592</v>
      </c>
      <c r="R158" t="s">
        <v>616</v>
      </c>
      <c r="S158" t="s">
        <v>292</v>
      </c>
      <c r="T158" t="s">
        <v>144</v>
      </c>
      <c r="U158" t="s">
        <v>139</v>
      </c>
      <c r="V158" t="s">
        <v>99</v>
      </c>
      <c r="W158" t="s">
        <v>139</v>
      </c>
      <c r="X158" t="s">
        <v>145</v>
      </c>
    </row>
    <row r="159" spans="1:24" x14ac:dyDescent="0.2">
      <c r="A159" t="s">
        <v>617</v>
      </c>
      <c r="B159">
        <v>780.24099999999999</v>
      </c>
      <c r="C159" t="s">
        <v>60</v>
      </c>
      <c r="D159" t="s">
        <v>61</v>
      </c>
      <c r="E159" t="s">
        <v>89</v>
      </c>
      <c r="F159" t="s">
        <v>341</v>
      </c>
      <c r="G159" t="s">
        <v>111</v>
      </c>
      <c r="H159" t="s">
        <v>112</v>
      </c>
      <c r="I159" t="s">
        <v>65</v>
      </c>
      <c r="J159" t="s">
        <v>66</v>
      </c>
      <c r="K159">
        <v>6950</v>
      </c>
      <c r="L159" t="s">
        <v>618</v>
      </c>
      <c r="M159" t="s">
        <v>618</v>
      </c>
      <c r="N159" t="s">
        <v>385</v>
      </c>
      <c r="O159" t="s">
        <v>385</v>
      </c>
      <c r="P159" t="s">
        <v>591</v>
      </c>
      <c r="Q159" t="s">
        <v>592</v>
      </c>
      <c r="R159" t="s">
        <v>95</v>
      </c>
      <c r="S159" t="s">
        <v>114</v>
      </c>
      <c r="T159" t="s">
        <v>75</v>
      </c>
      <c r="U159" t="s">
        <v>76</v>
      </c>
      <c r="V159" t="s">
        <v>77</v>
      </c>
      <c r="W159" t="s">
        <v>76</v>
      </c>
      <c r="X159" t="s">
        <v>78</v>
      </c>
    </row>
    <row r="160" spans="1:24" x14ac:dyDescent="0.2">
      <c r="A160" t="s">
        <v>619</v>
      </c>
      <c r="B160">
        <v>780.24099999999999</v>
      </c>
      <c r="C160" t="s">
        <v>60</v>
      </c>
      <c r="D160" t="s">
        <v>61</v>
      </c>
      <c r="E160" t="s">
        <v>62</v>
      </c>
      <c r="F160" t="s">
        <v>330</v>
      </c>
      <c r="G160" t="s">
        <v>111</v>
      </c>
      <c r="H160" t="s">
        <v>112</v>
      </c>
      <c r="I160" t="s">
        <v>82</v>
      </c>
      <c r="J160" t="s">
        <v>83</v>
      </c>
      <c r="K160">
        <v>7450</v>
      </c>
      <c r="L160" t="s">
        <v>620</v>
      </c>
      <c r="M160" t="s">
        <v>620</v>
      </c>
      <c r="N160" t="s">
        <v>385</v>
      </c>
      <c r="O160" t="s">
        <v>385</v>
      </c>
      <c r="P160" t="s">
        <v>591</v>
      </c>
      <c r="Q160" t="s">
        <v>592</v>
      </c>
      <c r="R160" t="s">
        <v>73</v>
      </c>
      <c r="S160" t="s">
        <v>118</v>
      </c>
      <c r="T160" t="s">
        <v>75</v>
      </c>
      <c r="U160" t="s">
        <v>76</v>
      </c>
      <c r="V160" t="s">
        <v>77</v>
      </c>
      <c r="W160" t="s">
        <v>76</v>
      </c>
      <c r="X160" t="s">
        <v>78</v>
      </c>
    </row>
    <row r="161" spans="1:24" x14ac:dyDescent="0.2">
      <c r="A161" t="s">
        <v>621</v>
      </c>
      <c r="B161">
        <v>780.24099999999999</v>
      </c>
      <c r="C161" t="s">
        <v>60</v>
      </c>
      <c r="D161" t="s">
        <v>61</v>
      </c>
      <c r="E161" t="s">
        <v>512</v>
      </c>
      <c r="F161" t="s">
        <v>513</v>
      </c>
      <c r="G161" t="s">
        <v>111</v>
      </c>
      <c r="H161" t="s">
        <v>112</v>
      </c>
      <c r="I161" t="s">
        <v>91</v>
      </c>
      <c r="J161" t="s">
        <v>92</v>
      </c>
      <c r="K161">
        <v>4550</v>
      </c>
      <c r="L161" t="s">
        <v>622</v>
      </c>
      <c r="M161" t="s">
        <v>622</v>
      </c>
      <c r="N161" t="s">
        <v>385</v>
      </c>
      <c r="O161" t="s">
        <v>385</v>
      </c>
      <c r="P161" t="s">
        <v>591</v>
      </c>
      <c r="Q161" t="s">
        <v>592</v>
      </c>
      <c r="R161" t="s">
        <v>515</v>
      </c>
      <c r="S161" t="s">
        <v>122</v>
      </c>
      <c r="T161" t="s">
        <v>97</v>
      </c>
      <c r="U161" t="s">
        <v>98</v>
      </c>
      <c r="V161" t="s">
        <v>99</v>
      </c>
      <c r="W161" t="s">
        <v>98</v>
      </c>
      <c r="X161" t="s">
        <v>100</v>
      </c>
    </row>
    <row r="162" spans="1:24" x14ac:dyDescent="0.2">
      <c r="A162" t="s">
        <v>623</v>
      </c>
      <c r="B162">
        <v>780.24099999999999</v>
      </c>
      <c r="C162" t="s">
        <v>60</v>
      </c>
      <c r="D162" t="s">
        <v>61</v>
      </c>
      <c r="E162" t="s">
        <v>512</v>
      </c>
      <c r="F162" t="s">
        <v>513</v>
      </c>
      <c r="G162" t="s">
        <v>111</v>
      </c>
      <c r="H162" t="s">
        <v>112</v>
      </c>
      <c r="I162" t="s">
        <v>102</v>
      </c>
      <c r="J162" t="s">
        <v>103</v>
      </c>
      <c r="K162">
        <v>4450</v>
      </c>
      <c r="L162" t="s">
        <v>624</v>
      </c>
      <c r="M162" t="s">
        <v>624</v>
      </c>
      <c r="N162" t="s">
        <v>385</v>
      </c>
      <c r="O162" t="s">
        <v>385</v>
      </c>
      <c r="P162" t="s">
        <v>591</v>
      </c>
      <c r="Q162" t="s">
        <v>592</v>
      </c>
      <c r="R162" t="s">
        <v>515</v>
      </c>
      <c r="S162" t="s">
        <v>126</v>
      </c>
      <c r="T162" t="s">
        <v>127</v>
      </c>
      <c r="U162" t="s">
        <v>128</v>
      </c>
      <c r="V162" t="s">
        <v>77</v>
      </c>
      <c r="W162" t="s">
        <v>128</v>
      </c>
      <c r="X162" t="s">
        <v>129</v>
      </c>
    </row>
    <row r="163" spans="1:24" x14ac:dyDescent="0.2">
      <c r="A163" t="s">
        <v>625</v>
      </c>
      <c r="B163">
        <v>780.24099999999999</v>
      </c>
      <c r="C163" t="s">
        <v>60</v>
      </c>
      <c r="D163" t="s">
        <v>61</v>
      </c>
      <c r="E163" t="s">
        <v>512</v>
      </c>
      <c r="F163" t="s">
        <v>513</v>
      </c>
      <c r="G163" t="s">
        <v>111</v>
      </c>
      <c r="H163" t="s">
        <v>112</v>
      </c>
      <c r="I163" t="s">
        <v>131</v>
      </c>
      <c r="J163" t="s">
        <v>132</v>
      </c>
      <c r="K163">
        <v>4950</v>
      </c>
      <c r="L163" t="s">
        <v>626</v>
      </c>
      <c r="M163" t="s">
        <v>626</v>
      </c>
      <c r="N163" t="s">
        <v>385</v>
      </c>
      <c r="O163" t="s">
        <v>385</v>
      </c>
      <c r="P163" t="s">
        <v>591</v>
      </c>
      <c r="Q163" t="s">
        <v>592</v>
      </c>
      <c r="R163" t="s">
        <v>515</v>
      </c>
      <c r="S163" t="s">
        <v>135</v>
      </c>
      <c r="T163" t="s">
        <v>136</v>
      </c>
      <c r="U163" t="s">
        <v>131</v>
      </c>
      <c r="V163" t="s">
        <v>77</v>
      </c>
      <c r="W163" t="s">
        <v>131</v>
      </c>
      <c r="X163" t="s">
        <v>137</v>
      </c>
    </row>
    <row r="164" spans="1:24" x14ac:dyDescent="0.2">
      <c r="A164" t="s">
        <v>627</v>
      </c>
      <c r="B164">
        <v>780.24099999999999</v>
      </c>
      <c r="C164" t="s">
        <v>60</v>
      </c>
      <c r="D164" t="s">
        <v>156</v>
      </c>
      <c r="E164" t="s">
        <v>89</v>
      </c>
      <c r="F164" t="s">
        <v>606</v>
      </c>
      <c r="G164" t="s">
        <v>111</v>
      </c>
      <c r="H164" t="s">
        <v>112</v>
      </c>
      <c r="I164" t="s">
        <v>139</v>
      </c>
      <c r="J164" t="s">
        <v>140</v>
      </c>
      <c r="K164">
        <v>3950</v>
      </c>
      <c r="L164" t="s">
        <v>628</v>
      </c>
      <c r="M164" t="s">
        <v>628</v>
      </c>
      <c r="N164" t="s">
        <v>385</v>
      </c>
      <c r="O164" t="s">
        <v>385</v>
      </c>
      <c r="P164" t="s">
        <v>591</v>
      </c>
      <c r="Q164" t="s">
        <v>592</v>
      </c>
      <c r="R164" t="s">
        <v>608</v>
      </c>
      <c r="S164" t="s">
        <v>143</v>
      </c>
      <c r="T164" t="s">
        <v>144</v>
      </c>
      <c r="U164" t="s">
        <v>139</v>
      </c>
      <c r="V164" t="s">
        <v>99</v>
      </c>
      <c r="W164" t="s">
        <v>139</v>
      </c>
      <c r="X164" t="s">
        <v>145</v>
      </c>
    </row>
    <row r="165" spans="1:24" x14ac:dyDescent="0.2">
      <c r="A165" t="s">
        <v>629</v>
      </c>
      <c r="B165">
        <v>780.24099999999999</v>
      </c>
      <c r="C165" t="s">
        <v>60</v>
      </c>
      <c r="D165" t="s">
        <v>61</v>
      </c>
      <c r="E165" t="s">
        <v>512</v>
      </c>
      <c r="F165" t="s">
        <v>513</v>
      </c>
      <c r="G165" t="s">
        <v>111</v>
      </c>
      <c r="H165" t="s">
        <v>112</v>
      </c>
      <c r="I165" t="s">
        <v>139</v>
      </c>
      <c r="J165" t="s">
        <v>140</v>
      </c>
      <c r="K165">
        <v>4950</v>
      </c>
      <c r="L165" t="s">
        <v>630</v>
      </c>
      <c r="M165" t="s">
        <v>630</v>
      </c>
      <c r="N165" t="s">
        <v>385</v>
      </c>
      <c r="O165" t="s">
        <v>385</v>
      </c>
      <c r="P165" t="s">
        <v>591</v>
      </c>
      <c r="Q165" t="s">
        <v>592</v>
      </c>
      <c r="R165" t="s">
        <v>515</v>
      </c>
      <c r="S165" t="s">
        <v>143</v>
      </c>
      <c r="T165" t="s">
        <v>144</v>
      </c>
      <c r="U165" t="s">
        <v>139</v>
      </c>
      <c r="V165" t="s">
        <v>99</v>
      </c>
      <c r="W165" t="s">
        <v>139</v>
      </c>
      <c r="X165" t="s">
        <v>145</v>
      </c>
    </row>
    <row r="166" spans="1:24" x14ac:dyDescent="0.2">
      <c r="A166" t="s">
        <v>631</v>
      </c>
      <c r="B166">
        <v>780.24099999999999</v>
      </c>
      <c r="C166" t="s">
        <v>60</v>
      </c>
      <c r="D166" t="s">
        <v>61</v>
      </c>
      <c r="E166" t="s">
        <v>512</v>
      </c>
      <c r="F166" t="s">
        <v>513</v>
      </c>
      <c r="G166" t="s">
        <v>306</v>
      </c>
      <c r="H166" t="s">
        <v>307</v>
      </c>
      <c r="I166" t="s">
        <v>91</v>
      </c>
      <c r="J166" t="s">
        <v>92</v>
      </c>
      <c r="K166">
        <v>5250</v>
      </c>
      <c r="L166" t="s">
        <v>632</v>
      </c>
      <c r="M166" t="s">
        <v>632</v>
      </c>
      <c r="N166" t="s">
        <v>385</v>
      </c>
      <c r="O166" t="s">
        <v>385</v>
      </c>
      <c r="P166" t="s">
        <v>591</v>
      </c>
      <c r="Q166" t="s">
        <v>592</v>
      </c>
      <c r="R166" t="s">
        <v>515</v>
      </c>
      <c r="S166" t="s">
        <v>309</v>
      </c>
      <c r="T166" t="s">
        <v>97</v>
      </c>
      <c r="U166" t="s">
        <v>98</v>
      </c>
      <c r="V166" t="s">
        <v>99</v>
      </c>
      <c r="W166" t="s">
        <v>98</v>
      </c>
      <c r="X166" t="s">
        <v>100</v>
      </c>
    </row>
    <row r="167" spans="1:24" x14ac:dyDescent="0.2">
      <c r="A167" t="s">
        <v>633</v>
      </c>
      <c r="B167">
        <v>780.24099999999999</v>
      </c>
      <c r="C167" t="s">
        <v>60</v>
      </c>
      <c r="D167" t="s">
        <v>61</v>
      </c>
      <c r="E167" t="s">
        <v>512</v>
      </c>
      <c r="F167" t="s">
        <v>513</v>
      </c>
      <c r="G167" t="s">
        <v>306</v>
      </c>
      <c r="H167" t="s">
        <v>307</v>
      </c>
      <c r="I167" t="s">
        <v>102</v>
      </c>
      <c r="J167" t="s">
        <v>103</v>
      </c>
      <c r="K167">
        <v>5150</v>
      </c>
      <c r="L167" t="s">
        <v>634</v>
      </c>
      <c r="M167" t="s">
        <v>634</v>
      </c>
      <c r="N167" t="s">
        <v>385</v>
      </c>
      <c r="O167" t="s">
        <v>385</v>
      </c>
      <c r="P167" t="s">
        <v>591</v>
      </c>
      <c r="Q167" t="s">
        <v>592</v>
      </c>
      <c r="R167" t="s">
        <v>515</v>
      </c>
      <c r="S167" t="s">
        <v>312</v>
      </c>
      <c r="T167" t="s">
        <v>313</v>
      </c>
      <c r="U167" t="s">
        <v>314</v>
      </c>
      <c r="V167" t="s">
        <v>77</v>
      </c>
      <c r="W167" t="s">
        <v>314</v>
      </c>
      <c r="X167" t="s">
        <v>315</v>
      </c>
    </row>
    <row r="168" spans="1:24" x14ac:dyDescent="0.2">
      <c r="A168" t="s">
        <v>635</v>
      </c>
      <c r="B168">
        <v>780.24099999999999</v>
      </c>
      <c r="C168" t="s">
        <v>60</v>
      </c>
      <c r="D168" t="s">
        <v>61</v>
      </c>
      <c r="E168" t="s">
        <v>512</v>
      </c>
      <c r="F168" t="s">
        <v>513</v>
      </c>
      <c r="G168" t="s">
        <v>306</v>
      </c>
      <c r="H168" t="s">
        <v>307</v>
      </c>
      <c r="I168" t="s">
        <v>131</v>
      </c>
      <c r="J168" t="s">
        <v>132</v>
      </c>
      <c r="K168">
        <v>5650</v>
      </c>
      <c r="L168" t="s">
        <v>636</v>
      </c>
      <c r="M168" t="s">
        <v>636</v>
      </c>
      <c r="N168" t="s">
        <v>385</v>
      </c>
      <c r="O168" t="s">
        <v>385</v>
      </c>
      <c r="P168" t="s">
        <v>591</v>
      </c>
      <c r="Q168" t="s">
        <v>592</v>
      </c>
      <c r="R168" t="s">
        <v>515</v>
      </c>
      <c r="S168" t="s">
        <v>318</v>
      </c>
      <c r="T168" t="s">
        <v>136</v>
      </c>
      <c r="U168" t="s">
        <v>131</v>
      </c>
      <c r="V168" t="s">
        <v>77</v>
      </c>
      <c r="W168" t="s">
        <v>131</v>
      </c>
      <c r="X168" t="s">
        <v>137</v>
      </c>
    </row>
    <row r="169" spans="1:24" x14ac:dyDescent="0.2">
      <c r="A169" t="s">
        <v>637</v>
      </c>
      <c r="B169">
        <v>780.24099999999999</v>
      </c>
      <c r="C169" t="s">
        <v>60</v>
      </c>
      <c r="D169" t="s">
        <v>156</v>
      </c>
      <c r="E169" t="s">
        <v>89</v>
      </c>
      <c r="F169" t="s">
        <v>606</v>
      </c>
      <c r="G169" t="s">
        <v>306</v>
      </c>
      <c r="H169" t="s">
        <v>307</v>
      </c>
      <c r="I169" t="s">
        <v>139</v>
      </c>
      <c r="J169" t="s">
        <v>140</v>
      </c>
      <c r="K169">
        <v>4650</v>
      </c>
      <c r="L169" t="s">
        <v>638</v>
      </c>
      <c r="M169" t="s">
        <v>638</v>
      </c>
      <c r="N169" t="s">
        <v>385</v>
      </c>
      <c r="O169" t="s">
        <v>385</v>
      </c>
      <c r="P169" t="s">
        <v>591</v>
      </c>
      <c r="Q169" t="s">
        <v>592</v>
      </c>
      <c r="R169" t="s">
        <v>608</v>
      </c>
      <c r="S169" t="s">
        <v>321</v>
      </c>
      <c r="T169" t="s">
        <v>144</v>
      </c>
      <c r="U169" t="s">
        <v>139</v>
      </c>
      <c r="V169" t="s">
        <v>99</v>
      </c>
      <c r="W169" t="s">
        <v>139</v>
      </c>
      <c r="X169" t="s">
        <v>145</v>
      </c>
    </row>
    <row r="170" spans="1:24" x14ac:dyDescent="0.2">
      <c r="A170" t="s">
        <v>639</v>
      </c>
      <c r="B170">
        <v>780.24099999999999</v>
      </c>
      <c r="C170" t="s">
        <v>60</v>
      </c>
      <c r="D170" t="s">
        <v>61</v>
      </c>
      <c r="E170" t="s">
        <v>512</v>
      </c>
      <c r="F170" t="s">
        <v>513</v>
      </c>
      <c r="G170" t="s">
        <v>306</v>
      </c>
      <c r="H170" t="s">
        <v>307</v>
      </c>
      <c r="I170" t="s">
        <v>139</v>
      </c>
      <c r="J170" t="s">
        <v>140</v>
      </c>
      <c r="K170">
        <v>5650</v>
      </c>
      <c r="L170" t="s">
        <v>640</v>
      </c>
      <c r="M170" t="s">
        <v>640</v>
      </c>
      <c r="N170" t="s">
        <v>385</v>
      </c>
      <c r="O170" t="s">
        <v>385</v>
      </c>
      <c r="P170" t="s">
        <v>591</v>
      </c>
      <c r="Q170" t="s">
        <v>592</v>
      </c>
      <c r="R170" t="s">
        <v>515</v>
      </c>
      <c r="S170" t="s">
        <v>321</v>
      </c>
      <c r="T170" t="s">
        <v>144</v>
      </c>
      <c r="U170" t="s">
        <v>139</v>
      </c>
      <c r="V170" t="s">
        <v>99</v>
      </c>
      <c r="W170" t="s">
        <v>139</v>
      </c>
      <c r="X170" t="s">
        <v>145</v>
      </c>
    </row>
    <row r="171" spans="1:24" x14ac:dyDescent="0.2">
      <c r="A171" t="s">
        <v>641</v>
      </c>
      <c r="B171">
        <v>780.24099999999999</v>
      </c>
      <c r="C171" t="s">
        <v>60</v>
      </c>
      <c r="D171" t="s">
        <v>612</v>
      </c>
      <c r="E171" t="s">
        <v>613</v>
      </c>
      <c r="F171" t="s">
        <v>614</v>
      </c>
      <c r="H171" t="s">
        <v>64</v>
      </c>
      <c r="I171" t="s">
        <v>642</v>
      </c>
      <c r="J171" t="s">
        <v>643</v>
      </c>
      <c r="K171">
        <v>4400</v>
      </c>
      <c r="L171" t="s">
        <v>644</v>
      </c>
      <c r="M171" t="s">
        <v>644</v>
      </c>
      <c r="N171" t="s">
        <v>385</v>
      </c>
      <c r="O171" t="s">
        <v>385</v>
      </c>
      <c r="P171" t="s">
        <v>591</v>
      </c>
      <c r="Q171" t="s">
        <v>592</v>
      </c>
      <c r="R171" t="s">
        <v>616</v>
      </c>
      <c r="S171" t="s">
        <v>645</v>
      </c>
      <c r="T171" t="s">
        <v>646</v>
      </c>
      <c r="U171" t="s">
        <v>647</v>
      </c>
      <c r="V171" t="s">
        <v>77</v>
      </c>
      <c r="W171" t="s">
        <v>647</v>
      </c>
      <c r="X171" t="s">
        <v>648</v>
      </c>
    </row>
    <row r="172" spans="1:24" x14ac:dyDescent="0.2">
      <c r="A172" t="s">
        <v>649</v>
      </c>
      <c r="B172">
        <v>780.24099999999999</v>
      </c>
      <c r="C172" t="s">
        <v>60</v>
      </c>
      <c r="D172" t="s">
        <v>612</v>
      </c>
      <c r="E172" t="s">
        <v>650</v>
      </c>
      <c r="F172" t="s">
        <v>651</v>
      </c>
      <c r="H172" t="s">
        <v>64</v>
      </c>
      <c r="I172" t="s">
        <v>65</v>
      </c>
      <c r="J172" t="s">
        <v>66</v>
      </c>
      <c r="K172">
        <v>6750</v>
      </c>
      <c r="L172" t="s">
        <v>652</v>
      </c>
      <c r="M172" t="s">
        <v>652</v>
      </c>
      <c r="N172" t="s">
        <v>385</v>
      </c>
      <c r="O172" t="s">
        <v>385</v>
      </c>
      <c r="P172" t="s">
        <v>591</v>
      </c>
      <c r="Q172" t="s">
        <v>592</v>
      </c>
      <c r="R172" t="s">
        <v>653</v>
      </c>
      <c r="S172" t="s">
        <v>74</v>
      </c>
      <c r="T172" t="s">
        <v>75</v>
      </c>
      <c r="U172" t="s">
        <v>76</v>
      </c>
      <c r="V172" t="s">
        <v>77</v>
      </c>
      <c r="W172" t="s">
        <v>76</v>
      </c>
      <c r="X172" t="s">
        <v>78</v>
      </c>
    </row>
    <row r="173" spans="1:24" x14ac:dyDescent="0.2">
      <c r="A173" t="s">
        <v>654</v>
      </c>
      <c r="B173">
        <v>780.24099999999999</v>
      </c>
      <c r="C173" t="s">
        <v>60</v>
      </c>
      <c r="D173" t="s">
        <v>612</v>
      </c>
      <c r="E173" t="s">
        <v>613</v>
      </c>
      <c r="F173" t="s">
        <v>614</v>
      </c>
      <c r="H173" t="s">
        <v>64</v>
      </c>
      <c r="I173" t="s">
        <v>91</v>
      </c>
      <c r="J173" t="s">
        <v>92</v>
      </c>
      <c r="K173">
        <v>4350</v>
      </c>
      <c r="L173" t="s">
        <v>655</v>
      </c>
      <c r="M173" t="s">
        <v>655</v>
      </c>
      <c r="N173" t="s">
        <v>385</v>
      </c>
      <c r="O173" t="s">
        <v>385</v>
      </c>
      <c r="P173" t="s">
        <v>591</v>
      </c>
      <c r="Q173" t="s">
        <v>592</v>
      </c>
      <c r="R173" t="s">
        <v>616</v>
      </c>
      <c r="S173" t="s">
        <v>96</v>
      </c>
      <c r="T173" t="s">
        <v>97</v>
      </c>
      <c r="U173" t="s">
        <v>98</v>
      </c>
      <c r="V173" t="s">
        <v>99</v>
      </c>
      <c r="W173" t="s">
        <v>98</v>
      </c>
      <c r="X173" t="s">
        <v>100</v>
      </c>
    </row>
    <row r="174" spans="1:24" x14ac:dyDescent="0.2">
      <c r="A174" t="s">
        <v>656</v>
      </c>
      <c r="B174">
        <v>780.24099999999999</v>
      </c>
      <c r="C174" t="s">
        <v>60</v>
      </c>
      <c r="D174" t="s">
        <v>612</v>
      </c>
      <c r="E174" t="s">
        <v>613</v>
      </c>
      <c r="F174" t="s">
        <v>614</v>
      </c>
      <c r="H174" t="s">
        <v>64</v>
      </c>
      <c r="I174" t="s">
        <v>102</v>
      </c>
      <c r="J174" t="s">
        <v>103</v>
      </c>
      <c r="K174">
        <v>4250</v>
      </c>
      <c r="L174" t="s">
        <v>657</v>
      </c>
      <c r="M174" t="s">
        <v>657</v>
      </c>
      <c r="N174" t="s">
        <v>385</v>
      </c>
      <c r="O174" t="s">
        <v>385</v>
      </c>
      <c r="P174" t="s">
        <v>591</v>
      </c>
      <c r="Q174" t="s">
        <v>592</v>
      </c>
      <c r="R174" t="s">
        <v>616</v>
      </c>
      <c r="S174" t="s">
        <v>106</v>
      </c>
      <c r="T174" t="s">
        <v>107</v>
      </c>
      <c r="U174" t="s">
        <v>108</v>
      </c>
      <c r="V174" t="s">
        <v>77</v>
      </c>
      <c r="W174" t="s">
        <v>108</v>
      </c>
      <c r="X174" t="s">
        <v>109</v>
      </c>
    </row>
    <row r="175" spans="1:24" x14ac:dyDescent="0.2">
      <c r="A175" t="s">
        <v>658</v>
      </c>
      <c r="B175">
        <v>780.24099999999999</v>
      </c>
      <c r="C175" t="s">
        <v>60</v>
      </c>
      <c r="D175" t="s">
        <v>612</v>
      </c>
      <c r="E175" t="s">
        <v>613</v>
      </c>
      <c r="F175" t="s">
        <v>614</v>
      </c>
      <c r="H175" t="s">
        <v>64</v>
      </c>
      <c r="I175" t="s">
        <v>131</v>
      </c>
      <c r="J175" t="s">
        <v>132</v>
      </c>
      <c r="K175">
        <v>4750</v>
      </c>
      <c r="L175" t="s">
        <v>659</v>
      </c>
      <c r="M175" t="s">
        <v>659</v>
      </c>
      <c r="N175" t="s">
        <v>385</v>
      </c>
      <c r="O175" t="s">
        <v>385</v>
      </c>
      <c r="P175" t="s">
        <v>591</v>
      </c>
      <c r="Q175" t="s">
        <v>592</v>
      </c>
      <c r="R175" t="s">
        <v>616</v>
      </c>
      <c r="S175" t="s">
        <v>149</v>
      </c>
      <c r="T175" t="s">
        <v>136</v>
      </c>
      <c r="U175" t="s">
        <v>131</v>
      </c>
      <c r="V175" t="s">
        <v>99</v>
      </c>
      <c r="W175" t="s">
        <v>131</v>
      </c>
      <c r="X175" t="s">
        <v>660</v>
      </c>
    </row>
    <row r="176" spans="1:24" x14ac:dyDescent="0.2">
      <c r="A176" t="s">
        <v>661</v>
      </c>
      <c r="B176">
        <v>780.24099999999999</v>
      </c>
      <c r="C176" t="s">
        <v>60</v>
      </c>
      <c r="D176" t="s">
        <v>61</v>
      </c>
      <c r="E176" t="s">
        <v>512</v>
      </c>
      <c r="F176" t="s">
        <v>513</v>
      </c>
      <c r="H176" t="s">
        <v>64</v>
      </c>
      <c r="I176" t="s">
        <v>131</v>
      </c>
      <c r="J176" t="s">
        <v>132</v>
      </c>
      <c r="K176">
        <v>4250</v>
      </c>
      <c r="L176" t="s">
        <v>662</v>
      </c>
      <c r="M176" t="s">
        <v>662</v>
      </c>
      <c r="N176" t="s">
        <v>385</v>
      </c>
      <c r="O176" t="s">
        <v>385</v>
      </c>
      <c r="P176" t="s">
        <v>591</v>
      </c>
      <c r="Q176" t="s">
        <v>592</v>
      </c>
      <c r="R176" t="s">
        <v>515</v>
      </c>
      <c r="S176" t="s">
        <v>149</v>
      </c>
      <c r="T176" t="s">
        <v>136</v>
      </c>
      <c r="U176" t="s">
        <v>131</v>
      </c>
      <c r="V176" t="s">
        <v>99</v>
      </c>
      <c r="W176" t="s">
        <v>131</v>
      </c>
      <c r="X176" t="s">
        <v>660</v>
      </c>
    </row>
    <row r="177" spans="1:24" x14ac:dyDescent="0.2">
      <c r="A177" t="s">
        <v>663</v>
      </c>
      <c r="B177">
        <v>780.24099999999999</v>
      </c>
      <c r="C177" t="s">
        <v>60</v>
      </c>
      <c r="D177" t="s">
        <v>156</v>
      </c>
      <c r="E177" t="s">
        <v>89</v>
      </c>
      <c r="F177" t="s">
        <v>664</v>
      </c>
      <c r="H177" t="s">
        <v>64</v>
      </c>
      <c r="I177" t="s">
        <v>139</v>
      </c>
      <c r="J177" t="s">
        <v>140</v>
      </c>
      <c r="K177">
        <v>3250</v>
      </c>
      <c r="L177" t="s">
        <v>665</v>
      </c>
      <c r="M177" t="s">
        <v>665</v>
      </c>
      <c r="N177" t="s">
        <v>385</v>
      </c>
      <c r="O177" t="s">
        <v>385</v>
      </c>
      <c r="P177" t="s">
        <v>591</v>
      </c>
      <c r="Q177" t="s">
        <v>592</v>
      </c>
      <c r="R177" t="s">
        <v>608</v>
      </c>
      <c r="S177" t="s">
        <v>153</v>
      </c>
      <c r="T177" t="s">
        <v>144</v>
      </c>
      <c r="U177" t="s">
        <v>139</v>
      </c>
      <c r="V177" t="s">
        <v>99</v>
      </c>
      <c r="W177" t="s">
        <v>139</v>
      </c>
      <c r="X177" t="s">
        <v>145</v>
      </c>
    </row>
    <row r="178" spans="1:24" x14ac:dyDescent="0.2">
      <c r="A178" t="s">
        <v>666</v>
      </c>
      <c r="B178">
        <v>780.24099999999999</v>
      </c>
      <c r="C178" t="s">
        <v>60</v>
      </c>
      <c r="D178" t="s">
        <v>61</v>
      </c>
      <c r="E178" t="s">
        <v>512</v>
      </c>
      <c r="F178" t="s">
        <v>513</v>
      </c>
      <c r="H178" t="s">
        <v>64</v>
      </c>
      <c r="I178" t="s">
        <v>139</v>
      </c>
      <c r="J178" t="s">
        <v>140</v>
      </c>
      <c r="K178">
        <v>4250</v>
      </c>
      <c r="L178" t="s">
        <v>667</v>
      </c>
      <c r="M178" t="s">
        <v>667</v>
      </c>
      <c r="N178" t="s">
        <v>385</v>
      </c>
      <c r="O178" t="s">
        <v>385</v>
      </c>
      <c r="P178" t="s">
        <v>591</v>
      </c>
      <c r="Q178" t="s">
        <v>592</v>
      </c>
      <c r="R178" t="s">
        <v>515</v>
      </c>
      <c r="S178" t="s">
        <v>153</v>
      </c>
      <c r="T178" t="s">
        <v>144</v>
      </c>
      <c r="U178" t="s">
        <v>139</v>
      </c>
      <c r="V178" t="s">
        <v>99</v>
      </c>
      <c r="W178" t="s">
        <v>139</v>
      </c>
      <c r="X178" t="s">
        <v>145</v>
      </c>
    </row>
    <row r="179" spans="1:24" x14ac:dyDescent="0.2">
      <c r="A179" t="s">
        <v>668</v>
      </c>
      <c r="B179">
        <v>780.24099999999999</v>
      </c>
      <c r="C179" t="s">
        <v>60</v>
      </c>
      <c r="D179" t="s">
        <v>612</v>
      </c>
      <c r="E179" t="s">
        <v>613</v>
      </c>
      <c r="F179" t="s">
        <v>614</v>
      </c>
      <c r="G179" t="s">
        <v>156</v>
      </c>
      <c r="H179" t="s">
        <v>278</v>
      </c>
      <c r="I179" t="s">
        <v>91</v>
      </c>
      <c r="J179" t="s">
        <v>92</v>
      </c>
      <c r="K179">
        <v>5050</v>
      </c>
      <c r="L179" t="s">
        <v>669</v>
      </c>
      <c r="M179" t="s">
        <v>669</v>
      </c>
      <c r="N179" t="s">
        <v>385</v>
      </c>
      <c r="O179" t="s">
        <v>385</v>
      </c>
      <c r="P179" t="s">
        <v>591</v>
      </c>
      <c r="Q179" t="s">
        <v>592</v>
      </c>
      <c r="R179" t="s">
        <v>616</v>
      </c>
      <c r="S179" t="s">
        <v>280</v>
      </c>
      <c r="T179" t="s">
        <v>97</v>
      </c>
      <c r="U179" t="s">
        <v>98</v>
      </c>
      <c r="V179" t="s">
        <v>99</v>
      </c>
      <c r="W179" t="s">
        <v>98</v>
      </c>
      <c r="X179" t="s">
        <v>100</v>
      </c>
    </row>
    <row r="180" spans="1:24" x14ac:dyDescent="0.2">
      <c r="A180" t="s">
        <v>670</v>
      </c>
      <c r="B180">
        <v>780.24099999999999</v>
      </c>
      <c r="C180" t="s">
        <v>60</v>
      </c>
      <c r="D180" t="s">
        <v>612</v>
      </c>
      <c r="E180" t="s">
        <v>613</v>
      </c>
      <c r="F180" t="s">
        <v>614</v>
      </c>
      <c r="G180" t="s">
        <v>156</v>
      </c>
      <c r="H180" t="s">
        <v>278</v>
      </c>
      <c r="I180" t="s">
        <v>102</v>
      </c>
      <c r="J180" t="s">
        <v>103</v>
      </c>
      <c r="K180">
        <v>4950</v>
      </c>
      <c r="L180" t="s">
        <v>671</v>
      </c>
      <c r="M180" t="s">
        <v>671</v>
      </c>
      <c r="N180" t="s">
        <v>385</v>
      </c>
      <c r="O180" t="s">
        <v>385</v>
      </c>
      <c r="P180" t="s">
        <v>591</v>
      </c>
      <c r="Q180" t="s">
        <v>592</v>
      </c>
      <c r="R180" t="s">
        <v>616</v>
      </c>
      <c r="S180" t="s">
        <v>283</v>
      </c>
      <c r="T180" t="s">
        <v>284</v>
      </c>
      <c r="U180" t="s">
        <v>285</v>
      </c>
      <c r="V180" t="s">
        <v>99</v>
      </c>
      <c r="W180" t="s">
        <v>285</v>
      </c>
      <c r="X180" t="s">
        <v>672</v>
      </c>
    </row>
    <row r="181" spans="1:24" x14ac:dyDescent="0.2">
      <c r="A181" t="s">
        <v>673</v>
      </c>
      <c r="B181">
        <v>780.24099999999999</v>
      </c>
      <c r="C181" t="s">
        <v>60</v>
      </c>
      <c r="D181" t="s">
        <v>612</v>
      </c>
      <c r="E181" t="s">
        <v>613</v>
      </c>
      <c r="F181" t="s">
        <v>614</v>
      </c>
      <c r="G181" t="s">
        <v>156</v>
      </c>
      <c r="H181" t="s">
        <v>278</v>
      </c>
      <c r="I181" t="s">
        <v>131</v>
      </c>
      <c r="J181" t="s">
        <v>132</v>
      </c>
      <c r="K181">
        <v>5450</v>
      </c>
      <c r="L181" t="s">
        <v>674</v>
      </c>
      <c r="M181" t="s">
        <v>674</v>
      </c>
      <c r="N181" t="s">
        <v>385</v>
      </c>
      <c r="O181" t="s">
        <v>385</v>
      </c>
      <c r="P181" t="s">
        <v>591</v>
      </c>
      <c r="Q181" t="s">
        <v>592</v>
      </c>
      <c r="R181" t="s">
        <v>616</v>
      </c>
      <c r="S181" t="s">
        <v>289</v>
      </c>
      <c r="T181" t="s">
        <v>136</v>
      </c>
      <c r="U181" t="s">
        <v>131</v>
      </c>
      <c r="V181" t="s">
        <v>99</v>
      </c>
      <c r="W181" t="s">
        <v>131</v>
      </c>
      <c r="X181" t="s">
        <v>660</v>
      </c>
    </row>
    <row r="182" spans="1:24" x14ac:dyDescent="0.2">
      <c r="A182" t="s">
        <v>675</v>
      </c>
      <c r="B182">
        <v>780.24099999999999</v>
      </c>
      <c r="C182" t="s">
        <v>60</v>
      </c>
      <c r="D182" t="s">
        <v>612</v>
      </c>
      <c r="E182" t="s">
        <v>613</v>
      </c>
      <c r="F182" t="s">
        <v>614</v>
      </c>
      <c r="H182" t="s">
        <v>64</v>
      </c>
      <c r="I182" t="s">
        <v>139</v>
      </c>
      <c r="J182" t="s">
        <v>140</v>
      </c>
      <c r="K182">
        <v>4750</v>
      </c>
      <c r="L182" t="s">
        <v>676</v>
      </c>
      <c r="M182" t="s">
        <v>676</v>
      </c>
      <c r="N182" t="s">
        <v>385</v>
      </c>
      <c r="O182" t="s">
        <v>385</v>
      </c>
      <c r="P182" t="s">
        <v>591</v>
      </c>
      <c r="Q182" t="s">
        <v>592</v>
      </c>
      <c r="R182" t="s">
        <v>616</v>
      </c>
      <c r="S182" t="s">
        <v>153</v>
      </c>
      <c r="T182" t="s">
        <v>144</v>
      </c>
      <c r="U182" t="s">
        <v>139</v>
      </c>
      <c r="V182" t="s">
        <v>99</v>
      </c>
      <c r="W182" t="s">
        <v>139</v>
      </c>
      <c r="X182" t="s">
        <v>145</v>
      </c>
    </row>
    <row r="183" spans="1:24" x14ac:dyDescent="0.2">
      <c r="A183" t="s">
        <v>677</v>
      </c>
      <c r="B183">
        <v>780.24099999999999</v>
      </c>
      <c r="C183" t="s">
        <v>60</v>
      </c>
      <c r="D183" t="s">
        <v>156</v>
      </c>
      <c r="E183" t="s">
        <v>89</v>
      </c>
      <c r="F183" t="s">
        <v>606</v>
      </c>
      <c r="H183" t="s">
        <v>64</v>
      </c>
      <c r="I183" t="s">
        <v>642</v>
      </c>
      <c r="J183" t="s">
        <v>643</v>
      </c>
      <c r="K183">
        <v>2900</v>
      </c>
      <c r="L183" t="s">
        <v>678</v>
      </c>
      <c r="M183" t="s">
        <v>678</v>
      </c>
      <c r="N183" t="s">
        <v>385</v>
      </c>
      <c r="O183" t="s">
        <v>385</v>
      </c>
      <c r="P183" t="s">
        <v>591</v>
      </c>
      <c r="Q183" t="s">
        <v>592</v>
      </c>
      <c r="R183" t="s">
        <v>608</v>
      </c>
      <c r="S183" t="s">
        <v>645</v>
      </c>
      <c r="T183" t="s">
        <v>646</v>
      </c>
      <c r="U183" t="s">
        <v>647</v>
      </c>
      <c r="V183" t="s">
        <v>99</v>
      </c>
      <c r="W183" t="s">
        <v>647</v>
      </c>
      <c r="X183" t="s">
        <v>679</v>
      </c>
    </row>
    <row r="184" spans="1:24" x14ac:dyDescent="0.2">
      <c r="A184" t="s">
        <v>680</v>
      </c>
      <c r="B184">
        <v>780.24099999999999</v>
      </c>
      <c r="C184" t="s">
        <v>60</v>
      </c>
      <c r="D184" t="s">
        <v>156</v>
      </c>
      <c r="E184" t="s">
        <v>62</v>
      </c>
      <c r="F184" t="s">
        <v>681</v>
      </c>
      <c r="H184" t="s">
        <v>64</v>
      </c>
      <c r="I184" t="s">
        <v>65</v>
      </c>
      <c r="J184" t="s">
        <v>66</v>
      </c>
      <c r="K184">
        <v>5250</v>
      </c>
      <c r="L184" t="s">
        <v>682</v>
      </c>
      <c r="M184" t="s">
        <v>682</v>
      </c>
      <c r="N184" t="s">
        <v>385</v>
      </c>
      <c r="O184" t="s">
        <v>385</v>
      </c>
      <c r="P184" t="s">
        <v>591</v>
      </c>
      <c r="Q184" t="s">
        <v>592</v>
      </c>
      <c r="R184" t="s">
        <v>683</v>
      </c>
      <c r="S184" t="s">
        <v>74</v>
      </c>
      <c r="T184" t="s">
        <v>75</v>
      </c>
      <c r="U184" t="s">
        <v>76</v>
      </c>
      <c r="V184" t="s">
        <v>99</v>
      </c>
      <c r="W184" t="s">
        <v>76</v>
      </c>
      <c r="X184" t="s">
        <v>684</v>
      </c>
    </row>
    <row r="185" spans="1:24" x14ac:dyDescent="0.2">
      <c r="A185" t="s">
        <v>685</v>
      </c>
      <c r="B185">
        <v>780.24099999999999</v>
      </c>
      <c r="C185" t="s">
        <v>60</v>
      </c>
      <c r="D185" t="s">
        <v>156</v>
      </c>
      <c r="E185" t="s">
        <v>80</v>
      </c>
      <c r="F185" t="s">
        <v>686</v>
      </c>
      <c r="H185" t="s">
        <v>64</v>
      </c>
      <c r="I185" t="s">
        <v>82</v>
      </c>
      <c r="J185" t="s">
        <v>83</v>
      </c>
      <c r="K185">
        <v>5750</v>
      </c>
      <c r="L185" t="s">
        <v>687</v>
      </c>
      <c r="M185" t="s">
        <v>687</v>
      </c>
      <c r="N185" t="s">
        <v>385</v>
      </c>
      <c r="O185" t="s">
        <v>385</v>
      </c>
      <c r="P185" t="s">
        <v>591</v>
      </c>
      <c r="Q185" t="s">
        <v>592</v>
      </c>
      <c r="R185" t="s">
        <v>688</v>
      </c>
      <c r="S185" t="s">
        <v>87</v>
      </c>
      <c r="T185" t="s">
        <v>75</v>
      </c>
      <c r="U185" t="s">
        <v>76</v>
      </c>
      <c r="V185" t="s">
        <v>99</v>
      </c>
      <c r="W185" t="s">
        <v>76</v>
      </c>
      <c r="X185" t="s">
        <v>684</v>
      </c>
    </row>
    <row r="186" spans="1:24" x14ac:dyDescent="0.2">
      <c r="A186" t="s">
        <v>689</v>
      </c>
      <c r="B186">
        <v>780.24099999999999</v>
      </c>
      <c r="C186" t="s">
        <v>60</v>
      </c>
      <c r="D186" t="s">
        <v>156</v>
      </c>
      <c r="E186" t="s">
        <v>89</v>
      </c>
      <c r="F186" t="s">
        <v>606</v>
      </c>
      <c r="H186" t="s">
        <v>64</v>
      </c>
      <c r="I186" t="s">
        <v>91</v>
      </c>
      <c r="J186" t="s">
        <v>92</v>
      </c>
      <c r="K186">
        <v>2850</v>
      </c>
      <c r="L186" t="s">
        <v>690</v>
      </c>
      <c r="M186" t="s">
        <v>690</v>
      </c>
      <c r="N186" t="s">
        <v>385</v>
      </c>
      <c r="O186" t="s">
        <v>385</v>
      </c>
      <c r="P186" t="s">
        <v>591</v>
      </c>
      <c r="Q186" t="s">
        <v>592</v>
      </c>
      <c r="R186" t="s">
        <v>608</v>
      </c>
      <c r="S186" t="s">
        <v>96</v>
      </c>
      <c r="T186" t="s">
        <v>97</v>
      </c>
      <c r="U186" t="s">
        <v>98</v>
      </c>
      <c r="V186" t="s">
        <v>99</v>
      </c>
      <c r="W186" t="s">
        <v>98</v>
      </c>
      <c r="X186" t="s">
        <v>100</v>
      </c>
    </row>
    <row r="187" spans="1:24" x14ac:dyDescent="0.2">
      <c r="A187" t="s">
        <v>691</v>
      </c>
      <c r="B187">
        <v>780.24099999999999</v>
      </c>
      <c r="C187" t="s">
        <v>60</v>
      </c>
      <c r="D187" t="s">
        <v>156</v>
      </c>
      <c r="E187" t="s">
        <v>89</v>
      </c>
      <c r="F187" t="s">
        <v>606</v>
      </c>
      <c r="H187" t="s">
        <v>64</v>
      </c>
      <c r="I187" t="s">
        <v>102</v>
      </c>
      <c r="J187" t="s">
        <v>103</v>
      </c>
      <c r="K187">
        <v>2750</v>
      </c>
      <c r="L187" t="s">
        <v>692</v>
      </c>
      <c r="M187" t="s">
        <v>692</v>
      </c>
      <c r="N187" t="s">
        <v>385</v>
      </c>
      <c r="O187" t="s">
        <v>385</v>
      </c>
      <c r="P187" t="s">
        <v>591</v>
      </c>
      <c r="Q187" t="s">
        <v>592</v>
      </c>
      <c r="R187" t="s">
        <v>608</v>
      </c>
      <c r="S187" t="s">
        <v>106</v>
      </c>
      <c r="T187" t="s">
        <v>107</v>
      </c>
      <c r="U187" t="s">
        <v>108</v>
      </c>
      <c r="V187" t="s">
        <v>99</v>
      </c>
      <c r="W187" t="s">
        <v>108</v>
      </c>
      <c r="X187" t="s">
        <v>693</v>
      </c>
    </row>
    <row r="188" spans="1:24" x14ac:dyDescent="0.2">
      <c r="A188" t="s">
        <v>694</v>
      </c>
      <c r="B188">
        <v>780.24099999999999</v>
      </c>
      <c r="C188" t="s">
        <v>60</v>
      </c>
      <c r="D188" t="s">
        <v>156</v>
      </c>
      <c r="E188" t="s">
        <v>89</v>
      </c>
      <c r="F188" t="s">
        <v>606</v>
      </c>
      <c r="G188" t="s">
        <v>156</v>
      </c>
      <c r="H188" t="s">
        <v>278</v>
      </c>
      <c r="I188" t="s">
        <v>91</v>
      </c>
      <c r="J188" t="s">
        <v>92</v>
      </c>
      <c r="K188">
        <v>3550</v>
      </c>
      <c r="L188" t="s">
        <v>695</v>
      </c>
      <c r="M188" t="s">
        <v>695</v>
      </c>
      <c r="N188" t="s">
        <v>385</v>
      </c>
      <c r="O188" t="s">
        <v>385</v>
      </c>
      <c r="P188" t="s">
        <v>591</v>
      </c>
      <c r="Q188" t="s">
        <v>592</v>
      </c>
      <c r="R188" t="s">
        <v>608</v>
      </c>
      <c r="S188" t="s">
        <v>280</v>
      </c>
      <c r="T188" t="s">
        <v>97</v>
      </c>
      <c r="U188" t="s">
        <v>98</v>
      </c>
      <c r="V188" t="s">
        <v>99</v>
      </c>
      <c r="W188" t="s">
        <v>98</v>
      </c>
      <c r="X188" t="s">
        <v>100</v>
      </c>
    </row>
    <row r="189" spans="1:24" x14ac:dyDescent="0.2">
      <c r="A189" t="s">
        <v>696</v>
      </c>
      <c r="B189">
        <v>780.24099999999999</v>
      </c>
      <c r="C189" t="s">
        <v>60</v>
      </c>
      <c r="D189" t="s">
        <v>156</v>
      </c>
      <c r="E189" t="s">
        <v>89</v>
      </c>
      <c r="F189" t="s">
        <v>606</v>
      </c>
      <c r="G189" t="s">
        <v>156</v>
      </c>
      <c r="H189" t="s">
        <v>278</v>
      </c>
      <c r="I189" t="s">
        <v>102</v>
      </c>
      <c r="J189" t="s">
        <v>103</v>
      </c>
      <c r="K189">
        <v>3450</v>
      </c>
      <c r="L189" t="s">
        <v>697</v>
      </c>
      <c r="M189" t="s">
        <v>697</v>
      </c>
      <c r="N189" t="s">
        <v>385</v>
      </c>
      <c r="O189" t="s">
        <v>385</v>
      </c>
      <c r="P189" t="s">
        <v>591</v>
      </c>
      <c r="Q189" t="s">
        <v>592</v>
      </c>
      <c r="R189" t="s">
        <v>608</v>
      </c>
      <c r="S189" t="s">
        <v>283</v>
      </c>
      <c r="T189" t="s">
        <v>284</v>
      </c>
      <c r="U189" t="s">
        <v>285</v>
      </c>
      <c r="V189" t="s">
        <v>99</v>
      </c>
      <c r="W189" t="s">
        <v>285</v>
      </c>
      <c r="X189" t="s">
        <v>672</v>
      </c>
    </row>
    <row r="190" spans="1:24" x14ac:dyDescent="0.2">
      <c r="A190" t="s">
        <v>698</v>
      </c>
      <c r="B190">
        <v>780.24099999999999</v>
      </c>
      <c r="C190" t="s">
        <v>60</v>
      </c>
      <c r="D190" t="s">
        <v>156</v>
      </c>
      <c r="E190" t="s">
        <v>89</v>
      </c>
      <c r="F190" t="s">
        <v>606</v>
      </c>
      <c r="G190" t="s">
        <v>156</v>
      </c>
      <c r="H190" t="s">
        <v>278</v>
      </c>
      <c r="I190" t="s">
        <v>131</v>
      </c>
      <c r="J190" t="s">
        <v>132</v>
      </c>
      <c r="K190">
        <v>3950</v>
      </c>
      <c r="L190" t="s">
        <v>699</v>
      </c>
      <c r="M190" t="s">
        <v>699</v>
      </c>
      <c r="N190" t="s">
        <v>385</v>
      </c>
      <c r="O190" t="s">
        <v>385</v>
      </c>
      <c r="P190" t="s">
        <v>591</v>
      </c>
      <c r="Q190" t="s">
        <v>592</v>
      </c>
      <c r="R190" t="s">
        <v>608</v>
      </c>
      <c r="S190" t="s">
        <v>289</v>
      </c>
      <c r="T190" t="s">
        <v>136</v>
      </c>
      <c r="U190" t="s">
        <v>131</v>
      </c>
      <c r="V190" t="s">
        <v>99</v>
      </c>
      <c r="W190" t="s">
        <v>131</v>
      </c>
      <c r="X190" t="s">
        <v>660</v>
      </c>
    </row>
    <row r="191" spans="1:24" x14ac:dyDescent="0.2">
      <c r="A191" t="s">
        <v>700</v>
      </c>
      <c r="B191">
        <v>780.24099999999999</v>
      </c>
      <c r="C191" t="s">
        <v>60</v>
      </c>
      <c r="D191" t="s">
        <v>156</v>
      </c>
      <c r="E191" t="s">
        <v>62</v>
      </c>
      <c r="F191" t="s">
        <v>681</v>
      </c>
      <c r="G191" t="s">
        <v>111</v>
      </c>
      <c r="H191" t="s">
        <v>112</v>
      </c>
      <c r="I191" t="s">
        <v>65</v>
      </c>
      <c r="J191" t="s">
        <v>66</v>
      </c>
      <c r="K191">
        <v>5950</v>
      </c>
      <c r="L191" t="s">
        <v>701</v>
      </c>
      <c r="M191" t="s">
        <v>701</v>
      </c>
      <c r="N191" t="s">
        <v>385</v>
      </c>
      <c r="O191" t="s">
        <v>385</v>
      </c>
      <c r="P191" t="s">
        <v>591</v>
      </c>
      <c r="Q191" t="s">
        <v>592</v>
      </c>
      <c r="R191" t="s">
        <v>683</v>
      </c>
      <c r="S191" t="s">
        <v>114</v>
      </c>
      <c r="T191" t="s">
        <v>75</v>
      </c>
      <c r="U191" t="s">
        <v>76</v>
      </c>
      <c r="V191" t="s">
        <v>99</v>
      </c>
      <c r="W191" t="s">
        <v>76</v>
      </c>
      <c r="X191" t="s">
        <v>684</v>
      </c>
    </row>
    <row r="192" spans="1:24" x14ac:dyDescent="0.2">
      <c r="A192" t="s">
        <v>702</v>
      </c>
      <c r="B192">
        <v>780.24099999999999</v>
      </c>
      <c r="C192" t="s">
        <v>60</v>
      </c>
      <c r="D192" t="s">
        <v>156</v>
      </c>
      <c r="E192" t="s">
        <v>80</v>
      </c>
      <c r="F192" t="s">
        <v>686</v>
      </c>
      <c r="G192" t="s">
        <v>111</v>
      </c>
      <c r="H192" t="s">
        <v>112</v>
      </c>
      <c r="I192" t="s">
        <v>82</v>
      </c>
      <c r="J192" t="s">
        <v>83</v>
      </c>
      <c r="K192">
        <v>6450</v>
      </c>
      <c r="L192" t="s">
        <v>703</v>
      </c>
      <c r="M192" t="s">
        <v>703</v>
      </c>
      <c r="N192" t="s">
        <v>385</v>
      </c>
      <c r="O192" t="s">
        <v>385</v>
      </c>
      <c r="P192" t="s">
        <v>591</v>
      </c>
      <c r="Q192" t="s">
        <v>592</v>
      </c>
      <c r="R192" t="s">
        <v>688</v>
      </c>
      <c r="S192" t="s">
        <v>118</v>
      </c>
      <c r="T192" t="s">
        <v>75</v>
      </c>
      <c r="U192" t="s">
        <v>76</v>
      </c>
      <c r="V192" t="s">
        <v>99</v>
      </c>
      <c r="W192" t="s">
        <v>76</v>
      </c>
      <c r="X192" t="s">
        <v>684</v>
      </c>
    </row>
    <row r="193" spans="1:24" x14ac:dyDescent="0.2">
      <c r="A193" t="s">
        <v>704</v>
      </c>
      <c r="B193">
        <v>780.24099999999999</v>
      </c>
      <c r="C193" t="s">
        <v>60</v>
      </c>
      <c r="D193" t="s">
        <v>156</v>
      </c>
      <c r="E193" t="s">
        <v>89</v>
      </c>
      <c r="F193" t="s">
        <v>606</v>
      </c>
      <c r="G193" t="s">
        <v>111</v>
      </c>
      <c r="H193" t="s">
        <v>112</v>
      </c>
      <c r="I193" t="s">
        <v>91</v>
      </c>
      <c r="J193" t="s">
        <v>92</v>
      </c>
      <c r="K193">
        <v>3550</v>
      </c>
      <c r="L193" t="s">
        <v>705</v>
      </c>
      <c r="M193" t="s">
        <v>705</v>
      </c>
      <c r="N193" t="s">
        <v>385</v>
      </c>
      <c r="O193" t="s">
        <v>385</v>
      </c>
      <c r="P193" t="s">
        <v>591</v>
      </c>
      <c r="Q193" t="s">
        <v>592</v>
      </c>
      <c r="R193" t="s">
        <v>608</v>
      </c>
      <c r="S193" t="s">
        <v>122</v>
      </c>
      <c r="T193" t="s">
        <v>97</v>
      </c>
      <c r="U193" t="s">
        <v>98</v>
      </c>
      <c r="V193" t="s">
        <v>99</v>
      </c>
      <c r="W193" t="s">
        <v>98</v>
      </c>
      <c r="X193" t="s">
        <v>100</v>
      </c>
    </row>
    <row r="194" spans="1:24" x14ac:dyDescent="0.2">
      <c r="A194" t="s">
        <v>706</v>
      </c>
      <c r="B194">
        <v>780.24099999999999</v>
      </c>
      <c r="C194" t="s">
        <v>60</v>
      </c>
      <c r="D194" t="s">
        <v>156</v>
      </c>
      <c r="E194" t="s">
        <v>89</v>
      </c>
      <c r="F194" t="s">
        <v>606</v>
      </c>
      <c r="G194" t="s">
        <v>111</v>
      </c>
      <c r="H194" t="s">
        <v>112</v>
      </c>
      <c r="I194" t="s">
        <v>102</v>
      </c>
      <c r="J194" t="s">
        <v>103</v>
      </c>
      <c r="K194">
        <v>3450</v>
      </c>
      <c r="L194" t="s">
        <v>707</v>
      </c>
      <c r="M194" t="s">
        <v>707</v>
      </c>
      <c r="N194" t="s">
        <v>385</v>
      </c>
      <c r="O194" t="s">
        <v>385</v>
      </c>
      <c r="P194" t="s">
        <v>591</v>
      </c>
      <c r="Q194" t="s">
        <v>592</v>
      </c>
      <c r="R194" t="s">
        <v>608</v>
      </c>
      <c r="S194" t="s">
        <v>126</v>
      </c>
      <c r="T194" t="s">
        <v>127</v>
      </c>
      <c r="U194" t="s">
        <v>128</v>
      </c>
      <c r="V194" t="s">
        <v>99</v>
      </c>
      <c r="W194" t="s">
        <v>128</v>
      </c>
      <c r="X194" t="s">
        <v>708</v>
      </c>
    </row>
    <row r="195" spans="1:24" x14ac:dyDescent="0.2">
      <c r="A195" t="s">
        <v>709</v>
      </c>
      <c r="B195">
        <v>780.24099999999999</v>
      </c>
      <c r="C195" t="s">
        <v>60</v>
      </c>
      <c r="D195" t="s">
        <v>156</v>
      </c>
      <c r="E195" t="s">
        <v>89</v>
      </c>
      <c r="F195" t="s">
        <v>606</v>
      </c>
      <c r="G195" t="s">
        <v>111</v>
      </c>
      <c r="H195" t="s">
        <v>112</v>
      </c>
      <c r="I195" t="s">
        <v>131</v>
      </c>
      <c r="J195" t="s">
        <v>132</v>
      </c>
      <c r="K195">
        <v>3950</v>
      </c>
      <c r="L195" t="s">
        <v>710</v>
      </c>
      <c r="M195" t="s">
        <v>710</v>
      </c>
      <c r="N195" t="s">
        <v>385</v>
      </c>
      <c r="O195" t="s">
        <v>385</v>
      </c>
      <c r="P195" t="s">
        <v>591</v>
      </c>
      <c r="Q195" t="s">
        <v>592</v>
      </c>
      <c r="R195" t="s">
        <v>608</v>
      </c>
      <c r="S195" t="s">
        <v>135</v>
      </c>
      <c r="T195" t="s">
        <v>136</v>
      </c>
      <c r="U195" t="s">
        <v>131</v>
      </c>
      <c r="V195" t="s">
        <v>99</v>
      </c>
      <c r="W195" t="s">
        <v>131</v>
      </c>
      <c r="X195" t="s">
        <v>660</v>
      </c>
    </row>
    <row r="196" spans="1:24" x14ac:dyDescent="0.2">
      <c r="A196" t="s">
        <v>711</v>
      </c>
      <c r="B196">
        <v>780.24099999999999</v>
      </c>
      <c r="C196" t="s">
        <v>60</v>
      </c>
      <c r="D196" t="s">
        <v>156</v>
      </c>
      <c r="E196" t="s">
        <v>89</v>
      </c>
      <c r="F196" t="s">
        <v>606</v>
      </c>
      <c r="G196" t="s">
        <v>306</v>
      </c>
      <c r="H196" t="s">
        <v>307</v>
      </c>
      <c r="I196" t="s">
        <v>91</v>
      </c>
      <c r="J196" t="s">
        <v>92</v>
      </c>
      <c r="K196">
        <v>4250</v>
      </c>
      <c r="L196" t="s">
        <v>712</v>
      </c>
      <c r="M196" t="s">
        <v>712</v>
      </c>
      <c r="N196" t="s">
        <v>385</v>
      </c>
      <c r="O196" t="s">
        <v>385</v>
      </c>
      <c r="P196" t="s">
        <v>591</v>
      </c>
      <c r="Q196" t="s">
        <v>592</v>
      </c>
      <c r="R196" t="s">
        <v>608</v>
      </c>
      <c r="S196" t="s">
        <v>309</v>
      </c>
      <c r="T196" t="s">
        <v>97</v>
      </c>
      <c r="U196" t="s">
        <v>98</v>
      </c>
      <c r="V196" t="s">
        <v>99</v>
      </c>
      <c r="W196" t="s">
        <v>98</v>
      </c>
      <c r="X196" t="s">
        <v>100</v>
      </c>
    </row>
    <row r="197" spans="1:24" x14ac:dyDescent="0.2">
      <c r="A197" t="s">
        <v>713</v>
      </c>
      <c r="B197">
        <v>780.24099999999999</v>
      </c>
      <c r="C197" t="s">
        <v>60</v>
      </c>
      <c r="D197" t="s">
        <v>156</v>
      </c>
      <c r="E197" t="s">
        <v>89</v>
      </c>
      <c r="F197" t="s">
        <v>606</v>
      </c>
      <c r="G197" t="s">
        <v>306</v>
      </c>
      <c r="H197" t="s">
        <v>307</v>
      </c>
      <c r="I197" t="s">
        <v>102</v>
      </c>
      <c r="J197" t="s">
        <v>103</v>
      </c>
      <c r="K197">
        <v>4150</v>
      </c>
      <c r="L197" t="s">
        <v>714</v>
      </c>
      <c r="M197" t="s">
        <v>714</v>
      </c>
      <c r="N197" t="s">
        <v>385</v>
      </c>
      <c r="O197" t="s">
        <v>385</v>
      </c>
      <c r="P197" t="s">
        <v>591</v>
      </c>
      <c r="Q197" t="s">
        <v>592</v>
      </c>
      <c r="R197" t="s">
        <v>608</v>
      </c>
      <c r="S197" t="s">
        <v>312</v>
      </c>
      <c r="T197" t="s">
        <v>313</v>
      </c>
      <c r="U197" t="s">
        <v>314</v>
      </c>
      <c r="V197" t="s">
        <v>99</v>
      </c>
      <c r="W197" t="s">
        <v>314</v>
      </c>
      <c r="X197" t="s">
        <v>715</v>
      </c>
    </row>
    <row r="198" spans="1:24" x14ac:dyDescent="0.2">
      <c r="A198" t="s">
        <v>716</v>
      </c>
      <c r="B198">
        <v>780.24099999999999</v>
      </c>
      <c r="C198" t="s">
        <v>60</v>
      </c>
      <c r="D198" t="s">
        <v>156</v>
      </c>
      <c r="E198" t="s">
        <v>89</v>
      </c>
      <c r="F198" t="s">
        <v>606</v>
      </c>
      <c r="G198" t="s">
        <v>306</v>
      </c>
      <c r="H198" t="s">
        <v>307</v>
      </c>
      <c r="I198" t="s">
        <v>131</v>
      </c>
      <c r="J198" t="s">
        <v>132</v>
      </c>
      <c r="K198">
        <v>4650</v>
      </c>
      <c r="L198" t="s">
        <v>717</v>
      </c>
      <c r="M198" t="s">
        <v>717</v>
      </c>
      <c r="N198" t="s">
        <v>385</v>
      </c>
      <c r="O198" t="s">
        <v>385</v>
      </c>
      <c r="P198" t="s">
        <v>591</v>
      </c>
      <c r="Q198" t="s">
        <v>592</v>
      </c>
      <c r="R198" t="s">
        <v>608</v>
      </c>
      <c r="S198" t="s">
        <v>318</v>
      </c>
      <c r="T198" t="s">
        <v>136</v>
      </c>
      <c r="U198" t="s">
        <v>131</v>
      </c>
      <c r="V198" t="s">
        <v>99</v>
      </c>
      <c r="W198" t="s">
        <v>131</v>
      </c>
      <c r="X198" t="s">
        <v>660</v>
      </c>
    </row>
    <row r="199" spans="1:24" x14ac:dyDescent="0.2">
      <c r="A199" t="s">
        <v>718</v>
      </c>
      <c r="B199">
        <v>780.24099999999999</v>
      </c>
      <c r="C199" t="s">
        <v>60</v>
      </c>
      <c r="D199" t="s">
        <v>156</v>
      </c>
      <c r="E199" t="s">
        <v>89</v>
      </c>
      <c r="F199" t="s">
        <v>606</v>
      </c>
      <c r="H199" t="s">
        <v>64</v>
      </c>
      <c r="I199" t="s">
        <v>131</v>
      </c>
      <c r="J199" t="s">
        <v>132</v>
      </c>
      <c r="K199">
        <v>3250</v>
      </c>
      <c r="L199" t="s">
        <v>719</v>
      </c>
      <c r="M199" t="s">
        <v>719</v>
      </c>
      <c r="N199" t="s">
        <v>385</v>
      </c>
      <c r="O199" t="s">
        <v>385</v>
      </c>
      <c r="P199" t="s">
        <v>591</v>
      </c>
      <c r="Q199" t="s">
        <v>592</v>
      </c>
      <c r="R199" t="s">
        <v>608</v>
      </c>
      <c r="S199" t="s">
        <v>149</v>
      </c>
      <c r="T199" t="s">
        <v>136</v>
      </c>
      <c r="U199" t="s">
        <v>131</v>
      </c>
      <c r="V199" t="s">
        <v>99</v>
      </c>
      <c r="W199" t="s">
        <v>131</v>
      </c>
      <c r="X199" t="s">
        <v>660</v>
      </c>
    </row>
    <row r="200" spans="1:24" x14ac:dyDescent="0.2">
      <c r="A200" t="s">
        <v>720</v>
      </c>
      <c r="B200" t="s">
        <v>721</v>
      </c>
      <c r="C200" t="s">
        <v>60</v>
      </c>
      <c r="D200" t="s">
        <v>61</v>
      </c>
      <c r="E200" t="s">
        <v>89</v>
      </c>
      <c r="F200" t="s">
        <v>341</v>
      </c>
      <c r="G200" t="s">
        <v>159</v>
      </c>
      <c r="H200" t="s">
        <v>160</v>
      </c>
      <c r="I200" t="s">
        <v>102</v>
      </c>
      <c r="J200" t="s">
        <v>103</v>
      </c>
      <c r="K200">
        <v>3850</v>
      </c>
      <c r="L200" t="s">
        <v>722</v>
      </c>
      <c r="M200" t="s">
        <v>722</v>
      </c>
      <c r="N200" t="s">
        <v>70</v>
      </c>
      <c r="O200" t="s">
        <v>70</v>
      </c>
      <c r="P200" t="s">
        <v>71</v>
      </c>
      <c r="Q200" t="s">
        <v>72</v>
      </c>
      <c r="R200" t="s">
        <v>95</v>
      </c>
      <c r="S200" t="s">
        <v>166</v>
      </c>
      <c r="T200" t="s">
        <v>107</v>
      </c>
      <c r="U200" t="s">
        <v>108</v>
      </c>
      <c r="V200" t="s">
        <v>77</v>
      </c>
      <c r="W200" t="s">
        <v>108</v>
      </c>
      <c r="X200" t="s">
        <v>109</v>
      </c>
    </row>
    <row r="201" spans="1:24" x14ac:dyDescent="0.2">
      <c r="A201" t="s">
        <v>723</v>
      </c>
      <c r="B201" t="s">
        <v>724</v>
      </c>
      <c r="C201" t="s">
        <v>60</v>
      </c>
      <c r="D201" t="s">
        <v>61</v>
      </c>
      <c r="E201" t="s">
        <v>89</v>
      </c>
      <c r="F201" t="s">
        <v>341</v>
      </c>
      <c r="G201" t="s">
        <v>159</v>
      </c>
      <c r="H201" t="s">
        <v>160</v>
      </c>
      <c r="I201" t="s">
        <v>102</v>
      </c>
      <c r="J201" t="s">
        <v>103</v>
      </c>
      <c r="K201">
        <v>3850</v>
      </c>
      <c r="L201" t="s">
        <v>725</v>
      </c>
      <c r="M201" t="s">
        <v>725</v>
      </c>
      <c r="N201" t="s">
        <v>170</v>
      </c>
      <c r="O201" t="s">
        <v>170</v>
      </c>
      <c r="P201" t="s">
        <v>171</v>
      </c>
      <c r="Q201" t="s">
        <v>176</v>
      </c>
      <c r="R201" t="s">
        <v>95</v>
      </c>
      <c r="S201" t="s">
        <v>166</v>
      </c>
      <c r="T201" t="s">
        <v>107</v>
      </c>
      <c r="U201" t="s">
        <v>108</v>
      </c>
      <c r="V201" t="s">
        <v>77</v>
      </c>
      <c r="W201" t="s">
        <v>108</v>
      </c>
      <c r="X201" t="s">
        <v>109</v>
      </c>
    </row>
    <row r="202" spans="1:24" x14ac:dyDescent="0.2">
      <c r="A202" t="s">
        <v>726</v>
      </c>
      <c r="B202" t="s">
        <v>727</v>
      </c>
      <c r="C202" t="s">
        <v>60</v>
      </c>
      <c r="D202" t="s">
        <v>61</v>
      </c>
      <c r="E202" t="s">
        <v>89</v>
      </c>
      <c r="F202" t="s">
        <v>341</v>
      </c>
      <c r="G202" t="s">
        <v>159</v>
      </c>
      <c r="H202" t="s">
        <v>160</v>
      </c>
      <c r="I202" t="s">
        <v>102</v>
      </c>
      <c r="J202" t="s">
        <v>103</v>
      </c>
      <c r="K202">
        <v>3850</v>
      </c>
      <c r="L202" t="s">
        <v>728</v>
      </c>
      <c r="M202" t="s">
        <v>728</v>
      </c>
      <c r="N202" t="s">
        <v>170</v>
      </c>
      <c r="O202" t="s">
        <v>170</v>
      </c>
      <c r="P202" t="s">
        <v>216</v>
      </c>
      <c r="Q202" t="s">
        <v>217</v>
      </c>
      <c r="R202" t="s">
        <v>95</v>
      </c>
      <c r="S202" t="s">
        <v>166</v>
      </c>
      <c r="T202" t="s">
        <v>107</v>
      </c>
      <c r="U202" t="s">
        <v>108</v>
      </c>
      <c r="V202" t="s">
        <v>77</v>
      </c>
      <c r="W202" t="s">
        <v>108</v>
      </c>
      <c r="X202" t="s">
        <v>109</v>
      </c>
    </row>
    <row r="203" spans="1:24" x14ac:dyDescent="0.2">
      <c r="A203" t="s">
        <v>729</v>
      </c>
      <c r="B203">
        <v>785</v>
      </c>
      <c r="C203" t="s">
        <v>60</v>
      </c>
      <c r="D203" t="s">
        <v>61</v>
      </c>
      <c r="E203" t="s">
        <v>89</v>
      </c>
      <c r="F203" t="s">
        <v>341</v>
      </c>
      <c r="H203" t="s">
        <v>64</v>
      </c>
      <c r="I203" t="s">
        <v>65</v>
      </c>
      <c r="J203" t="s">
        <v>66</v>
      </c>
      <c r="K203">
        <v>6250</v>
      </c>
      <c r="L203" t="s">
        <v>730</v>
      </c>
      <c r="M203" t="s">
        <v>730</v>
      </c>
      <c r="N203" t="s">
        <v>731</v>
      </c>
      <c r="O203" t="s">
        <v>731</v>
      </c>
      <c r="P203" t="s">
        <v>732</v>
      </c>
      <c r="Q203" t="s">
        <v>733</v>
      </c>
      <c r="R203" t="s">
        <v>95</v>
      </c>
      <c r="S203" t="s">
        <v>74</v>
      </c>
      <c r="T203" t="s">
        <v>75</v>
      </c>
      <c r="U203" t="s">
        <v>76</v>
      </c>
      <c r="V203" t="s">
        <v>99</v>
      </c>
      <c r="W203" t="s">
        <v>76</v>
      </c>
      <c r="X203" t="s">
        <v>684</v>
      </c>
    </row>
    <row r="204" spans="1:24" x14ac:dyDescent="0.2">
      <c r="A204" t="s">
        <v>734</v>
      </c>
      <c r="B204">
        <v>785</v>
      </c>
      <c r="C204" t="s">
        <v>60</v>
      </c>
      <c r="D204" t="s">
        <v>61</v>
      </c>
      <c r="E204" t="s">
        <v>62</v>
      </c>
      <c r="F204" t="s">
        <v>330</v>
      </c>
      <c r="H204" t="s">
        <v>64</v>
      </c>
      <c r="I204" t="s">
        <v>82</v>
      </c>
      <c r="J204" t="s">
        <v>83</v>
      </c>
      <c r="K204">
        <v>6750</v>
      </c>
      <c r="L204" t="s">
        <v>735</v>
      </c>
      <c r="M204" t="s">
        <v>735</v>
      </c>
      <c r="N204" t="s">
        <v>731</v>
      </c>
      <c r="O204" t="s">
        <v>731</v>
      </c>
      <c r="P204" t="s">
        <v>732</v>
      </c>
      <c r="Q204" t="s">
        <v>733</v>
      </c>
      <c r="R204" t="s">
        <v>73</v>
      </c>
      <c r="S204" t="s">
        <v>87</v>
      </c>
      <c r="T204" t="s">
        <v>75</v>
      </c>
      <c r="U204" t="s">
        <v>76</v>
      </c>
      <c r="V204" t="s">
        <v>99</v>
      </c>
      <c r="W204" t="s">
        <v>76</v>
      </c>
      <c r="X204" t="s">
        <v>684</v>
      </c>
    </row>
    <row r="205" spans="1:24" x14ac:dyDescent="0.2">
      <c r="A205" t="s">
        <v>736</v>
      </c>
      <c r="B205">
        <v>785</v>
      </c>
      <c r="C205" t="s">
        <v>60</v>
      </c>
      <c r="D205" t="s">
        <v>61</v>
      </c>
      <c r="E205" t="s">
        <v>512</v>
      </c>
      <c r="F205" t="s">
        <v>513</v>
      </c>
      <c r="H205" t="s">
        <v>64</v>
      </c>
      <c r="I205" t="s">
        <v>91</v>
      </c>
      <c r="J205" t="s">
        <v>92</v>
      </c>
      <c r="K205">
        <v>3850</v>
      </c>
      <c r="L205" t="s">
        <v>737</v>
      </c>
      <c r="M205" t="s">
        <v>737</v>
      </c>
      <c r="N205" t="s">
        <v>731</v>
      </c>
      <c r="O205" t="s">
        <v>731</v>
      </c>
      <c r="P205" t="s">
        <v>732</v>
      </c>
      <c r="Q205" t="s">
        <v>733</v>
      </c>
      <c r="R205" t="s">
        <v>515</v>
      </c>
      <c r="S205" t="s">
        <v>96</v>
      </c>
      <c r="T205" t="s">
        <v>97</v>
      </c>
      <c r="U205" t="s">
        <v>98</v>
      </c>
      <c r="V205" t="s">
        <v>99</v>
      </c>
      <c r="W205" t="s">
        <v>98</v>
      </c>
      <c r="X205" t="s">
        <v>100</v>
      </c>
    </row>
    <row r="206" spans="1:24" x14ac:dyDescent="0.2">
      <c r="A206" t="s">
        <v>738</v>
      </c>
      <c r="B206">
        <v>785</v>
      </c>
      <c r="C206" t="s">
        <v>60</v>
      </c>
      <c r="D206" t="s">
        <v>61</v>
      </c>
      <c r="E206" t="s">
        <v>512</v>
      </c>
      <c r="F206" t="s">
        <v>513</v>
      </c>
      <c r="H206" t="s">
        <v>64</v>
      </c>
      <c r="I206" t="s">
        <v>102</v>
      </c>
      <c r="J206" t="s">
        <v>103</v>
      </c>
      <c r="K206">
        <v>3750</v>
      </c>
      <c r="L206" t="s">
        <v>739</v>
      </c>
      <c r="M206" t="s">
        <v>739</v>
      </c>
      <c r="N206" t="s">
        <v>731</v>
      </c>
      <c r="O206" t="s">
        <v>731</v>
      </c>
      <c r="P206" t="s">
        <v>732</v>
      </c>
      <c r="Q206" t="s">
        <v>733</v>
      </c>
      <c r="R206" t="s">
        <v>515</v>
      </c>
      <c r="S206" t="s">
        <v>106</v>
      </c>
      <c r="T206" t="s">
        <v>107</v>
      </c>
      <c r="U206" t="s">
        <v>108</v>
      </c>
      <c r="V206" t="s">
        <v>99</v>
      </c>
      <c r="W206" t="s">
        <v>108</v>
      </c>
      <c r="X206" t="s">
        <v>693</v>
      </c>
    </row>
    <row r="207" spans="1:24" x14ac:dyDescent="0.2">
      <c r="A207" t="s">
        <v>740</v>
      </c>
      <c r="B207">
        <v>785</v>
      </c>
      <c r="C207" t="s">
        <v>60</v>
      </c>
      <c r="D207" t="s">
        <v>61</v>
      </c>
      <c r="E207" t="s">
        <v>512</v>
      </c>
      <c r="F207" t="s">
        <v>513</v>
      </c>
      <c r="G207" t="s">
        <v>156</v>
      </c>
      <c r="H207" t="s">
        <v>278</v>
      </c>
      <c r="I207" t="s">
        <v>91</v>
      </c>
      <c r="J207" t="s">
        <v>92</v>
      </c>
      <c r="K207">
        <v>4550</v>
      </c>
      <c r="L207" t="s">
        <v>741</v>
      </c>
      <c r="M207" t="s">
        <v>741</v>
      </c>
      <c r="N207" t="s">
        <v>731</v>
      </c>
      <c r="O207" t="s">
        <v>731</v>
      </c>
      <c r="P207" t="s">
        <v>732</v>
      </c>
      <c r="Q207" t="s">
        <v>733</v>
      </c>
      <c r="R207" t="s">
        <v>515</v>
      </c>
      <c r="S207" t="s">
        <v>280</v>
      </c>
      <c r="T207" t="s">
        <v>97</v>
      </c>
      <c r="U207" t="s">
        <v>98</v>
      </c>
      <c r="V207" t="s">
        <v>99</v>
      </c>
      <c r="W207" t="s">
        <v>98</v>
      </c>
      <c r="X207" t="s">
        <v>100</v>
      </c>
    </row>
    <row r="208" spans="1:24" x14ac:dyDescent="0.2">
      <c r="A208" t="s">
        <v>742</v>
      </c>
      <c r="B208">
        <v>785</v>
      </c>
      <c r="C208" t="s">
        <v>60</v>
      </c>
      <c r="D208" t="s">
        <v>61</v>
      </c>
      <c r="E208" t="s">
        <v>512</v>
      </c>
      <c r="F208" t="s">
        <v>513</v>
      </c>
      <c r="G208" t="s">
        <v>156</v>
      </c>
      <c r="H208" t="s">
        <v>278</v>
      </c>
      <c r="I208" t="s">
        <v>102</v>
      </c>
      <c r="J208" t="s">
        <v>103</v>
      </c>
      <c r="K208">
        <v>4450</v>
      </c>
      <c r="L208" t="s">
        <v>743</v>
      </c>
      <c r="M208" t="s">
        <v>743</v>
      </c>
      <c r="N208" t="s">
        <v>731</v>
      </c>
      <c r="O208" t="s">
        <v>731</v>
      </c>
      <c r="P208" t="s">
        <v>732</v>
      </c>
      <c r="Q208" t="s">
        <v>733</v>
      </c>
      <c r="R208" t="s">
        <v>515</v>
      </c>
      <c r="S208" t="s">
        <v>283</v>
      </c>
      <c r="T208" t="s">
        <v>284</v>
      </c>
      <c r="U208" t="s">
        <v>285</v>
      </c>
      <c r="V208" t="s">
        <v>99</v>
      </c>
      <c r="W208" t="s">
        <v>285</v>
      </c>
      <c r="X208" t="s">
        <v>672</v>
      </c>
    </row>
    <row r="209" spans="1:24" x14ac:dyDescent="0.2">
      <c r="A209" t="s">
        <v>744</v>
      </c>
      <c r="B209">
        <v>785</v>
      </c>
      <c r="C209" t="s">
        <v>60</v>
      </c>
      <c r="D209" t="s">
        <v>61</v>
      </c>
      <c r="E209" t="s">
        <v>512</v>
      </c>
      <c r="F209" t="s">
        <v>513</v>
      </c>
      <c r="G209" t="s">
        <v>156</v>
      </c>
      <c r="H209" t="s">
        <v>278</v>
      </c>
      <c r="I209" t="s">
        <v>131</v>
      </c>
      <c r="J209" t="s">
        <v>132</v>
      </c>
      <c r="K209">
        <v>4950</v>
      </c>
      <c r="L209" t="s">
        <v>745</v>
      </c>
      <c r="M209" t="s">
        <v>745</v>
      </c>
      <c r="N209" t="s">
        <v>731</v>
      </c>
      <c r="O209" t="s">
        <v>731</v>
      </c>
      <c r="P209" t="s">
        <v>732</v>
      </c>
      <c r="Q209" t="s">
        <v>733</v>
      </c>
      <c r="R209" t="s">
        <v>515</v>
      </c>
      <c r="S209" t="s">
        <v>289</v>
      </c>
      <c r="T209" t="s">
        <v>136</v>
      </c>
      <c r="U209" t="s">
        <v>131</v>
      </c>
      <c r="V209" t="s">
        <v>99</v>
      </c>
      <c r="W209" t="s">
        <v>131</v>
      </c>
      <c r="X209" t="s">
        <v>660</v>
      </c>
    </row>
    <row r="210" spans="1:24" x14ac:dyDescent="0.2">
      <c r="A210" t="s">
        <v>746</v>
      </c>
      <c r="B210">
        <v>785</v>
      </c>
      <c r="C210" t="s">
        <v>60</v>
      </c>
      <c r="D210" t="s">
        <v>156</v>
      </c>
      <c r="E210" t="s">
        <v>89</v>
      </c>
      <c r="F210" t="s">
        <v>606</v>
      </c>
      <c r="G210" t="s">
        <v>156</v>
      </c>
      <c r="H210" t="s">
        <v>278</v>
      </c>
      <c r="I210" t="s">
        <v>139</v>
      </c>
      <c r="J210" t="s">
        <v>140</v>
      </c>
      <c r="K210">
        <v>3950</v>
      </c>
      <c r="L210" t="s">
        <v>747</v>
      </c>
      <c r="M210" t="s">
        <v>747</v>
      </c>
      <c r="N210" t="s">
        <v>731</v>
      </c>
      <c r="O210" t="s">
        <v>731</v>
      </c>
      <c r="P210" t="s">
        <v>732</v>
      </c>
      <c r="Q210" t="s">
        <v>733</v>
      </c>
      <c r="R210" t="s">
        <v>608</v>
      </c>
      <c r="S210" t="s">
        <v>292</v>
      </c>
      <c r="T210" t="s">
        <v>144</v>
      </c>
      <c r="U210" t="s">
        <v>139</v>
      </c>
      <c r="V210" t="s">
        <v>99</v>
      </c>
      <c r="W210" t="s">
        <v>139</v>
      </c>
      <c r="X210" t="s">
        <v>145</v>
      </c>
    </row>
    <row r="211" spans="1:24" x14ac:dyDescent="0.2">
      <c r="A211" t="s">
        <v>748</v>
      </c>
      <c r="B211">
        <v>785</v>
      </c>
      <c r="C211" t="s">
        <v>60</v>
      </c>
      <c r="D211" t="s">
        <v>61</v>
      </c>
      <c r="E211" t="s">
        <v>512</v>
      </c>
      <c r="F211" t="s">
        <v>513</v>
      </c>
      <c r="G211" t="s">
        <v>156</v>
      </c>
      <c r="H211" t="s">
        <v>278</v>
      </c>
      <c r="I211" t="s">
        <v>139</v>
      </c>
      <c r="J211" t="s">
        <v>140</v>
      </c>
      <c r="K211">
        <v>4950</v>
      </c>
      <c r="L211" t="s">
        <v>749</v>
      </c>
      <c r="M211" t="s">
        <v>749</v>
      </c>
      <c r="N211" t="s">
        <v>731</v>
      </c>
      <c r="O211" t="s">
        <v>731</v>
      </c>
      <c r="P211" t="s">
        <v>732</v>
      </c>
      <c r="Q211" t="s">
        <v>733</v>
      </c>
      <c r="R211" t="s">
        <v>515</v>
      </c>
      <c r="S211" t="s">
        <v>292</v>
      </c>
      <c r="T211" t="s">
        <v>144</v>
      </c>
      <c r="U211" t="s">
        <v>139</v>
      </c>
      <c r="V211" t="s">
        <v>99</v>
      </c>
      <c r="W211" t="s">
        <v>139</v>
      </c>
      <c r="X211" t="s">
        <v>145</v>
      </c>
    </row>
    <row r="212" spans="1:24" x14ac:dyDescent="0.2">
      <c r="A212" t="s">
        <v>750</v>
      </c>
      <c r="B212">
        <v>785</v>
      </c>
      <c r="C212" t="s">
        <v>60</v>
      </c>
      <c r="D212" t="s">
        <v>61</v>
      </c>
      <c r="E212" t="s">
        <v>89</v>
      </c>
      <c r="F212" t="s">
        <v>341</v>
      </c>
      <c r="G212" t="s">
        <v>111</v>
      </c>
      <c r="H212" t="s">
        <v>112</v>
      </c>
      <c r="I212" t="s">
        <v>65</v>
      </c>
      <c r="J212" t="s">
        <v>66</v>
      </c>
      <c r="K212">
        <v>6950</v>
      </c>
      <c r="L212" t="s">
        <v>751</v>
      </c>
      <c r="M212" t="s">
        <v>751</v>
      </c>
      <c r="N212" t="s">
        <v>731</v>
      </c>
      <c r="O212" t="s">
        <v>731</v>
      </c>
      <c r="P212" t="s">
        <v>732</v>
      </c>
      <c r="Q212" t="s">
        <v>733</v>
      </c>
      <c r="R212" t="s">
        <v>95</v>
      </c>
      <c r="S212" t="s">
        <v>114</v>
      </c>
      <c r="T212" t="s">
        <v>75</v>
      </c>
      <c r="U212" t="s">
        <v>76</v>
      </c>
      <c r="V212" t="s">
        <v>99</v>
      </c>
      <c r="W212" t="s">
        <v>76</v>
      </c>
      <c r="X212" t="s">
        <v>684</v>
      </c>
    </row>
    <row r="213" spans="1:24" x14ac:dyDescent="0.2">
      <c r="A213" t="s">
        <v>752</v>
      </c>
      <c r="B213">
        <v>785</v>
      </c>
      <c r="C213" t="s">
        <v>60</v>
      </c>
      <c r="D213" t="s">
        <v>61</v>
      </c>
      <c r="E213" t="s">
        <v>62</v>
      </c>
      <c r="F213" t="s">
        <v>330</v>
      </c>
      <c r="G213" t="s">
        <v>111</v>
      </c>
      <c r="H213" t="s">
        <v>112</v>
      </c>
      <c r="I213" t="s">
        <v>82</v>
      </c>
      <c r="J213" t="s">
        <v>83</v>
      </c>
      <c r="K213">
        <v>7450</v>
      </c>
      <c r="L213" t="s">
        <v>753</v>
      </c>
      <c r="M213" t="s">
        <v>753</v>
      </c>
      <c r="N213" t="s">
        <v>731</v>
      </c>
      <c r="O213" t="s">
        <v>731</v>
      </c>
      <c r="P213" t="s">
        <v>732</v>
      </c>
      <c r="Q213" t="s">
        <v>733</v>
      </c>
      <c r="R213" t="s">
        <v>73</v>
      </c>
      <c r="S213" t="s">
        <v>118</v>
      </c>
      <c r="T213" t="s">
        <v>75</v>
      </c>
      <c r="U213" t="s">
        <v>76</v>
      </c>
      <c r="V213" t="s">
        <v>99</v>
      </c>
      <c r="W213" t="s">
        <v>76</v>
      </c>
      <c r="X213" t="s">
        <v>684</v>
      </c>
    </row>
    <row r="214" spans="1:24" x14ac:dyDescent="0.2">
      <c r="A214" t="s">
        <v>754</v>
      </c>
      <c r="B214">
        <v>785</v>
      </c>
      <c r="C214" t="s">
        <v>60</v>
      </c>
      <c r="D214" t="s">
        <v>61</v>
      </c>
      <c r="E214" t="s">
        <v>512</v>
      </c>
      <c r="F214" t="s">
        <v>513</v>
      </c>
      <c r="G214" t="s">
        <v>111</v>
      </c>
      <c r="H214" t="s">
        <v>112</v>
      </c>
      <c r="I214" t="s">
        <v>91</v>
      </c>
      <c r="J214" t="s">
        <v>92</v>
      </c>
      <c r="K214">
        <v>4550</v>
      </c>
      <c r="L214" t="s">
        <v>755</v>
      </c>
      <c r="M214" t="s">
        <v>755</v>
      </c>
      <c r="N214" t="s">
        <v>731</v>
      </c>
      <c r="O214" t="s">
        <v>731</v>
      </c>
      <c r="P214" t="s">
        <v>732</v>
      </c>
      <c r="Q214" t="s">
        <v>733</v>
      </c>
      <c r="R214" t="s">
        <v>515</v>
      </c>
      <c r="S214" t="s">
        <v>122</v>
      </c>
      <c r="T214" t="s">
        <v>97</v>
      </c>
      <c r="U214" t="s">
        <v>98</v>
      </c>
      <c r="V214" t="s">
        <v>99</v>
      </c>
      <c r="W214" t="s">
        <v>98</v>
      </c>
      <c r="X214" t="s">
        <v>100</v>
      </c>
    </row>
    <row r="215" spans="1:24" x14ac:dyDescent="0.2">
      <c r="A215" t="s">
        <v>756</v>
      </c>
      <c r="B215">
        <v>785</v>
      </c>
      <c r="C215" t="s">
        <v>60</v>
      </c>
      <c r="D215" t="s">
        <v>61</v>
      </c>
      <c r="E215" t="s">
        <v>512</v>
      </c>
      <c r="F215" t="s">
        <v>513</v>
      </c>
      <c r="G215" t="s">
        <v>111</v>
      </c>
      <c r="H215" t="s">
        <v>112</v>
      </c>
      <c r="I215" t="s">
        <v>102</v>
      </c>
      <c r="J215" t="s">
        <v>103</v>
      </c>
      <c r="K215">
        <v>4450</v>
      </c>
      <c r="L215" t="s">
        <v>757</v>
      </c>
      <c r="M215" t="s">
        <v>757</v>
      </c>
      <c r="N215" t="s">
        <v>731</v>
      </c>
      <c r="O215" t="s">
        <v>731</v>
      </c>
      <c r="P215" t="s">
        <v>732</v>
      </c>
      <c r="Q215" t="s">
        <v>733</v>
      </c>
      <c r="R215" t="s">
        <v>515</v>
      </c>
      <c r="S215" t="s">
        <v>126</v>
      </c>
      <c r="T215" t="s">
        <v>127</v>
      </c>
      <c r="U215" t="s">
        <v>128</v>
      </c>
      <c r="V215" t="s">
        <v>99</v>
      </c>
      <c r="W215" t="s">
        <v>128</v>
      </c>
      <c r="X215" t="s">
        <v>708</v>
      </c>
    </row>
    <row r="216" spans="1:24" x14ac:dyDescent="0.2">
      <c r="A216" t="s">
        <v>758</v>
      </c>
      <c r="B216">
        <v>785</v>
      </c>
      <c r="C216" t="s">
        <v>60</v>
      </c>
      <c r="D216" t="s">
        <v>61</v>
      </c>
      <c r="E216" t="s">
        <v>512</v>
      </c>
      <c r="F216" t="s">
        <v>513</v>
      </c>
      <c r="G216" t="s">
        <v>111</v>
      </c>
      <c r="H216" t="s">
        <v>112</v>
      </c>
      <c r="I216" t="s">
        <v>131</v>
      </c>
      <c r="J216" t="s">
        <v>132</v>
      </c>
      <c r="K216">
        <v>4950</v>
      </c>
      <c r="L216" t="s">
        <v>759</v>
      </c>
      <c r="M216" t="s">
        <v>759</v>
      </c>
      <c r="N216" t="s">
        <v>731</v>
      </c>
      <c r="O216" t="s">
        <v>731</v>
      </c>
      <c r="P216" t="s">
        <v>732</v>
      </c>
      <c r="Q216" t="s">
        <v>733</v>
      </c>
      <c r="R216" t="s">
        <v>515</v>
      </c>
      <c r="S216" t="s">
        <v>135</v>
      </c>
      <c r="T216" t="s">
        <v>136</v>
      </c>
      <c r="U216" t="s">
        <v>131</v>
      </c>
      <c r="V216" t="s">
        <v>99</v>
      </c>
      <c r="W216" t="s">
        <v>131</v>
      </c>
      <c r="X216" t="s">
        <v>660</v>
      </c>
    </row>
    <row r="217" spans="1:24" x14ac:dyDescent="0.2">
      <c r="A217" t="s">
        <v>760</v>
      </c>
      <c r="B217">
        <v>785</v>
      </c>
      <c r="C217" t="s">
        <v>60</v>
      </c>
      <c r="D217" t="s">
        <v>156</v>
      </c>
      <c r="E217" t="s">
        <v>89</v>
      </c>
      <c r="F217" t="s">
        <v>606</v>
      </c>
      <c r="G217" t="s">
        <v>111</v>
      </c>
      <c r="H217" t="s">
        <v>112</v>
      </c>
      <c r="I217" t="s">
        <v>139</v>
      </c>
      <c r="J217" t="s">
        <v>140</v>
      </c>
      <c r="K217">
        <v>3950</v>
      </c>
      <c r="L217" t="s">
        <v>761</v>
      </c>
      <c r="M217" t="s">
        <v>761</v>
      </c>
      <c r="N217" t="s">
        <v>731</v>
      </c>
      <c r="O217" t="s">
        <v>731</v>
      </c>
      <c r="P217" t="s">
        <v>732</v>
      </c>
      <c r="Q217" t="s">
        <v>733</v>
      </c>
      <c r="R217" t="s">
        <v>608</v>
      </c>
      <c r="S217" t="s">
        <v>143</v>
      </c>
      <c r="T217" t="s">
        <v>144</v>
      </c>
      <c r="U217" t="s">
        <v>139</v>
      </c>
      <c r="V217" t="s">
        <v>99</v>
      </c>
      <c r="W217" t="s">
        <v>139</v>
      </c>
      <c r="X217" t="s">
        <v>145</v>
      </c>
    </row>
    <row r="218" spans="1:24" x14ac:dyDescent="0.2">
      <c r="A218" t="s">
        <v>762</v>
      </c>
      <c r="B218">
        <v>785</v>
      </c>
      <c r="C218" t="s">
        <v>60</v>
      </c>
      <c r="D218" t="s">
        <v>61</v>
      </c>
      <c r="E218" t="s">
        <v>512</v>
      </c>
      <c r="F218" t="s">
        <v>513</v>
      </c>
      <c r="G218" t="s">
        <v>111</v>
      </c>
      <c r="H218" t="s">
        <v>112</v>
      </c>
      <c r="I218" t="s">
        <v>139</v>
      </c>
      <c r="J218" t="s">
        <v>140</v>
      </c>
      <c r="K218">
        <v>4950</v>
      </c>
      <c r="L218" t="s">
        <v>763</v>
      </c>
      <c r="M218" t="s">
        <v>763</v>
      </c>
      <c r="N218" t="s">
        <v>731</v>
      </c>
      <c r="O218" t="s">
        <v>731</v>
      </c>
      <c r="P218" t="s">
        <v>732</v>
      </c>
      <c r="Q218" t="s">
        <v>733</v>
      </c>
      <c r="R218" t="s">
        <v>515</v>
      </c>
      <c r="S218" t="s">
        <v>143</v>
      </c>
      <c r="T218" t="s">
        <v>144</v>
      </c>
      <c r="U218" t="s">
        <v>139</v>
      </c>
      <c r="V218" t="s">
        <v>99</v>
      </c>
      <c r="W218" t="s">
        <v>139</v>
      </c>
      <c r="X218" t="s">
        <v>145</v>
      </c>
    </row>
    <row r="219" spans="1:24" x14ac:dyDescent="0.2">
      <c r="A219" t="s">
        <v>764</v>
      </c>
      <c r="B219">
        <v>785</v>
      </c>
      <c r="C219" t="s">
        <v>60</v>
      </c>
      <c r="D219" t="s">
        <v>61</v>
      </c>
      <c r="E219" t="s">
        <v>512</v>
      </c>
      <c r="F219" t="s">
        <v>513</v>
      </c>
      <c r="G219" t="s">
        <v>306</v>
      </c>
      <c r="H219" t="s">
        <v>307</v>
      </c>
      <c r="I219" t="s">
        <v>91</v>
      </c>
      <c r="J219" t="s">
        <v>92</v>
      </c>
      <c r="K219">
        <v>5250</v>
      </c>
      <c r="L219" t="s">
        <v>765</v>
      </c>
      <c r="M219" t="s">
        <v>765</v>
      </c>
      <c r="N219" t="s">
        <v>731</v>
      </c>
      <c r="O219" t="s">
        <v>731</v>
      </c>
      <c r="P219" t="s">
        <v>732</v>
      </c>
      <c r="Q219" t="s">
        <v>733</v>
      </c>
      <c r="R219" t="s">
        <v>515</v>
      </c>
      <c r="S219" t="s">
        <v>309</v>
      </c>
      <c r="T219" t="s">
        <v>97</v>
      </c>
      <c r="U219" t="s">
        <v>98</v>
      </c>
      <c r="V219" t="s">
        <v>99</v>
      </c>
      <c r="W219" t="s">
        <v>98</v>
      </c>
      <c r="X219" t="s">
        <v>100</v>
      </c>
    </row>
    <row r="220" spans="1:24" x14ac:dyDescent="0.2">
      <c r="A220" t="s">
        <v>766</v>
      </c>
      <c r="B220">
        <v>785</v>
      </c>
      <c r="C220" t="s">
        <v>60</v>
      </c>
      <c r="D220" t="s">
        <v>61</v>
      </c>
      <c r="E220" t="s">
        <v>512</v>
      </c>
      <c r="F220" t="s">
        <v>513</v>
      </c>
      <c r="G220" t="s">
        <v>306</v>
      </c>
      <c r="H220" t="s">
        <v>307</v>
      </c>
      <c r="I220" t="s">
        <v>102</v>
      </c>
      <c r="J220" t="s">
        <v>103</v>
      </c>
      <c r="K220">
        <v>5150</v>
      </c>
      <c r="L220" t="s">
        <v>767</v>
      </c>
      <c r="M220" t="s">
        <v>767</v>
      </c>
      <c r="N220" t="s">
        <v>731</v>
      </c>
      <c r="O220" t="s">
        <v>731</v>
      </c>
      <c r="P220" t="s">
        <v>732</v>
      </c>
      <c r="Q220" t="s">
        <v>733</v>
      </c>
      <c r="R220" t="s">
        <v>515</v>
      </c>
      <c r="S220" t="s">
        <v>312</v>
      </c>
      <c r="T220" t="s">
        <v>313</v>
      </c>
      <c r="U220" t="s">
        <v>314</v>
      </c>
      <c r="V220" t="s">
        <v>99</v>
      </c>
      <c r="W220" t="s">
        <v>314</v>
      </c>
      <c r="X220" t="s">
        <v>715</v>
      </c>
    </row>
    <row r="221" spans="1:24" x14ac:dyDescent="0.2">
      <c r="A221" t="s">
        <v>768</v>
      </c>
      <c r="B221">
        <v>785</v>
      </c>
      <c r="C221" t="s">
        <v>60</v>
      </c>
      <c r="D221" t="s">
        <v>61</v>
      </c>
      <c r="E221" t="s">
        <v>512</v>
      </c>
      <c r="F221" t="s">
        <v>513</v>
      </c>
      <c r="G221" t="s">
        <v>306</v>
      </c>
      <c r="H221" t="s">
        <v>307</v>
      </c>
      <c r="I221" t="s">
        <v>131</v>
      </c>
      <c r="J221" t="s">
        <v>132</v>
      </c>
      <c r="K221">
        <v>5650</v>
      </c>
      <c r="L221" t="s">
        <v>769</v>
      </c>
      <c r="M221" t="s">
        <v>769</v>
      </c>
      <c r="N221" t="s">
        <v>731</v>
      </c>
      <c r="O221" t="s">
        <v>731</v>
      </c>
      <c r="P221" t="s">
        <v>732</v>
      </c>
      <c r="Q221" t="s">
        <v>733</v>
      </c>
      <c r="R221" t="s">
        <v>515</v>
      </c>
      <c r="S221" t="s">
        <v>318</v>
      </c>
      <c r="T221" t="s">
        <v>136</v>
      </c>
      <c r="U221" t="s">
        <v>131</v>
      </c>
      <c r="V221" t="s">
        <v>99</v>
      </c>
      <c r="W221" t="s">
        <v>131</v>
      </c>
      <c r="X221" t="s">
        <v>660</v>
      </c>
    </row>
    <row r="222" spans="1:24" x14ac:dyDescent="0.2">
      <c r="A222" t="s">
        <v>770</v>
      </c>
      <c r="B222">
        <v>785</v>
      </c>
      <c r="C222" t="s">
        <v>60</v>
      </c>
      <c r="D222" t="s">
        <v>156</v>
      </c>
      <c r="E222" t="s">
        <v>89</v>
      </c>
      <c r="F222" t="s">
        <v>606</v>
      </c>
      <c r="G222" t="s">
        <v>306</v>
      </c>
      <c r="H222" t="s">
        <v>307</v>
      </c>
      <c r="I222" t="s">
        <v>139</v>
      </c>
      <c r="J222" t="s">
        <v>140</v>
      </c>
      <c r="K222">
        <v>4650</v>
      </c>
      <c r="L222" t="s">
        <v>771</v>
      </c>
      <c r="M222" t="s">
        <v>771</v>
      </c>
      <c r="N222" t="s">
        <v>731</v>
      </c>
      <c r="O222" t="s">
        <v>731</v>
      </c>
      <c r="P222" t="s">
        <v>732</v>
      </c>
      <c r="Q222" t="s">
        <v>733</v>
      </c>
      <c r="R222" t="s">
        <v>608</v>
      </c>
      <c r="S222" t="s">
        <v>321</v>
      </c>
      <c r="T222" t="s">
        <v>144</v>
      </c>
      <c r="U222" t="s">
        <v>139</v>
      </c>
      <c r="V222" t="s">
        <v>99</v>
      </c>
      <c r="W222" t="s">
        <v>139</v>
      </c>
      <c r="X222" t="s">
        <v>145</v>
      </c>
    </row>
    <row r="223" spans="1:24" x14ac:dyDescent="0.2">
      <c r="A223" t="s">
        <v>772</v>
      </c>
      <c r="B223">
        <v>785</v>
      </c>
      <c r="C223" t="s">
        <v>60</v>
      </c>
      <c r="D223" t="s">
        <v>61</v>
      </c>
      <c r="E223" t="s">
        <v>512</v>
      </c>
      <c r="F223" t="s">
        <v>513</v>
      </c>
      <c r="G223" t="s">
        <v>306</v>
      </c>
      <c r="H223" t="s">
        <v>307</v>
      </c>
      <c r="I223" t="s">
        <v>139</v>
      </c>
      <c r="J223" t="s">
        <v>140</v>
      </c>
      <c r="K223">
        <v>5650</v>
      </c>
      <c r="L223" t="s">
        <v>773</v>
      </c>
      <c r="M223" t="s">
        <v>773</v>
      </c>
      <c r="N223" t="s">
        <v>731</v>
      </c>
      <c r="O223" t="s">
        <v>731</v>
      </c>
      <c r="P223" t="s">
        <v>732</v>
      </c>
      <c r="Q223" t="s">
        <v>733</v>
      </c>
      <c r="R223" t="s">
        <v>515</v>
      </c>
      <c r="S223" t="s">
        <v>321</v>
      </c>
      <c r="T223" t="s">
        <v>144</v>
      </c>
      <c r="U223" t="s">
        <v>139</v>
      </c>
      <c r="V223" t="s">
        <v>99</v>
      </c>
      <c r="W223" t="s">
        <v>139</v>
      </c>
      <c r="X223" t="s">
        <v>145</v>
      </c>
    </row>
    <row r="224" spans="1:24" x14ac:dyDescent="0.2">
      <c r="A224" t="s">
        <v>774</v>
      </c>
      <c r="B224">
        <v>785</v>
      </c>
      <c r="C224" t="s">
        <v>60</v>
      </c>
      <c r="D224" t="s">
        <v>61</v>
      </c>
      <c r="E224" t="s">
        <v>512</v>
      </c>
      <c r="F224" t="s">
        <v>513</v>
      </c>
      <c r="H224" t="s">
        <v>64</v>
      </c>
      <c r="I224" t="s">
        <v>131</v>
      </c>
      <c r="J224" t="s">
        <v>132</v>
      </c>
      <c r="K224">
        <v>4250</v>
      </c>
      <c r="L224" t="s">
        <v>775</v>
      </c>
      <c r="M224" t="s">
        <v>775</v>
      </c>
      <c r="N224" t="s">
        <v>731</v>
      </c>
      <c r="O224" t="s">
        <v>731</v>
      </c>
      <c r="P224" t="s">
        <v>732</v>
      </c>
      <c r="Q224" t="s">
        <v>733</v>
      </c>
      <c r="R224" t="s">
        <v>515</v>
      </c>
      <c r="S224" t="s">
        <v>149</v>
      </c>
      <c r="T224" t="s">
        <v>136</v>
      </c>
      <c r="U224" t="s">
        <v>131</v>
      </c>
      <c r="V224" t="s">
        <v>99</v>
      </c>
      <c r="W224" t="s">
        <v>131</v>
      </c>
      <c r="X224" t="s">
        <v>660</v>
      </c>
    </row>
    <row r="225" spans="1:24" x14ac:dyDescent="0.2">
      <c r="A225" t="s">
        <v>776</v>
      </c>
      <c r="B225">
        <v>785</v>
      </c>
      <c r="C225" t="s">
        <v>60</v>
      </c>
      <c r="D225" t="s">
        <v>156</v>
      </c>
      <c r="E225" t="s">
        <v>89</v>
      </c>
      <c r="F225" t="s">
        <v>606</v>
      </c>
      <c r="H225" t="s">
        <v>64</v>
      </c>
      <c r="I225" t="s">
        <v>139</v>
      </c>
      <c r="J225" t="s">
        <v>140</v>
      </c>
      <c r="K225">
        <v>3250</v>
      </c>
      <c r="L225" t="s">
        <v>777</v>
      </c>
      <c r="M225" t="s">
        <v>777</v>
      </c>
      <c r="N225" t="s">
        <v>731</v>
      </c>
      <c r="O225" t="s">
        <v>731</v>
      </c>
      <c r="P225" t="s">
        <v>732</v>
      </c>
      <c r="Q225" t="s">
        <v>733</v>
      </c>
      <c r="R225" t="s">
        <v>608</v>
      </c>
      <c r="S225" t="s">
        <v>153</v>
      </c>
      <c r="T225" t="s">
        <v>144</v>
      </c>
      <c r="U225" t="s">
        <v>139</v>
      </c>
      <c r="V225" t="s">
        <v>99</v>
      </c>
      <c r="W225" t="s">
        <v>139</v>
      </c>
      <c r="X225" t="s">
        <v>145</v>
      </c>
    </row>
    <row r="226" spans="1:24" x14ac:dyDescent="0.2">
      <c r="A226" t="s">
        <v>778</v>
      </c>
      <c r="B226">
        <v>785</v>
      </c>
      <c r="C226" t="s">
        <v>60</v>
      </c>
      <c r="D226" t="s">
        <v>61</v>
      </c>
      <c r="E226" t="s">
        <v>512</v>
      </c>
      <c r="F226" t="s">
        <v>513</v>
      </c>
      <c r="H226" t="s">
        <v>64</v>
      </c>
      <c r="I226" t="s">
        <v>139</v>
      </c>
      <c r="J226" t="s">
        <v>140</v>
      </c>
      <c r="K226">
        <v>4250</v>
      </c>
      <c r="L226" t="s">
        <v>779</v>
      </c>
      <c r="M226" t="s">
        <v>779</v>
      </c>
      <c r="N226" t="s">
        <v>731</v>
      </c>
      <c r="O226" t="s">
        <v>731</v>
      </c>
      <c r="P226" t="s">
        <v>732</v>
      </c>
      <c r="Q226" t="s">
        <v>733</v>
      </c>
      <c r="R226" t="s">
        <v>515</v>
      </c>
      <c r="S226" t="s">
        <v>153</v>
      </c>
      <c r="T226" t="s">
        <v>144</v>
      </c>
      <c r="U226" t="s">
        <v>139</v>
      </c>
      <c r="V226" t="s">
        <v>99</v>
      </c>
      <c r="W226" t="s">
        <v>139</v>
      </c>
      <c r="X226" t="s">
        <v>145</v>
      </c>
    </row>
    <row r="227" spans="1:24" x14ac:dyDescent="0.2">
      <c r="A227" t="s">
        <v>780</v>
      </c>
      <c r="B227">
        <v>785</v>
      </c>
      <c r="C227" t="s">
        <v>60</v>
      </c>
      <c r="D227" t="s">
        <v>156</v>
      </c>
      <c r="E227" t="s">
        <v>89</v>
      </c>
      <c r="F227" t="s">
        <v>606</v>
      </c>
      <c r="H227" t="s">
        <v>64</v>
      </c>
      <c r="I227" t="s">
        <v>642</v>
      </c>
      <c r="J227" t="s">
        <v>643</v>
      </c>
      <c r="K227">
        <v>2900</v>
      </c>
      <c r="L227" t="s">
        <v>781</v>
      </c>
      <c r="M227" t="s">
        <v>781</v>
      </c>
      <c r="N227" t="s">
        <v>731</v>
      </c>
      <c r="O227" t="s">
        <v>731</v>
      </c>
      <c r="P227" t="s">
        <v>732</v>
      </c>
      <c r="Q227" t="s">
        <v>733</v>
      </c>
      <c r="R227" t="s">
        <v>608</v>
      </c>
      <c r="S227" t="s">
        <v>645</v>
      </c>
      <c r="T227" t="s">
        <v>646</v>
      </c>
      <c r="U227" t="s">
        <v>647</v>
      </c>
      <c r="V227" t="s">
        <v>99</v>
      </c>
      <c r="W227" t="s">
        <v>647</v>
      </c>
      <c r="X227" t="s">
        <v>679</v>
      </c>
    </row>
    <row r="228" spans="1:24" x14ac:dyDescent="0.2">
      <c r="A228" t="s">
        <v>782</v>
      </c>
      <c r="B228">
        <v>785</v>
      </c>
      <c r="C228" t="s">
        <v>60</v>
      </c>
      <c r="D228" t="s">
        <v>156</v>
      </c>
      <c r="E228" t="s">
        <v>62</v>
      </c>
      <c r="F228" t="s">
        <v>681</v>
      </c>
      <c r="H228" t="s">
        <v>64</v>
      </c>
      <c r="I228" t="s">
        <v>65</v>
      </c>
      <c r="J228" t="s">
        <v>66</v>
      </c>
      <c r="K228">
        <v>5250</v>
      </c>
      <c r="L228" t="s">
        <v>783</v>
      </c>
      <c r="M228" t="s">
        <v>783</v>
      </c>
      <c r="N228" t="s">
        <v>731</v>
      </c>
      <c r="O228" t="s">
        <v>731</v>
      </c>
      <c r="P228" t="s">
        <v>732</v>
      </c>
      <c r="Q228" t="s">
        <v>733</v>
      </c>
      <c r="R228" t="s">
        <v>683</v>
      </c>
      <c r="S228" t="s">
        <v>74</v>
      </c>
      <c r="T228" t="s">
        <v>75</v>
      </c>
      <c r="U228" t="s">
        <v>76</v>
      </c>
      <c r="V228" t="s">
        <v>99</v>
      </c>
      <c r="W228" t="s">
        <v>76</v>
      </c>
      <c r="X228" t="s">
        <v>684</v>
      </c>
    </row>
    <row r="229" spans="1:24" x14ac:dyDescent="0.2">
      <c r="A229" t="s">
        <v>784</v>
      </c>
      <c r="B229">
        <v>785</v>
      </c>
      <c r="C229" t="s">
        <v>60</v>
      </c>
      <c r="D229" t="s">
        <v>156</v>
      </c>
      <c r="E229" t="s">
        <v>80</v>
      </c>
      <c r="F229" t="s">
        <v>686</v>
      </c>
      <c r="H229" t="s">
        <v>64</v>
      </c>
      <c r="I229" t="s">
        <v>82</v>
      </c>
      <c r="J229" t="s">
        <v>83</v>
      </c>
      <c r="K229">
        <v>5750</v>
      </c>
      <c r="L229" t="s">
        <v>785</v>
      </c>
      <c r="M229" t="s">
        <v>785</v>
      </c>
      <c r="N229" t="s">
        <v>731</v>
      </c>
      <c r="O229" t="s">
        <v>731</v>
      </c>
      <c r="P229" t="s">
        <v>732</v>
      </c>
      <c r="Q229" t="s">
        <v>733</v>
      </c>
      <c r="R229" t="s">
        <v>688</v>
      </c>
      <c r="S229" t="s">
        <v>87</v>
      </c>
      <c r="T229" t="s">
        <v>75</v>
      </c>
      <c r="U229" t="s">
        <v>76</v>
      </c>
      <c r="V229" t="s">
        <v>99</v>
      </c>
      <c r="W229" t="s">
        <v>76</v>
      </c>
      <c r="X229" t="s">
        <v>684</v>
      </c>
    </row>
    <row r="230" spans="1:24" x14ac:dyDescent="0.2">
      <c r="A230" t="s">
        <v>786</v>
      </c>
      <c r="B230">
        <v>785</v>
      </c>
      <c r="C230" t="s">
        <v>60</v>
      </c>
      <c r="D230" t="s">
        <v>156</v>
      </c>
      <c r="E230" t="s">
        <v>89</v>
      </c>
      <c r="F230" t="s">
        <v>606</v>
      </c>
      <c r="H230" t="s">
        <v>64</v>
      </c>
      <c r="I230" t="s">
        <v>91</v>
      </c>
      <c r="J230" t="s">
        <v>92</v>
      </c>
      <c r="K230">
        <v>2850</v>
      </c>
      <c r="L230" t="s">
        <v>787</v>
      </c>
      <c r="M230" t="s">
        <v>787</v>
      </c>
      <c r="N230" t="s">
        <v>731</v>
      </c>
      <c r="O230" t="s">
        <v>731</v>
      </c>
      <c r="P230" t="s">
        <v>732</v>
      </c>
      <c r="Q230" t="s">
        <v>733</v>
      </c>
      <c r="R230" t="s">
        <v>608</v>
      </c>
      <c r="S230" t="s">
        <v>96</v>
      </c>
      <c r="T230" t="s">
        <v>97</v>
      </c>
      <c r="U230" t="s">
        <v>98</v>
      </c>
      <c r="V230" t="s">
        <v>99</v>
      </c>
      <c r="W230" t="s">
        <v>98</v>
      </c>
      <c r="X230" t="s">
        <v>100</v>
      </c>
    </row>
    <row r="231" spans="1:24" x14ac:dyDescent="0.2">
      <c r="A231" t="s">
        <v>788</v>
      </c>
      <c r="B231">
        <v>785</v>
      </c>
      <c r="C231" t="s">
        <v>60</v>
      </c>
      <c r="D231" t="s">
        <v>156</v>
      </c>
      <c r="E231" t="s">
        <v>89</v>
      </c>
      <c r="F231" t="s">
        <v>606</v>
      </c>
      <c r="H231" t="s">
        <v>64</v>
      </c>
      <c r="I231" t="s">
        <v>102</v>
      </c>
      <c r="J231" t="s">
        <v>103</v>
      </c>
      <c r="K231">
        <v>2750</v>
      </c>
      <c r="L231" t="s">
        <v>789</v>
      </c>
      <c r="M231" t="s">
        <v>789</v>
      </c>
      <c r="N231" t="s">
        <v>731</v>
      </c>
      <c r="O231" t="s">
        <v>731</v>
      </c>
      <c r="P231" t="s">
        <v>732</v>
      </c>
      <c r="Q231" t="s">
        <v>733</v>
      </c>
      <c r="R231" t="s">
        <v>608</v>
      </c>
      <c r="S231" t="s">
        <v>106</v>
      </c>
      <c r="T231" t="s">
        <v>107</v>
      </c>
      <c r="U231" t="s">
        <v>108</v>
      </c>
      <c r="V231" t="s">
        <v>99</v>
      </c>
      <c r="W231" t="s">
        <v>108</v>
      </c>
      <c r="X231" t="s">
        <v>693</v>
      </c>
    </row>
    <row r="232" spans="1:24" x14ac:dyDescent="0.2">
      <c r="A232" t="s">
        <v>790</v>
      </c>
      <c r="B232">
        <v>785</v>
      </c>
      <c r="C232" t="s">
        <v>60</v>
      </c>
      <c r="D232" t="s">
        <v>156</v>
      </c>
      <c r="E232" t="s">
        <v>89</v>
      </c>
      <c r="F232" t="s">
        <v>606</v>
      </c>
      <c r="G232" t="s">
        <v>156</v>
      </c>
      <c r="H232" t="s">
        <v>278</v>
      </c>
      <c r="I232" t="s">
        <v>91</v>
      </c>
      <c r="J232" t="s">
        <v>92</v>
      </c>
      <c r="K232">
        <v>3550</v>
      </c>
      <c r="L232" t="s">
        <v>791</v>
      </c>
      <c r="M232" t="s">
        <v>791</v>
      </c>
      <c r="N232" t="s">
        <v>731</v>
      </c>
      <c r="O232" t="s">
        <v>731</v>
      </c>
      <c r="P232" t="s">
        <v>732</v>
      </c>
      <c r="Q232" t="s">
        <v>733</v>
      </c>
      <c r="R232" t="s">
        <v>608</v>
      </c>
      <c r="S232" t="s">
        <v>280</v>
      </c>
      <c r="T232" t="s">
        <v>97</v>
      </c>
      <c r="U232" t="s">
        <v>98</v>
      </c>
      <c r="V232" t="s">
        <v>99</v>
      </c>
      <c r="W232" t="s">
        <v>98</v>
      </c>
      <c r="X232" t="s">
        <v>100</v>
      </c>
    </row>
    <row r="233" spans="1:24" x14ac:dyDescent="0.2">
      <c r="A233" t="s">
        <v>792</v>
      </c>
      <c r="B233">
        <v>785</v>
      </c>
      <c r="C233" t="s">
        <v>60</v>
      </c>
      <c r="D233" t="s">
        <v>156</v>
      </c>
      <c r="E233" t="s">
        <v>89</v>
      </c>
      <c r="F233" t="s">
        <v>606</v>
      </c>
      <c r="G233" t="s">
        <v>156</v>
      </c>
      <c r="H233" t="s">
        <v>278</v>
      </c>
      <c r="I233" t="s">
        <v>102</v>
      </c>
      <c r="J233" t="s">
        <v>103</v>
      </c>
      <c r="K233">
        <v>3450</v>
      </c>
      <c r="L233" t="s">
        <v>793</v>
      </c>
      <c r="M233" t="s">
        <v>793</v>
      </c>
      <c r="N233" t="s">
        <v>731</v>
      </c>
      <c r="O233" t="s">
        <v>731</v>
      </c>
      <c r="P233" t="s">
        <v>732</v>
      </c>
      <c r="Q233" t="s">
        <v>733</v>
      </c>
      <c r="R233" t="s">
        <v>608</v>
      </c>
      <c r="S233" t="s">
        <v>283</v>
      </c>
      <c r="T233" t="s">
        <v>284</v>
      </c>
      <c r="U233" t="s">
        <v>285</v>
      </c>
      <c r="V233" t="s">
        <v>99</v>
      </c>
      <c r="W233" t="s">
        <v>285</v>
      </c>
      <c r="X233" t="s">
        <v>672</v>
      </c>
    </row>
    <row r="234" spans="1:24" x14ac:dyDescent="0.2">
      <c r="A234" t="s">
        <v>794</v>
      </c>
      <c r="B234">
        <v>785</v>
      </c>
      <c r="C234" t="s">
        <v>60</v>
      </c>
      <c r="D234" t="s">
        <v>156</v>
      </c>
      <c r="E234" t="s">
        <v>89</v>
      </c>
      <c r="F234" t="s">
        <v>606</v>
      </c>
      <c r="G234" t="s">
        <v>156</v>
      </c>
      <c r="H234" t="s">
        <v>278</v>
      </c>
      <c r="I234" t="s">
        <v>131</v>
      </c>
      <c r="J234" t="s">
        <v>132</v>
      </c>
      <c r="K234">
        <v>3950</v>
      </c>
      <c r="L234" t="s">
        <v>795</v>
      </c>
      <c r="M234" t="s">
        <v>795</v>
      </c>
      <c r="N234" t="s">
        <v>731</v>
      </c>
      <c r="O234" t="s">
        <v>731</v>
      </c>
      <c r="P234" t="s">
        <v>732</v>
      </c>
      <c r="Q234" t="s">
        <v>733</v>
      </c>
      <c r="R234" t="s">
        <v>608</v>
      </c>
      <c r="S234" t="s">
        <v>289</v>
      </c>
      <c r="T234" t="s">
        <v>136</v>
      </c>
      <c r="U234" t="s">
        <v>131</v>
      </c>
      <c r="V234" t="s">
        <v>99</v>
      </c>
      <c r="W234" t="s">
        <v>131</v>
      </c>
      <c r="X234" t="s">
        <v>660</v>
      </c>
    </row>
    <row r="235" spans="1:24" x14ac:dyDescent="0.2">
      <c r="A235" t="s">
        <v>796</v>
      </c>
      <c r="B235">
        <v>785</v>
      </c>
      <c r="C235" t="s">
        <v>60</v>
      </c>
      <c r="D235" t="s">
        <v>156</v>
      </c>
      <c r="E235" t="s">
        <v>62</v>
      </c>
      <c r="F235" t="s">
        <v>681</v>
      </c>
      <c r="G235" t="s">
        <v>111</v>
      </c>
      <c r="H235" t="s">
        <v>112</v>
      </c>
      <c r="I235" t="s">
        <v>65</v>
      </c>
      <c r="J235" t="s">
        <v>66</v>
      </c>
      <c r="K235">
        <v>5950</v>
      </c>
      <c r="L235" t="s">
        <v>797</v>
      </c>
      <c r="M235" t="s">
        <v>797</v>
      </c>
      <c r="N235" t="s">
        <v>731</v>
      </c>
      <c r="O235" t="s">
        <v>731</v>
      </c>
      <c r="P235" t="s">
        <v>732</v>
      </c>
      <c r="Q235" t="s">
        <v>733</v>
      </c>
      <c r="R235" t="s">
        <v>683</v>
      </c>
      <c r="S235" t="s">
        <v>114</v>
      </c>
      <c r="T235" t="s">
        <v>75</v>
      </c>
      <c r="U235" t="s">
        <v>76</v>
      </c>
      <c r="V235" t="s">
        <v>99</v>
      </c>
      <c r="W235" t="s">
        <v>76</v>
      </c>
      <c r="X235" t="s">
        <v>684</v>
      </c>
    </row>
    <row r="236" spans="1:24" x14ac:dyDescent="0.2">
      <c r="A236" t="s">
        <v>798</v>
      </c>
      <c r="B236">
        <v>785</v>
      </c>
      <c r="C236" t="s">
        <v>60</v>
      </c>
      <c r="D236" t="s">
        <v>156</v>
      </c>
      <c r="E236" t="s">
        <v>80</v>
      </c>
      <c r="F236" t="s">
        <v>686</v>
      </c>
      <c r="G236" t="s">
        <v>111</v>
      </c>
      <c r="H236" t="s">
        <v>112</v>
      </c>
      <c r="I236" t="s">
        <v>82</v>
      </c>
      <c r="J236" t="s">
        <v>83</v>
      </c>
      <c r="K236">
        <v>6450</v>
      </c>
      <c r="L236" t="s">
        <v>799</v>
      </c>
      <c r="M236" t="s">
        <v>799</v>
      </c>
      <c r="N236" t="s">
        <v>731</v>
      </c>
      <c r="O236" t="s">
        <v>731</v>
      </c>
      <c r="P236" t="s">
        <v>732</v>
      </c>
      <c r="Q236" t="s">
        <v>733</v>
      </c>
      <c r="R236" t="s">
        <v>688</v>
      </c>
      <c r="S236" t="s">
        <v>118</v>
      </c>
      <c r="T236" t="s">
        <v>75</v>
      </c>
      <c r="U236" t="s">
        <v>76</v>
      </c>
      <c r="V236" t="s">
        <v>99</v>
      </c>
      <c r="W236" t="s">
        <v>76</v>
      </c>
      <c r="X236" t="s">
        <v>684</v>
      </c>
    </row>
    <row r="237" spans="1:24" x14ac:dyDescent="0.2">
      <c r="A237" t="s">
        <v>800</v>
      </c>
      <c r="B237">
        <v>785</v>
      </c>
      <c r="C237" t="s">
        <v>60</v>
      </c>
      <c r="D237" t="s">
        <v>156</v>
      </c>
      <c r="E237" t="s">
        <v>89</v>
      </c>
      <c r="F237" t="s">
        <v>606</v>
      </c>
      <c r="G237" t="s">
        <v>111</v>
      </c>
      <c r="H237" t="s">
        <v>112</v>
      </c>
      <c r="I237" t="s">
        <v>91</v>
      </c>
      <c r="J237" t="s">
        <v>92</v>
      </c>
      <c r="K237">
        <v>3550</v>
      </c>
      <c r="L237" t="s">
        <v>801</v>
      </c>
      <c r="M237" t="s">
        <v>801</v>
      </c>
      <c r="N237" t="s">
        <v>731</v>
      </c>
      <c r="O237" t="s">
        <v>731</v>
      </c>
      <c r="P237" t="s">
        <v>732</v>
      </c>
      <c r="Q237" t="s">
        <v>733</v>
      </c>
      <c r="R237" t="s">
        <v>608</v>
      </c>
      <c r="S237" t="s">
        <v>122</v>
      </c>
      <c r="T237" t="s">
        <v>97</v>
      </c>
      <c r="U237" t="s">
        <v>98</v>
      </c>
      <c r="V237" t="s">
        <v>99</v>
      </c>
      <c r="W237" t="s">
        <v>98</v>
      </c>
      <c r="X237" t="s">
        <v>100</v>
      </c>
    </row>
    <row r="238" spans="1:24" x14ac:dyDescent="0.2">
      <c r="A238" t="s">
        <v>802</v>
      </c>
      <c r="B238">
        <v>785</v>
      </c>
      <c r="C238" t="s">
        <v>60</v>
      </c>
      <c r="D238" t="s">
        <v>156</v>
      </c>
      <c r="E238" t="s">
        <v>89</v>
      </c>
      <c r="F238" t="s">
        <v>606</v>
      </c>
      <c r="G238" t="s">
        <v>111</v>
      </c>
      <c r="H238" t="s">
        <v>112</v>
      </c>
      <c r="I238" t="s">
        <v>102</v>
      </c>
      <c r="J238" t="s">
        <v>103</v>
      </c>
      <c r="K238">
        <v>3450</v>
      </c>
      <c r="L238" t="s">
        <v>803</v>
      </c>
      <c r="M238" t="s">
        <v>803</v>
      </c>
      <c r="N238" t="s">
        <v>731</v>
      </c>
      <c r="O238" t="s">
        <v>731</v>
      </c>
      <c r="P238" t="s">
        <v>732</v>
      </c>
      <c r="Q238" t="s">
        <v>733</v>
      </c>
      <c r="R238" t="s">
        <v>608</v>
      </c>
      <c r="S238" t="s">
        <v>126</v>
      </c>
      <c r="T238" t="s">
        <v>127</v>
      </c>
      <c r="U238" t="s">
        <v>128</v>
      </c>
      <c r="V238" t="s">
        <v>99</v>
      </c>
      <c r="W238" t="s">
        <v>128</v>
      </c>
      <c r="X238" t="s">
        <v>708</v>
      </c>
    </row>
    <row r="239" spans="1:24" x14ac:dyDescent="0.2">
      <c r="A239" t="s">
        <v>804</v>
      </c>
      <c r="B239">
        <v>785</v>
      </c>
      <c r="C239" t="s">
        <v>60</v>
      </c>
      <c r="D239" t="s">
        <v>156</v>
      </c>
      <c r="E239" t="s">
        <v>89</v>
      </c>
      <c r="F239" t="s">
        <v>606</v>
      </c>
      <c r="G239" t="s">
        <v>111</v>
      </c>
      <c r="H239" t="s">
        <v>112</v>
      </c>
      <c r="I239" t="s">
        <v>131</v>
      </c>
      <c r="J239" t="s">
        <v>132</v>
      </c>
      <c r="K239">
        <v>3950</v>
      </c>
      <c r="L239" t="s">
        <v>805</v>
      </c>
      <c r="M239" t="s">
        <v>805</v>
      </c>
      <c r="N239" t="s">
        <v>731</v>
      </c>
      <c r="O239" t="s">
        <v>731</v>
      </c>
      <c r="P239" t="s">
        <v>732</v>
      </c>
      <c r="Q239" t="s">
        <v>733</v>
      </c>
      <c r="R239" t="s">
        <v>608</v>
      </c>
      <c r="S239" t="s">
        <v>135</v>
      </c>
      <c r="T239" t="s">
        <v>136</v>
      </c>
      <c r="U239" t="s">
        <v>131</v>
      </c>
      <c r="V239" t="s">
        <v>99</v>
      </c>
      <c r="W239" t="s">
        <v>131</v>
      </c>
      <c r="X239" t="s">
        <v>660</v>
      </c>
    </row>
    <row r="240" spans="1:24" x14ac:dyDescent="0.2">
      <c r="A240" t="s">
        <v>806</v>
      </c>
      <c r="B240">
        <v>785</v>
      </c>
      <c r="C240" t="s">
        <v>60</v>
      </c>
      <c r="D240" t="s">
        <v>156</v>
      </c>
      <c r="E240" t="s">
        <v>89</v>
      </c>
      <c r="F240" t="s">
        <v>606</v>
      </c>
      <c r="G240" t="s">
        <v>306</v>
      </c>
      <c r="H240" t="s">
        <v>307</v>
      </c>
      <c r="I240" t="s">
        <v>91</v>
      </c>
      <c r="J240" t="s">
        <v>92</v>
      </c>
      <c r="K240">
        <v>4250</v>
      </c>
      <c r="L240" t="s">
        <v>807</v>
      </c>
      <c r="M240" t="s">
        <v>807</v>
      </c>
      <c r="N240" t="s">
        <v>731</v>
      </c>
      <c r="O240" t="s">
        <v>731</v>
      </c>
      <c r="P240" t="s">
        <v>732</v>
      </c>
      <c r="Q240" t="s">
        <v>733</v>
      </c>
      <c r="R240" t="s">
        <v>608</v>
      </c>
      <c r="S240" t="s">
        <v>309</v>
      </c>
      <c r="T240" t="s">
        <v>97</v>
      </c>
      <c r="U240" t="s">
        <v>98</v>
      </c>
      <c r="V240" t="s">
        <v>99</v>
      </c>
      <c r="W240" t="s">
        <v>98</v>
      </c>
      <c r="X240" t="s">
        <v>100</v>
      </c>
    </row>
    <row r="241" spans="1:24" x14ac:dyDescent="0.2">
      <c r="A241" t="s">
        <v>808</v>
      </c>
      <c r="B241">
        <v>785</v>
      </c>
      <c r="C241" t="s">
        <v>60</v>
      </c>
      <c r="D241" t="s">
        <v>156</v>
      </c>
      <c r="E241" t="s">
        <v>89</v>
      </c>
      <c r="F241" t="s">
        <v>606</v>
      </c>
      <c r="G241" t="s">
        <v>306</v>
      </c>
      <c r="H241" t="s">
        <v>307</v>
      </c>
      <c r="I241" t="s">
        <v>102</v>
      </c>
      <c r="J241" t="s">
        <v>103</v>
      </c>
      <c r="K241">
        <v>4150</v>
      </c>
      <c r="L241" t="s">
        <v>809</v>
      </c>
      <c r="M241" t="s">
        <v>809</v>
      </c>
      <c r="N241" t="s">
        <v>731</v>
      </c>
      <c r="O241" t="s">
        <v>731</v>
      </c>
      <c r="P241" t="s">
        <v>732</v>
      </c>
      <c r="Q241" t="s">
        <v>733</v>
      </c>
      <c r="R241" t="s">
        <v>608</v>
      </c>
      <c r="S241" t="s">
        <v>312</v>
      </c>
      <c r="T241" t="s">
        <v>313</v>
      </c>
      <c r="U241" t="s">
        <v>314</v>
      </c>
      <c r="V241" t="s">
        <v>99</v>
      </c>
      <c r="W241" t="s">
        <v>314</v>
      </c>
      <c r="X241" t="s">
        <v>715</v>
      </c>
    </row>
    <row r="242" spans="1:24" x14ac:dyDescent="0.2">
      <c r="A242" t="s">
        <v>810</v>
      </c>
      <c r="B242">
        <v>785</v>
      </c>
      <c r="C242" t="s">
        <v>60</v>
      </c>
      <c r="D242" t="s">
        <v>156</v>
      </c>
      <c r="E242" t="s">
        <v>89</v>
      </c>
      <c r="F242" t="s">
        <v>606</v>
      </c>
      <c r="G242" t="s">
        <v>306</v>
      </c>
      <c r="H242" t="s">
        <v>307</v>
      </c>
      <c r="I242" t="s">
        <v>131</v>
      </c>
      <c r="J242" t="s">
        <v>132</v>
      </c>
      <c r="K242">
        <v>4650</v>
      </c>
      <c r="L242" t="s">
        <v>811</v>
      </c>
      <c r="M242" t="s">
        <v>811</v>
      </c>
      <c r="N242" t="s">
        <v>731</v>
      </c>
      <c r="O242" t="s">
        <v>731</v>
      </c>
      <c r="P242" t="s">
        <v>732</v>
      </c>
      <c r="Q242" t="s">
        <v>733</v>
      </c>
      <c r="R242" t="s">
        <v>608</v>
      </c>
      <c r="S242" t="s">
        <v>318</v>
      </c>
      <c r="T242" t="s">
        <v>136</v>
      </c>
      <c r="U242" t="s">
        <v>131</v>
      </c>
      <c r="V242" t="s">
        <v>99</v>
      </c>
      <c r="W242" t="s">
        <v>131</v>
      </c>
      <c r="X242" t="s">
        <v>660</v>
      </c>
    </row>
    <row r="243" spans="1:24" x14ac:dyDescent="0.2">
      <c r="A243" t="s">
        <v>812</v>
      </c>
      <c r="B243">
        <v>785</v>
      </c>
      <c r="C243" t="s">
        <v>60</v>
      </c>
      <c r="D243" t="s">
        <v>156</v>
      </c>
      <c r="E243" t="s">
        <v>89</v>
      </c>
      <c r="F243" t="s">
        <v>606</v>
      </c>
      <c r="H243" t="s">
        <v>64</v>
      </c>
      <c r="I243" t="s">
        <v>131</v>
      </c>
      <c r="J243" t="s">
        <v>132</v>
      </c>
      <c r="K243">
        <v>3250</v>
      </c>
      <c r="L243" t="s">
        <v>813</v>
      </c>
      <c r="M243" t="s">
        <v>813</v>
      </c>
      <c r="N243" t="s">
        <v>731</v>
      </c>
      <c r="O243" t="s">
        <v>731</v>
      </c>
      <c r="P243" t="s">
        <v>732</v>
      </c>
      <c r="Q243" t="s">
        <v>733</v>
      </c>
      <c r="R243" t="s">
        <v>608</v>
      </c>
      <c r="S243" t="s">
        <v>149</v>
      </c>
      <c r="T243" t="s">
        <v>136</v>
      </c>
      <c r="U243" t="s">
        <v>131</v>
      </c>
      <c r="V243" t="s">
        <v>99</v>
      </c>
      <c r="W243" t="s">
        <v>131</v>
      </c>
      <c r="X243" t="s">
        <v>660</v>
      </c>
    </row>
    <row r="244" spans="1:24" x14ac:dyDescent="0.2">
      <c r="A244" t="s">
        <v>814</v>
      </c>
      <c r="B244" t="s">
        <v>815</v>
      </c>
      <c r="C244" t="s">
        <v>60</v>
      </c>
      <c r="D244" t="s">
        <v>61</v>
      </c>
      <c r="E244" t="s">
        <v>271</v>
      </c>
      <c r="F244" t="s">
        <v>272</v>
      </c>
      <c r="G244" t="s">
        <v>159</v>
      </c>
      <c r="H244" t="s">
        <v>160</v>
      </c>
      <c r="I244" t="s">
        <v>102</v>
      </c>
      <c r="J244" t="s">
        <v>103</v>
      </c>
      <c r="K244">
        <v>3850</v>
      </c>
      <c r="L244" t="s">
        <v>816</v>
      </c>
      <c r="M244" t="s">
        <v>816</v>
      </c>
      <c r="N244" t="s">
        <v>263</v>
      </c>
      <c r="O244" t="s">
        <v>263</v>
      </c>
      <c r="P244" t="s">
        <v>264</v>
      </c>
      <c r="Q244" t="s">
        <v>265</v>
      </c>
      <c r="R244" t="s">
        <v>274</v>
      </c>
      <c r="S244" t="s">
        <v>166</v>
      </c>
      <c r="T244" t="s">
        <v>107</v>
      </c>
      <c r="U244" t="s">
        <v>108</v>
      </c>
      <c r="V244" t="s">
        <v>77</v>
      </c>
      <c r="W244" t="s">
        <v>108</v>
      </c>
      <c r="X244" t="s">
        <v>109</v>
      </c>
    </row>
    <row r="245" spans="1:24" x14ac:dyDescent="0.2">
      <c r="A245" t="s">
        <v>817</v>
      </c>
      <c r="B245" t="s">
        <v>329</v>
      </c>
      <c r="C245" t="s">
        <v>60</v>
      </c>
      <c r="D245" t="s">
        <v>61</v>
      </c>
      <c r="E245" t="s">
        <v>89</v>
      </c>
      <c r="F245" t="s">
        <v>341</v>
      </c>
      <c r="G245" t="s">
        <v>159</v>
      </c>
      <c r="H245" t="s">
        <v>160</v>
      </c>
      <c r="I245" t="s">
        <v>102</v>
      </c>
      <c r="J245" t="s">
        <v>103</v>
      </c>
      <c r="K245">
        <v>3850</v>
      </c>
      <c r="L245" t="s">
        <v>818</v>
      </c>
      <c r="M245" t="s">
        <v>818</v>
      </c>
      <c r="N245" t="s">
        <v>332</v>
      </c>
      <c r="O245" t="s">
        <v>332</v>
      </c>
      <c r="P245" t="s">
        <v>333</v>
      </c>
      <c r="Q245" t="s">
        <v>334</v>
      </c>
      <c r="R245" t="s">
        <v>95</v>
      </c>
      <c r="S245" t="s">
        <v>166</v>
      </c>
      <c r="T245" t="s">
        <v>107</v>
      </c>
      <c r="U245" t="s">
        <v>108</v>
      </c>
      <c r="V245" t="s">
        <v>77</v>
      </c>
      <c r="W245" t="s">
        <v>108</v>
      </c>
      <c r="X245" t="s">
        <v>109</v>
      </c>
    </row>
    <row r="246" spans="1:24" x14ac:dyDescent="0.2">
      <c r="A246" t="s">
        <v>819</v>
      </c>
      <c r="B246">
        <v>794.97799999999995</v>
      </c>
      <c r="C246" t="s">
        <v>60</v>
      </c>
      <c r="D246" t="s">
        <v>61</v>
      </c>
      <c r="E246" t="s">
        <v>89</v>
      </c>
      <c r="F246" t="s">
        <v>341</v>
      </c>
      <c r="H246" t="s">
        <v>64</v>
      </c>
      <c r="I246" t="s">
        <v>65</v>
      </c>
      <c r="J246" t="s">
        <v>66</v>
      </c>
      <c r="K246">
        <v>6250</v>
      </c>
      <c r="L246" t="s">
        <v>820</v>
      </c>
      <c r="M246" t="s">
        <v>820</v>
      </c>
      <c r="N246" t="s">
        <v>385</v>
      </c>
      <c r="O246" t="s">
        <v>385</v>
      </c>
      <c r="P246" t="s">
        <v>821</v>
      </c>
      <c r="Q246" t="s">
        <v>822</v>
      </c>
      <c r="R246" t="s">
        <v>95</v>
      </c>
      <c r="S246" t="s">
        <v>74</v>
      </c>
      <c r="T246" t="s">
        <v>75</v>
      </c>
      <c r="U246" t="s">
        <v>76</v>
      </c>
      <c r="V246" t="s">
        <v>99</v>
      </c>
      <c r="W246" t="s">
        <v>76</v>
      </c>
      <c r="X246" t="s">
        <v>684</v>
      </c>
    </row>
    <row r="247" spans="1:24" x14ac:dyDescent="0.2">
      <c r="A247" t="s">
        <v>823</v>
      </c>
      <c r="B247">
        <v>794.97799999999995</v>
      </c>
      <c r="C247" t="s">
        <v>60</v>
      </c>
      <c r="D247" t="s">
        <v>61</v>
      </c>
      <c r="E247" t="s">
        <v>62</v>
      </c>
      <c r="F247" t="s">
        <v>330</v>
      </c>
      <c r="H247" t="s">
        <v>64</v>
      </c>
      <c r="I247" t="s">
        <v>82</v>
      </c>
      <c r="J247" t="s">
        <v>83</v>
      </c>
      <c r="K247">
        <v>6750</v>
      </c>
      <c r="L247" t="s">
        <v>824</v>
      </c>
      <c r="M247" t="s">
        <v>824</v>
      </c>
      <c r="N247" t="s">
        <v>385</v>
      </c>
      <c r="O247" t="s">
        <v>385</v>
      </c>
      <c r="P247" t="s">
        <v>821</v>
      </c>
      <c r="Q247" t="s">
        <v>822</v>
      </c>
      <c r="R247" t="s">
        <v>73</v>
      </c>
      <c r="S247" t="s">
        <v>87</v>
      </c>
      <c r="T247" t="s">
        <v>75</v>
      </c>
      <c r="U247" t="s">
        <v>76</v>
      </c>
      <c r="V247" t="s">
        <v>99</v>
      </c>
      <c r="W247" t="s">
        <v>76</v>
      </c>
      <c r="X247" t="s">
        <v>684</v>
      </c>
    </row>
    <row r="248" spans="1:24" x14ac:dyDescent="0.2">
      <c r="A248" t="s">
        <v>825</v>
      </c>
      <c r="B248">
        <v>794.97799999999995</v>
      </c>
      <c r="C248" t="s">
        <v>60</v>
      </c>
      <c r="D248" t="s">
        <v>61</v>
      </c>
      <c r="E248" t="s">
        <v>512</v>
      </c>
      <c r="F248" t="s">
        <v>513</v>
      </c>
      <c r="H248" t="s">
        <v>64</v>
      </c>
      <c r="I248" t="s">
        <v>91</v>
      </c>
      <c r="J248" t="s">
        <v>92</v>
      </c>
      <c r="K248">
        <v>3850</v>
      </c>
      <c r="L248" t="s">
        <v>826</v>
      </c>
      <c r="M248" t="s">
        <v>826</v>
      </c>
      <c r="N248" t="s">
        <v>385</v>
      </c>
      <c r="O248" t="s">
        <v>385</v>
      </c>
      <c r="P248" t="s">
        <v>821</v>
      </c>
      <c r="Q248" t="s">
        <v>822</v>
      </c>
      <c r="R248" t="s">
        <v>515</v>
      </c>
      <c r="S248" t="s">
        <v>96</v>
      </c>
      <c r="T248" t="s">
        <v>97</v>
      </c>
      <c r="U248" t="s">
        <v>98</v>
      </c>
      <c r="V248" t="s">
        <v>99</v>
      </c>
      <c r="W248" t="s">
        <v>98</v>
      </c>
      <c r="X248" t="s">
        <v>100</v>
      </c>
    </row>
    <row r="249" spans="1:24" x14ac:dyDescent="0.2">
      <c r="A249" t="s">
        <v>827</v>
      </c>
      <c r="B249">
        <v>794.97799999999995</v>
      </c>
      <c r="C249" t="s">
        <v>60</v>
      </c>
      <c r="D249" t="s">
        <v>61</v>
      </c>
      <c r="E249" t="s">
        <v>512</v>
      </c>
      <c r="F249" t="s">
        <v>513</v>
      </c>
      <c r="H249" t="s">
        <v>64</v>
      </c>
      <c r="I249" t="s">
        <v>102</v>
      </c>
      <c r="J249" t="s">
        <v>103</v>
      </c>
      <c r="K249">
        <v>3750</v>
      </c>
      <c r="L249" t="s">
        <v>828</v>
      </c>
      <c r="M249" t="s">
        <v>828</v>
      </c>
      <c r="N249" t="s">
        <v>385</v>
      </c>
      <c r="O249" t="s">
        <v>385</v>
      </c>
      <c r="P249" t="s">
        <v>821</v>
      </c>
      <c r="Q249" t="s">
        <v>822</v>
      </c>
      <c r="R249" t="s">
        <v>515</v>
      </c>
      <c r="S249" t="s">
        <v>106</v>
      </c>
      <c r="T249" t="s">
        <v>107</v>
      </c>
      <c r="U249" t="s">
        <v>108</v>
      </c>
      <c r="V249" t="s">
        <v>99</v>
      </c>
      <c r="W249" t="s">
        <v>108</v>
      </c>
      <c r="X249" t="s">
        <v>693</v>
      </c>
    </row>
    <row r="250" spans="1:24" x14ac:dyDescent="0.2">
      <c r="A250" t="s">
        <v>829</v>
      </c>
      <c r="B250">
        <v>794.97799999999995</v>
      </c>
      <c r="C250" t="s">
        <v>60</v>
      </c>
      <c r="D250" t="s">
        <v>61</v>
      </c>
      <c r="E250" t="s">
        <v>512</v>
      </c>
      <c r="F250" t="s">
        <v>513</v>
      </c>
      <c r="G250" t="s">
        <v>156</v>
      </c>
      <c r="H250" t="s">
        <v>278</v>
      </c>
      <c r="I250" t="s">
        <v>91</v>
      </c>
      <c r="J250" t="s">
        <v>92</v>
      </c>
      <c r="K250">
        <v>4550</v>
      </c>
      <c r="L250" t="s">
        <v>830</v>
      </c>
      <c r="M250" t="s">
        <v>830</v>
      </c>
      <c r="N250" t="s">
        <v>385</v>
      </c>
      <c r="O250" t="s">
        <v>385</v>
      </c>
      <c r="P250" t="s">
        <v>821</v>
      </c>
      <c r="Q250" t="s">
        <v>822</v>
      </c>
      <c r="R250" t="s">
        <v>515</v>
      </c>
      <c r="S250" t="s">
        <v>280</v>
      </c>
      <c r="T250" t="s">
        <v>97</v>
      </c>
      <c r="U250" t="s">
        <v>98</v>
      </c>
      <c r="V250" t="s">
        <v>99</v>
      </c>
      <c r="W250" t="s">
        <v>98</v>
      </c>
      <c r="X250" t="s">
        <v>100</v>
      </c>
    </row>
    <row r="251" spans="1:24" x14ac:dyDescent="0.2">
      <c r="A251" t="s">
        <v>831</v>
      </c>
      <c r="B251">
        <v>794.97799999999995</v>
      </c>
      <c r="C251" t="s">
        <v>60</v>
      </c>
      <c r="D251" t="s">
        <v>61</v>
      </c>
      <c r="E251" t="s">
        <v>512</v>
      </c>
      <c r="F251" t="s">
        <v>513</v>
      </c>
      <c r="G251" t="s">
        <v>156</v>
      </c>
      <c r="H251" t="s">
        <v>278</v>
      </c>
      <c r="I251" t="s">
        <v>102</v>
      </c>
      <c r="J251" t="s">
        <v>103</v>
      </c>
      <c r="K251">
        <v>4450</v>
      </c>
      <c r="L251" t="s">
        <v>832</v>
      </c>
      <c r="M251" t="s">
        <v>832</v>
      </c>
      <c r="N251" t="s">
        <v>385</v>
      </c>
      <c r="O251" t="s">
        <v>385</v>
      </c>
      <c r="P251" t="s">
        <v>821</v>
      </c>
      <c r="Q251" t="s">
        <v>822</v>
      </c>
      <c r="R251" t="s">
        <v>515</v>
      </c>
      <c r="S251" t="s">
        <v>283</v>
      </c>
      <c r="T251" t="s">
        <v>284</v>
      </c>
      <c r="U251" t="s">
        <v>285</v>
      </c>
      <c r="V251" t="s">
        <v>99</v>
      </c>
      <c r="W251" t="s">
        <v>285</v>
      </c>
      <c r="X251" t="s">
        <v>672</v>
      </c>
    </row>
    <row r="252" spans="1:24" x14ac:dyDescent="0.2">
      <c r="A252" t="s">
        <v>833</v>
      </c>
      <c r="B252">
        <v>794.97799999999995</v>
      </c>
      <c r="C252" t="s">
        <v>60</v>
      </c>
      <c r="D252" t="s">
        <v>61</v>
      </c>
      <c r="E252" t="s">
        <v>512</v>
      </c>
      <c r="F252" t="s">
        <v>513</v>
      </c>
      <c r="G252" t="s">
        <v>156</v>
      </c>
      <c r="H252" t="s">
        <v>278</v>
      </c>
      <c r="I252" t="s">
        <v>131</v>
      </c>
      <c r="J252" t="s">
        <v>132</v>
      </c>
      <c r="K252">
        <v>4950</v>
      </c>
      <c r="L252" t="s">
        <v>834</v>
      </c>
      <c r="M252" t="s">
        <v>834</v>
      </c>
      <c r="N252" t="s">
        <v>385</v>
      </c>
      <c r="O252" t="s">
        <v>385</v>
      </c>
      <c r="P252" t="s">
        <v>821</v>
      </c>
      <c r="Q252" t="s">
        <v>822</v>
      </c>
      <c r="R252" t="s">
        <v>515</v>
      </c>
      <c r="S252" t="s">
        <v>289</v>
      </c>
      <c r="T252" t="s">
        <v>136</v>
      </c>
      <c r="U252" t="s">
        <v>131</v>
      </c>
      <c r="V252" t="s">
        <v>99</v>
      </c>
      <c r="W252" t="s">
        <v>131</v>
      </c>
      <c r="X252" t="s">
        <v>660</v>
      </c>
    </row>
    <row r="253" spans="1:24" x14ac:dyDescent="0.2">
      <c r="A253" t="s">
        <v>835</v>
      </c>
      <c r="B253">
        <v>794.97799999999995</v>
      </c>
      <c r="C253" t="s">
        <v>60</v>
      </c>
      <c r="D253" t="s">
        <v>156</v>
      </c>
      <c r="E253" t="s">
        <v>89</v>
      </c>
      <c r="F253" t="s">
        <v>606</v>
      </c>
      <c r="G253" t="s">
        <v>156</v>
      </c>
      <c r="H253" t="s">
        <v>278</v>
      </c>
      <c r="I253" t="s">
        <v>139</v>
      </c>
      <c r="J253" t="s">
        <v>140</v>
      </c>
      <c r="K253">
        <v>3950</v>
      </c>
      <c r="L253" t="s">
        <v>836</v>
      </c>
      <c r="M253" t="s">
        <v>836</v>
      </c>
      <c r="N253" t="s">
        <v>385</v>
      </c>
      <c r="O253" t="s">
        <v>385</v>
      </c>
      <c r="P253" t="s">
        <v>821</v>
      </c>
      <c r="Q253" t="s">
        <v>822</v>
      </c>
      <c r="R253" t="s">
        <v>608</v>
      </c>
      <c r="S253" t="s">
        <v>292</v>
      </c>
      <c r="T253" t="s">
        <v>144</v>
      </c>
      <c r="U253" t="s">
        <v>139</v>
      </c>
      <c r="V253" t="s">
        <v>99</v>
      </c>
      <c r="W253" t="s">
        <v>139</v>
      </c>
      <c r="X253" t="s">
        <v>145</v>
      </c>
    </row>
    <row r="254" spans="1:24" x14ac:dyDescent="0.2">
      <c r="A254" t="s">
        <v>837</v>
      </c>
      <c r="B254">
        <v>794.97799999999995</v>
      </c>
      <c r="C254" t="s">
        <v>60</v>
      </c>
      <c r="D254" t="s">
        <v>61</v>
      </c>
      <c r="E254" t="s">
        <v>512</v>
      </c>
      <c r="F254" t="s">
        <v>513</v>
      </c>
      <c r="G254" t="s">
        <v>156</v>
      </c>
      <c r="H254" t="s">
        <v>278</v>
      </c>
      <c r="I254" t="s">
        <v>139</v>
      </c>
      <c r="J254" t="s">
        <v>140</v>
      </c>
      <c r="K254">
        <v>4950</v>
      </c>
      <c r="L254" t="s">
        <v>838</v>
      </c>
      <c r="M254" t="s">
        <v>838</v>
      </c>
      <c r="N254" t="s">
        <v>385</v>
      </c>
      <c r="O254" t="s">
        <v>385</v>
      </c>
      <c r="P254" t="s">
        <v>821</v>
      </c>
      <c r="Q254" t="s">
        <v>822</v>
      </c>
      <c r="R254" t="s">
        <v>515</v>
      </c>
      <c r="S254" t="s">
        <v>292</v>
      </c>
      <c r="T254" t="s">
        <v>144</v>
      </c>
      <c r="U254" t="s">
        <v>139</v>
      </c>
      <c r="V254" t="s">
        <v>99</v>
      </c>
      <c r="W254" t="s">
        <v>139</v>
      </c>
      <c r="X254" t="s">
        <v>145</v>
      </c>
    </row>
    <row r="255" spans="1:24" x14ac:dyDescent="0.2">
      <c r="A255" t="s">
        <v>839</v>
      </c>
      <c r="B255">
        <v>794.97799999999995</v>
      </c>
      <c r="C255" t="s">
        <v>60</v>
      </c>
      <c r="D255" t="s">
        <v>612</v>
      </c>
      <c r="E255" t="s">
        <v>613</v>
      </c>
      <c r="F255" t="s">
        <v>614</v>
      </c>
      <c r="G255" t="s">
        <v>156</v>
      </c>
      <c r="H255" t="s">
        <v>278</v>
      </c>
      <c r="I255" t="s">
        <v>139</v>
      </c>
      <c r="J255" t="s">
        <v>140</v>
      </c>
      <c r="K255">
        <v>5450</v>
      </c>
      <c r="L255" t="s">
        <v>840</v>
      </c>
      <c r="M255" t="s">
        <v>840</v>
      </c>
      <c r="N255" t="s">
        <v>385</v>
      </c>
      <c r="O255" t="s">
        <v>385</v>
      </c>
      <c r="P255" t="s">
        <v>821</v>
      </c>
      <c r="Q255" t="s">
        <v>822</v>
      </c>
      <c r="R255" t="s">
        <v>616</v>
      </c>
      <c r="S255" t="s">
        <v>292</v>
      </c>
      <c r="T255" t="s">
        <v>144</v>
      </c>
      <c r="U255" t="s">
        <v>139</v>
      </c>
      <c r="V255" t="s">
        <v>99</v>
      </c>
      <c r="W255" t="s">
        <v>139</v>
      </c>
      <c r="X255" t="s">
        <v>145</v>
      </c>
    </row>
    <row r="256" spans="1:24" x14ac:dyDescent="0.2">
      <c r="A256" t="s">
        <v>841</v>
      </c>
      <c r="B256">
        <v>794.97799999999995</v>
      </c>
      <c r="C256" t="s">
        <v>60</v>
      </c>
      <c r="D256" t="s">
        <v>61</v>
      </c>
      <c r="E256" t="s">
        <v>89</v>
      </c>
      <c r="F256" t="s">
        <v>341</v>
      </c>
      <c r="G256" t="s">
        <v>111</v>
      </c>
      <c r="H256" t="s">
        <v>112</v>
      </c>
      <c r="I256" t="s">
        <v>65</v>
      </c>
      <c r="J256" t="s">
        <v>66</v>
      </c>
      <c r="K256">
        <v>6950</v>
      </c>
      <c r="L256" t="s">
        <v>842</v>
      </c>
      <c r="M256" t="s">
        <v>842</v>
      </c>
      <c r="N256" t="s">
        <v>385</v>
      </c>
      <c r="O256" t="s">
        <v>385</v>
      </c>
      <c r="P256" t="s">
        <v>821</v>
      </c>
      <c r="Q256" t="s">
        <v>822</v>
      </c>
      <c r="R256" t="s">
        <v>95</v>
      </c>
      <c r="S256" t="s">
        <v>114</v>
      </c>
      <c r="T256" t="s">
        <v>75</v>
      </c>
      <c r="U256" t="s">
        <v>76</v>
      </c>
      <c r="V256" t="s">
        <v>99</v>
      </c>
      <c r="W256" t="s">
        <v>76</v>
      </c>
      <c r="X256" t="s">
        <v>684</v>
      </c>
    </row>
    <row r="257" spans="1:24" x14ac:dyDescent="0.2">
      <c r="A257" t="s">
        <v>843</v>
      </c>
      <c r="B257">
        <v>794.97799999999995</v>
      </c>
      <c r="C257" t="s">
        <v>60</v>
      </c>
      <c r="D257" t="s">
        <v>61</v>
      </c>
      <c r="E257" t="s">
        <v>62</v>
      </c>
      <c r="F257" t="s">
        <v>330</v>
      </c>
      <c r="G257" t="s">
        <v>111</v>
      </c>
      <c r="H257" t="s">
        <v>112</v>
      </c>
      <c r="I257" t="s">
        <v>82</v>
      </c>
      <c r="J257" t="s">
        <v>83</v>
      </c>
      <c r="K257">
        <v>7450</v>
      </c>
      <c r="L257" t="s">
        <v>844</v>
      </c>
      <c r="M257" t="s">
        <v>844</v>
      </c>
      <c r="N257" t="s">
        <v>385</v>
      </c>
      <c r="O257" t="s">
        <v>385</v>
      </c>
      <c r="P257" t="s">
        <v>821</v>
      </c>
      <c r="Q257" t="s">
        <v>822</v>
      </c>
      <c r="R257" t="s">
        <v>73</v>
      </c>
      <c r="S257" t="s">
        <v>118</v>
      </c>
      <c r="T257" t="s">
        <v>75</v>
      </c>
      <c r="U257" t="s">
        <v>76</v>
      </c>
      <c r="V257" t="s">
        <v>99</v>
      </c>
      <c r="W257" t="s">
        <v>76</v>
      </c>
      <c r="X257" t="s">
        <v>684</v>
      </c>
    </row>
    <row r="258" spans="1:24" x14ac:dyDescent="0.2">
      <c r="A258" t="s">
        <v>845</v>
      </c>
      <c r="B258">
        <v>794.97799999999995</v>
      </c>
      <c r="C258" t="s">
        <v>60</v>
      </c>
      <c r="D258" t="s">
        <v>61</v>
      </c>
      <c r="E258" t="s">
        <v>512</v>
      </c>
      <c r="F258" t="s">
        <v>513</v>
      </c>
      <c r="G258" t="s">
        <v>111</v>
      </c>
      <c r="H258" t="s">
        <v>112</v>
      </c>
      <c r="I258" t="s">
        <v>91</v>
      </c>
      <c r="J258" t="s">
        <v>92</v>
      </c>
      <c r="K258">
        <v>4550</v>
      </c>
      <c r="L258" t="s">
        <v>846</v>
      </c>
      <c r="M258" t="s">
        <v>846</v>
      </c>
      <c r="N258" t="s">
        <v>385</v>
      </c>
      <c r="O258" t="s">
        <v>385</v>
      </c>
      <c r="P258" t="s">
        <v>821</v>
      </c>
      <c r="Q258" t="s">
        <v>822</v>
      </c>
      <c r="R258" t="s">
        <v>515</v>
      </c>
      <c r="S258" t="s">
        <v>122</v>
      </c>
      <c r="T258" t="s">
        <v>97</v>
      </c>
      <c r="U258" t="s">
        <v>98</v>
      </c>
      <c r="V258" t="s">
        <v>99</v>
      </c>
      <c r="W258" t="s">
        <v>98</v>
      </c>
      <c r="X258" t="s">
        <v>100</v>
      </c>
    </row>
    <row r="259" spans="1:24" x14ac:dyDescent="0.2">
      <c r="A259" t="s">
        <v>847</v>
      </c>
      <c r="B259">
        <v>794.97799999999995</v>
      </c>
      <c r="C259" t="s">
        <v>60</v>
      </c>
      <c r="D259" t="s">
        <v>61</v>
      </c>
      <c r="E259" t="s">
        <v>512</v>
      </c>
      <c r="F259" t="s">
        <v>513</v>
      </c>
      <c r="G259" t="s">
        <v>111</v>
      </c>
      <c r="H259" t="s">
        <v>112</v>
      </c>
      <c r="I259" t="s">
        <v>102</v>
      </c>
      <c r="J259" t="s">
        <v>103</v>
      </c>
      <c r="K259">
        <v>4450</v>
      </c>
      <c r="L259" t="s">
        <v>848</v>
      </c>
      <c r="M259" t="s">
        <v>848</v>
      </c>
      <c r="N259" t="s">
        <v>385</v>
      </c>
      <c r="O259" t="s">
        <v>385</v>
      </c>
      <c r="P259" t="s">
        <v>821</v>
      </c>
      <c r="Q259" t="s">
        <v>822</v>
      </c>
      <c r="R259" t="s">
        <v>515</v>
      </c>
      <c r="S259" t="s">
        <v>126</v>
      </c>
      <c r="T259" t="s">
        <v>127</v>
      </c>
      <c r="U259" t="s">
        <v>128</v>
      </c>
      <c r="V259" t="s">
        <v>99</v>
      </c>
      <c r="W259" t="s">
        <v>128</v>
      </c>
      <c r="X259" t="s">
        <v>708</v>
      </c>
    </row>
    <row r="260" spans="1:24" x14ac:dyDescent="0.2">
      <c r="A260" t="s">
        <v>849</v>
      </c>
      <c r="B260">
        <v>794.97799999999995</v>
      </c>
      <c r="C260" t="s">
        <v>60</v>
      </c>
      <c r="D260" t="s">
        <v>61</v>
      </c>
      <c r="E260" t="s">
        <v>512</v>
      </c>
      <c r="F260" t="s">
        <v>513</v>
      </c>
      <c r="G260" t="s">
        <v>111</v>
      </c>
      <c r="H260" t="s">
        <v>112</v>
      </c>
      <c r="I260" t="s">
        <v>131</v>
      </c>
      <c r="J260" t="s">
        <v>132</v>
      </c>
      <c r="K260">
        <v>4950</v>
      </c>
      <c r="L260" t="s">
        <v>850</v>
      </c>
      <c r="M260" t="s">
        <v>850</v>
      </c>
      <c r="N260" t="s">
        <v>385</v>
      </c>
      <c r="O260" t="s">
        <v>385</v>
      </c>
      <c r="P260" t="s">
        <v>821</v>
      </c>
      <c r="Q260" t="s">
        <v>822</v>
      </c>
      <c r="R260" t="s">
        <v>515</v>
      </c>
      <c r="S260" t="s">
        <v>135</v>
      </c>
      <c r="T260" t="s">
        <v>136</v>
      </c>
      <c r="U260" t="s">
        <v>131</v>
      </c>
      <c r="V260" t="s">
        <v>99</v>
      </c>
      <c r="W260" t="s">
        <v>131</v>
      </c>
      <c r="X260" t="s">
        <v>660</v>
      </c>
    </row>
    <row r="261" spans="1:24" x14ac:dyDescent="0.2">
      <c r="A261" t="s">
        <v>851</v>
      </c>
      <c r="B261">
        <v>794.97799999999995</v>
      </c>
      <c r="C261" t="s">
        <v>60</v>
      </c>
      <c r="D261" t="s">
        <v>156</v>
      </c>
      <c r="E261" t="s">
        <v>89</v>
      </c>
      <c r="F261" t="s">
        <v>606</v>
      </c>
      <c r="G261" t="s">
        <v>111</v>
      </c>
      <c r="H261" t="s">
        <v>112</v>
      </c>
      <c r="I261" t="s">
        <v>139</v>
      </c>
      <c r="J261" t="s">
        <v>140</v>
      </c>
      <c r="K261">
        <v>3950</v>
      </c>
      <c r="L261" t="s">
        <v>852</v>
      </c>
      <c r="M261" t="s">
        <v>852</v>
      </c>
      <c r="N261" t="s">
        <v>385</v>
      </c>
      <c r="O261" t="s">
        <v>385</v>
      </c>
      <c r="P261" t="s">
        <v>821</v>
      </c>
      <c r="Q261" t="s">
        <v>822</v>
      </c>
      <c r="R261" t="s">
        <v>608</v>
      </c>
      <c r="S261" t="s">
        <v>143</v>
      </c>
      <c r="T261" t="s">
        <v>144</v>
      </c>
      <c r="U261" t="s">
        <v>139</v>
      </c>
      <c r="V261" t="s">
        <v>99</v>
      </c>
      <c r="W261" t="s">
        <v>139</v>
      </c>
      <c r="X261" t="s">
        <v>145</v>
      </c>
    </row>
    <row r="262" spans="1:24" x14ac:dyDescent="0.2">
      <c r="A262" t="s">
        <v>853</v>
      </c>
      <c r="B262">
        <v>794.97799999999995</v>
      </c>
      <c r="C262" t="s">
        <v>60</v>
      </c>
      <c r="D262" t="s">
        <v>61</v>
      </c>
      <c r="E262" t="s">
        <v>512</v>
      </c>
      <c r="F262" t="s">
        <v>513</v>
      </c>
      <c r="G262" t="s">
        <v>111</v>
      </c>
      <c r="H262" t="s">
        <v>112</v>
      </c>
      <c r="I262" t="s">
        <v>139</v>
      </c>
      <c r="J262" t="s">
        <v>140</v>
      </c>
      <c r="K262">
        <v>4950</v>
      </c>
      <c r="L262" t="s">
        <v>854</v>
      </c>
      <c r="M262" t="s">
        <v>854</v>
      </c>
      <c r="N262" t="s">
        <v>385</v>
      </c>
      <c r="O262" t="s">
        <v>385</v>
      </c>
      <c r="P262" t="s">
        <v>821</v>
      </c>
      <c r="Q262" t="s">
        <v>822</v>
      </c>
      <c r="R262" t="s">
        <v>515</v>
      </c>
      <c r="S262" t="s">
        <v>143</v>
      </c>
      <c r="T262" t="s">
        <v>144</v>
      </c>
      <c r="U262" t="s">
        <v>139</v>
      </c>
      <c r="V262" t="s">
        <v>99</v>
      </c>
      <c r="W262" t="s">
        <v>139</v>
      </c>
      <c r="X262" t="s">
        <v>145</v>
      </c>
    </row>
    <row r="263" spans="1:24" x14ac:dyDescent="0.2">
      <c r="A263" t="s">
        <v>855</v>
      </c>
      <c r="B263">
        <v>794.97799999999995</v>
      </c>
      <c r="C263" t="s">
        <v>60</v>
      </c>
      <c r="D263" t="s">
        <v>61</v>
      </c>
      <c r="E263" t="s">
        <v>512</v>
      </c>
      <c r="F263" t="s">
        <v>513</v>
      </c>
      <c r="G263" t="s">
        <v>306</v>
      </c>
      <c r="H263" t="s">
        <v>307</v>
      </c>
      <c r="I263" t="s">
        <v>91</v>
      </c>
      <c r="J263" t="s">
        <v>92</v>
      </c>
      <c r="K263">
        <v>5250</v>
      </c>
      <c r="L263" t="s">
        <v>856</v>
      </c>
      <c r="M263" t="s">
        <v>856</v>
      </c>
      <c r="N263" t="s">
        <v>385</v>
      </c>
      <c r="O263" t="s">
        <v>385</v>
      </c>
      <c r="P263" t="s">
        <v>821</v>
      </c>
      <c r="Q263" t="s">
        <v>822</v>
      </c>
      <c r="R263" t="s">
        <v>515</v>
      </c>
      <c r="S263" t="s">
        <v>309</v>
      </c>
      <c r="T263" t="s">
        <v>97</v>
      </c>
      <c r="U263" t="s">
        <v>98</v>
      </c>
      <c r="V263" t="s">
        <v>99</v>
      </c>
      <c r="W263" t="s">
        <v>98</v>
      </c>
      <c r="X263" t="s">
        <v>100</v>
      </c>
    </row>
    <row r="264" spans="1:24" x14ac:dyDescent="0.2">
      <c r="A264" t="s">
        <v>857</v>
      </c>
      <c r="B264">
        <v>794.97799999999995</v>
      </c>
      <c r="C264" t="s">
        <v>60</v>
      </c>
      <c r="D264" t="s">
        <v>61</v>
      </c>
      <c r="E264" t="s">
        <v>512</v>
      </c>
      <c r="F264" t="s">
        <v>513</v>
      </c>
      <c r="G264" t="s">
        <v>306</v>
      </c>
      <c r="H264" t="s">
        <v>307</v>
      </c>
      <c r="I264" t="s">
        <v>102</v>
      </c>
      <c r="J264" t="s">
        <v>103</v>
      </c>
      <c r="K264">
        <v>5150</v>
      </c>
      <c r="L264" t="s">
        <v>858</v>
      </c>
      <c r="M264" t="s">
        <v>858</v>
      </c>
      <c r="N264" t="s">
        <v>385</v>
      </c>
      <c r="O264" t="s">
        <v>385</v>
      </c>
      <c r="P264" t="s">
        <v>821</v>
      </c>
      <c r="Q264" t="s">
        <v>822</v>
      </c>
      <c r="R264" t="s">
        <v>515</v>
      </c>
      <c r="S264" t="s">
        <v>312</v>
      </c>
      <c r="T264" t="s">
        <v>313</v>
      </c>
      <c r="U264" t="s">
        <v>314</v>
      </c>
      <c r="V264" t="s">
        <v>99</v>
      </c>
      <c r="W264" t="s">
        <v>314</v>
      </c>
      <c r="X264" t="s">
        <v>715</v>
      </c>
    </row>
    <row r="265" spans="1:24" x14ac:dyDescent="0.2">
      <c r="A265" t="s">
        <v>859</v>
      </c>
      <c r="B265">
        <v>794.97799999999995</v>
      </c>
      <c r="C265" t="s">
        <v>60</v>
      </c>
      <c r="D265" t="s">
        <v>61</v>
      </c>
      <c r="E265" t="s">
        <v>512</v>
      </c>
      <c r="F265" t="s">
        <v>513</v>
      </c>
      <c r="G265" t="s">
        <v>306</v>
      </c>
      <c r="H265" t="s">
        <v>307</v>
      </c>
      <c r="I265" t="s">
        <v>131</v>
      </c>
      <c r="J265" t="s">
        <v>132</v>
      </c>
      <c r="K265">
        <v>5650</v>
      </c>
      <c r="L265" t="s">
        <v>860</v>
      </c>
      <c r="M265" t="s">
        <v>860</v>
      </c>
      <c r="N265" t="s">
        <v>385</v>
      </c>
      <c r="O265" t="s">
        <v>385</v>
      </c>
      <c r="P265" t="s">
        <v>821</v>
      </c>
      <c r="Q265" t="s">
        <v>822</v>
      </c>
      <c r="R265" t="s">
        <v>515</v>
      </c>
      <c r="S265" t="s">
        <v>318</v>
      </c>
      <c r="T265" t="s">
        <v>136</v>
      </c>
      <c r="U265" t="s">
        <v>131</v>
      </c>
      <c r="V265" t="s">
        <v>99</v>
      </c>
      <c r="W265" t="s">
        <v>131</v>
      </c>
      <c r="X265" t="s">
        <v>660</v>
      </c>
    </row>
    <row r="266" spans="1:24" x14ac:dyDescent="0.2">
      <c r="A266" t="s">
        <v>861</v>
      </c>
      <c r="B266">
        <v>794.97799999999995</v>
      </c>
      <c r="C266" t="s">
        <v>60</v>
      </c>
      <c r="D266" t="s">
        <v>156</v>
      </c>
      <c r="E266" t="s">
        <v>89</v>
      </c>
      <c r="F266" t="s">
        <v>606</v>
      </c>
      <c r="G266" t="s">
        <v>306</v>
      </c>
      <c r="H266" t="s">
        <v>307</v>
      </c>
      <c r="I266" t="s">
        <v>139</v>
      </c>
      <c r="J266" t="s">
        <v>140</v>
      </c>
      <c r="K266">
        <v>4650</v>
      </c>
      <c r="L266" t="s">
        <v>862</v>
      </c>
      <c r="M266" t="s">
        <v>862</v>
      </c>
      <c r="N266" t="s">
        <v>385</v>
      </c>
      <c r="O266" t="s">
        <v>385</v>
      </c>
      <c r="P266" t="s">
        <v>821</v>
      </c>
      <c r="Q266" t="s">
        <v>822</v>
      </c>
      <c r="R266" t="s">
        <v>608</v>
      </c>
      <c r="S266" t="s">
        <v>321</v>
      </c>
      <c r="T266" t="s">
        <v>144</v>
      </c>
      <c r="U266" t="s">
        <v>139</v>
      </c>
      <c r="V266" t="s">
        <v>99</v>
      </c>
      <c r="W266" t="s">
        <v>139</v>
      </c>
      <c r="X266" t="s">
        <v>145</v>
      </c>
    </row>
    <row r="267" spans="1:24" x14ac:dyDescent="0.2">
      <c r="A267" t="s">
        <v>863</v>
      </c>
      <c r="B267">
        <v>794.97799999999995</v>
      </c>
      <c r="C267" t="s">
        <v>60</v>
      </c>
      <c r="D267" t="s">
        <v>61</v>
      </c>
      <c r="E267" t="s">
        <v>512</v>
      </c>
      <c r="F267" t="s">
        <v>513</v>
      </c>
      <c r="G267" t="s">
        <v>306</v>
      </c>
      <c r="H267" t="s">
        <v>307</v>
      </c>
      <c r="I267" t="s">
        <v>139</v>
      </c>
      <c r="J267" t="s">
        <v>140</v>
      </c>
      <c r="K267">
        <v>5650</v>
      </c>
      <c r="L267" t="s">
        <v>864</v>
      </c>
      <c r="M267" t="s">
        <v>864</v>
      </c>
      <c r="N267" t="s">
        <v>385</v>
      </c>
      <c r="O267" t="s">
        <v>385</v>
      </c>
      <c r="P267" t="s">
        <v>821</v>
      </c>
      <c r="Q267" t="s">
        <v>822</v>
      </c>
      <c r="R267" t="s">
        <v>515</v>
      </c>
      <c r="S267" t="s">
        <v>321</v>
      </c>
      <c r="T267" t="s">
        <v>144</v>
      </c>
      <c r="U267" t="s">
        <v>139</v>
      </c>
      <c r="V267" t="s">
        <v>99</v>
      </c>
      <c r="W267" t="s">
        <v>139</v>
      </c>
      <c r="X267" t="s">
        <v>145</v>
      </c>
    </row>
    <row r="268" spans="1:24" x14ac:dyDescent="0.2">
      <c r="A268" t="s">
        <v>865</v>
      </c>
      <c r="B268">
        <v>794.97799999999995</v>
      </c>
      <c r="C268" t="s">
        <v>60</v>
      </c>
      <c r="D268" t="s">
        <v>612</v>
      </c>
      <c r="E268" t="s">
        <v>613</v>
      </c>
      <c r="F268" t="s">
        <v>614</v>
      </c>
      <c r="H268" t="s">
        <v>64</v>
      </c>
      <c r="I268" t="s">
        <v>642</v>
      </c>
      <c r="J268" t="s">
        <v>643</v>
      </c>
      <c r="K268">
        <v>4400</v>
      </c>
      <c r="L268" t="s">
        <v>866</v>
      </c>
      <c r="M268" t="s">
        <v>866</v>
      </c>
      <c r="N268" t="s">
        <v>385</v>
      </c>
      <c r="O268" t="s">
        <v>385</v>
      </c>
      <c r="P268" t="s">
        <v>821</v>
      </c>
      <c r="Q268" t="s">
        <v>822</v>
      </c>
      <c r="R268" t="s">
        <v>616</v>
      </c>
      <c r="S268" t="s">
        <v>645</v>
      </c>
      <c r="T268" t="s">
        <v>646</v>
      </c>
      <c r="U268" t="s">
        <v>647</v>
      </c>
      <c r="V268" t="s">
        <v>99</v>
      </c>
      <c r="W268" t="s">
        <v>647</v>
      </c>
      <c r="X268" t="s">
        <v>679</v>
      </c>
    </row>
    <row r="269" spans="1:24" x14ac:dyDescent="0.2">
      <c r="A269" t="s">
        <v>867</v>
      </c>
      <c r="B269">
        <v>794.97799999999995</v>
      </c>
      <c r="C269" t="s">
        <v>60</v>
      </c>
      <c r="D269" t="s">
        <v>612</v>
      </c>
      <c r="E269" t="s">
        <v>650</v>
      </c>
      <c r="F269" t="s">
        <v>651</v>
      </c>
      <c r="H269" t="s">
        <v>64</v>
      </c>
      <c r="I269" t="s">
        <v>65</v>
      </c>
      <c r="J269" t="s">
        <v>66</v>
      </c>
      <c r="K269">
        <v>6750</v>
      </c>
      <c r="L269" t="s">
        <v>868</v>
      </c>
      <c r="M269" t="s">
        <v>868</v>
      </c>
      <c r="N269" t="s">
        <v>385</v>
      </c>
      <c r="O269" t="s">
        <v>385</v>
      </c>
      <c r="P269" t="s">
        <v>821</v>
      </c>
      <c r="Q269" t="s">
        <v>822</v>
      </c>
      <c r="R269" t="s">
        <v>653</v>
      </c>
      <c r="S269" t="s">
        <v>74</v>
      </c>
      <c r="T269" t="s">
        <v>75</v>
      </c>
      <c r="U269" t="s">
        <v>76</v>
      </c>
      <c r="V269" t="s">
        <v>99</v>
      </c>
      <c r="W269" t="s">
        <v>76</v>
      </c>
      <c r="X269" t="s">
        <v>684</v>
      </c>
    </row>
    <row r="270" spans="1:24" x14ac:dyDescent="0.2">
      <c r="A270" t="s">
        <v>869</v>
      </c>
      <c r="B270">
        <v>794.97799999999995</v>
      </c>
      <c r="C270" t="s">
        <v>60</v>
      </c>
      <c r="D270" t="s">
        <v>612</v>
      </c>
      <c r="E270" t="s">
        <v>613</v>
      </c>
      <c r="F270" t="s">
        <v>614</v>
      </c>
      <c r="H270" t="s">
        <v>64</v>
      </c>
      <c r="I270" t="s">
        <v>91</v>
      </c>
      <c r="J270" t="s">
        <v>92</v>
      </c>
      <c r="K270">
        <v>4350</v>
      </c>
      <c r="L270" t="s">
        <v>870</v>
      </c>
      <c r="M270" t="s">
        <v>870</v>
      </c>
      <c r="N270" t="s">
        <v>385</v>
      </c>
      <c r="O270" t="s">
        <v>385</v>
      </c>
      <c r="P270" t="s">
        <v>821</v>
      </c>
      <c r="Q270" t="s">
        <v>822</v>
      </c>
      <c r="R270" t="s">
        <v>616</v>
      </c>
      <c r="S270" t="s">
        <v>96</v>
      </c>
      <c r="T270" t="s">
        <v>97</v>
      </c>
      <c r="U270" t="s">
        <v>98</v>
      </c>
      <c r="V270" t="s">
        <v>99</v>
      </c>
      <c r="W270" t="s">
        <v>98</v>
      </c>
      <c r="X270" t="s">
        <v>100</v>
      </c>
    </row>
    <row r="271" spans="1:24" x14ac:dyDescent="0.2">
      <c r="A271" t="s">
        <v>871</v>
      </c>
      <c r="B271">
        <v>794.97799999999995</v>
      </c>
      <c r="C271" t="s">
        <v>60</v>
      </c>
      <c r="D271" t="s">
        <v>612</v>
      </c>
      <c r="E271" t="s">
        <v>613</v>
      </c>
      <c r="F271" t="s">
        <v>614</v>
      </c>
      <c r="H271" t="s">
        <v>64</v>
      </c>
      <c r="I271" t="s">
        <v>102</v>
      </c>
      <c r="J271" t="s">
        <v>103</v>
      </c>
      <c r="K271">
        <v>4250</v>
      </c>
      <c r="L271" t="s">
        <v>872</v>
      </c>
      <c r="M271" t="s">
        <v>872</v>
      </c>
      <c r="N271" t="s">
        <v>385</v>
      </c>
      <c r="O271" t="s">
        <v>385</v>
      </c>
      <c r="P271" t="s">
        <v>821</v>
      </c>
      <c r="Q271" t="s">
        <v>822</v>
      </c>
      <c r="R271" t="s">
        <v>616</v>
      </c>
      <c r="S271" t="s">
        <v>106</v>
      </c>
      <c r="T271" t="s">
        <v>107</v>
      </c>
      <c r="U271" t="s">
        <v>108</v>
      </c>
      <c r="V271" t="s">
        <v>99</v>
      </c>
      <c r="W271" t="s">
        <v>108</v>
      </c>
      <c r="X271" t="s">
        <v>693</v>
      </c>
    </row>
    <row r="272" spans="1:24" x14ac:dyDescent="0.2">
      <c r="A272" t="s">
        <v>873</v>
      </c>
      <c r="B272">
        <v>794.97799999999995</v>
      </c>
      <c r="C272" t="s">
        <v>60</v>
      </c>
      <c r="D272" t="s">
        <v>612</v>
      </c>
      <c r="E272" t="s">
        <v>613</v>
      </c>
      <c r="F272" t="s">
        <v>614</v>
      </c>
      <c r="H272" t="s">
        <v>64</v>
      </c>
      <c r="I272" t="s">
        <v>131</v>
      </c>
      <c r="J272" t="s">
        <v>132</v>
      </c>
      <c r="K272">
        <v>4750</v>
      </c>
      <c r="L272" t="s">
        <v>874</v>
      </c>
      <c r="M272" t="s">
        <v>874</v>
      </c>
      <c r="N272" t="s">
        <v>385</v>
      </c>
      <c r="O272" t="s">
        <v>385</v>
      </c>
      <c r="P272" t="s">
        <v>821</v>
      </c>
      <c r="Q272" t="s">
        <v>822</v>
      </c>
      <c r="R272" t="s">
        <v>616</v>
      </c>
      <c r="S272" t="s">
        <v>149</v>
      </c>
      <c r="T272" t="s">
        <v>136</v>
      </c>
      <c r="U272" t="s">
        <v>131</v>
      </c>
      <c r="V272" t="s">
        <v>99</v>
      </c>
      <c r="W272" t="s">
        <v>131</v>
      </c>
      <c r="X272" t="s">
        <v>660</v>
      </c>
    </row>
    <row r="273" spans="1:24" x14ac:dyDescent="0.2">
      <c r="A273" t="s">
        <v>875</v>
      </c>
      <c r="B273">
        <v>794.97799999999995</v>
      </c>
      <c r="C273" t="s">
        <v>60</v>
      </c>
      <c r="D273" t="s">
        <v>61</v>
      </c>
      <c r="E273" t="s">
        <v>512</v>
      </c>
      <c r="F273" t="s">
        <v>513</v>
      </c>
      <c r="H273" t="s">
        <v>64</v>
      </c>
      <c r="I273" t="s">
        <v>131</v>
      </c>
      <c r="J273" t="s">
        <v>132</v>
      </c>
      <c r="K273">
        <v>4250</v>
      </c>
      <c r="L273" t="s">
        <v>876</v>
      </c>
      <c r="M273" t="s">
        <v>876</v>
      </c>
      <c r="N273" t="s">
        <v>385</v>
      </c>
      <c r="O273" t="s">
        <v>385</v>
      </c>
      <c r="P273" t="s">
        <v>821</v>
      </c>
      <c r="Q273" t="s">
        <v>822</v>
      </c>
      <c r="R273" t="s">
        <v>515</v>
      </c>
      <c r="S273" t="s">
        <v>149</v>
      </c>
      <c r="T273" t="s">
        <v>136</v>
      </c>
      <c r="U273" t="s">
        <v>131</v>
      </c>
      <c r="V273" t="s">
        <v>99</v>
      </c>
      <c r="W273" t="s">
        <v>131</v>
      </c>
      <c r="X273" t="s">
        <v>660</v>
      </c>
    </row>
    <row r="274" spans="1:24" x14ac:dyDescent="0.2">
      <c r="A274" t="s">
        <v>877</v>
      </c>
      <c r="B274">
        <v>794.97799999999995</v>
      </c>
      <c r="C274" t="s">
        <v>60</v>
      </c>
      <c r="D274" t="s">
        <v>156</v>
      </c>
      <c r="E274" t="s">
        <v>89</v>
      </c>
      <c r="F274" t="s">
        <v>606</v>
      </c>
      <c r="H274" t="s">
        <v>64</v>
      </c>
      <c r="I274" t="s">
        <v>139</v>
      </c>
      <c r="J274" t="s">
        <v>140</v>
      </c>
      <c r="K274">
        <v>3250</v>
      </c>
      <c r="L274" t="s">
        <v>878</v>
      </c>
      <c r="M274" t="s">
        <v>878</v>
      </c>
      <c r="N274" t="s">
        <v>385</v>
      </c>
      <c r="O274" t="s">
        <v>385</v>
      </c>
      <c r="P274" t="s">
        <v>821</v>
      </c>
      <c r="Q274" t="s">
        <v>822</v>
      </c>
      <c r="R274" t="s">
        <v>608</v>
      </c>
      <c r="S274" t="s">
        <v>153</v>
      </c>
      <c r="T274" t="s">
        <v>144</v>
      </c>
      <c r="U274" t="s">
        <v>139</v>
      </c>
      <c r="V274" t="s">
        <v>99</v>
      </c>
      <c r="W274" t="s">
        <v>139</v>
      </c>
      <c r="X274" t="s">
        <v>145</v>
      </c>
    </row>
    <row r="275" spans="1:24" x14ac:dyDescent="0.2">
      <c r="A275" t="s">
        <v>879</v>
      </c>
      <c r="B275">
        <v>794.97799999999995</v>
      </c>
      <c r="C275" t="s">
        <v>60</v>
      </c>
      <c r="D275" t="s">
        <v>61</v>
      </c>
      <c r="E275" t="s">
        <v>512</v>
      </c>
      <c r="F275" t="s">
        <v>513</v>
      </c>
      <c r="H275" t="s">
        <v>64</v>
      </c>
      <c r="I275" t="s">
        <v>139</v>
      </c>
      <c r="J275" t="s">
        <v>140</v>
      </c>
      <c r="K275">
        <v>4250</v>
      </c>
      <c r="L275" t="s">
        <v>880</v>
      </c>
      <c r="M275" t="s">
        <v>880</v>
      </c>
      <c r="N275" t="s">
        <v>385</v>
      </c>
      <c r="O275" t="s">
        <v>385</v>
      </c>
      <c r="P275" t="s">
        <v>821</v>
      </c>
      <c r="Q275" t="s">
        <v>822</v>
      </c>
      <c r="R275" t="s">
        <v>515</v>
      </c>
      <c r="S275" t="s">
        <v>153</v>
      </c>
      <c r="T275" t="s">
        <v>144</v>
      </c>
      <c r="U275" t="s">
        <v>139</v>
      </c>
      <c r="V275" t="s">
        <v>99</v>
      </c>
      <c r="W275" t="s">
        <v>139</v>
      </c>
      <c r="X275" t="s">
        <v>145</v>
      </c>
    </row>
    <row r="276" spans="1:24" x14ac:dyDescent="0.2">
      <c r="A276" t="s">
        <v>881</v>
      </c>
      <c r="B276">
        <v>794.97799999999995</v>
      </c>
      <c r="C276" t="s">
        <v>60</v>
      </c>
      <c r="D276" t="s">
        <v>612</v>
      </c>
      <c r="E276" t="s">
        <v>613</v>
      </c>
      <c r="F276" t="s">
        <v>614</v>
      </c>
      <c r="G276" t="s">
        <v>156</v>
      </c>
      <c r="H276" t="s">
        <v>278</v>
      </c>
      <c r="I276" t="s">
        <v>91</v>
      </c>
      <c r="J276" t="s">
        <v>92</v>
      </c>
      <c r="K276">
        <v>5050</v>
      </c>
      <c r="L276" t="s">
        <v>882</v>
      </c>
      <c r="M276" t="s">
        <v>882</v>
      </c>
      <c r="N276" t="s">
        <v>385</v>
      </c>
      <c r="O276" t="s">
        <v>385</v>
      </c>
      <c r="P276" t="s">
        <v>821</v>
      </c>
      <c r="Q276" t="s">
        <v>822</v>
      </c>
      <c r="R276" t="s">
        <v>616</v>
      </c>
      <c r="S276" t="s">
        <v>280</v>
      </c>
      <c r="T276" t="s">
        <v>97</v>
      </c>
      <c r="U276" t="s">
        <v>98</v>
      </c>
      <c r="V276" t="s">
        <v>99</v>
      </c>
      <c r="W276" t="s">
        <v>98</v>
      </c>
      <c r="X276" t="s">
        <v>100</v>
      </c>
    </row>
    <row r="277" spans="1:24" x14ac:dyDescent="0.2">
      <c r="A277" t="s">
        <v>883</v>
      </c>
      <c r="B277">
        <v>794.97799999999995</v>
      </c>
      <c r="C277" t="s">
        <v>60</v>
      </c>
      <c r="D277" t="s">
        <v>612</v>
      </c>
      <c r="E277" t="s">
        <v>613</v>
      </c>
      <c r="F277" t="s">
        <v>614</v>
      </c>
      <c r="G277" t="s">
        <v>156</v>
      </c>
      <c r="H277" t="s">
        <v>278</v>
      </c>
      <c r="I277" t="s">
        <v>102</v>
      </c>
      <c r="J277" t="s">
        <v>103</v>
      </c>
      <c r="K277">
        <v>4950</v>
      </c>
      <c r="L277" t="s">
        <v>884</v>
      </c>
      <c r="M277" t="s">
        <v>884</v>
      </c>
      <c r="N277" t="s">
        <v>385</v>
      </c>
      <c r="O277" t="s">
        <v>385</v>
      </c>
      <c r="P277" t="s">
        <v>821</v>
      </c>
      <c r="Q277" t="s">
        <v>822</v>
      </c>
      <c r="R277" t="s">
        <v>616</v>
      </c>
      <c r="S277" t="s">
        <v>283</v>
      </c>
      <c r="T277" t="s">
        <v>284</v>
      </c>
      <c r="U277" t="s">
        <v>285</v>
      </c>
      <c r="V277" t="s">
        <v>99</v>
      </c>
      <c r="W277" t="s">
        <v>285</v>
      </c>
      <c r="X277" t="s">
        <v>672</v>
      </c>
    </row>
    <row r="278" spans="1:24" x14ac:dyDescent="0.2">
      <c r="A278" t="s">
        <v>885</v>
      </c>
      <c r="B278">
        <v>794.97799999999995</v>
      </c>
      <c r="C278" t="s">
        <v>60</v>
      </c>
      <c r="D278" t="s">
        <v>612</v>
      </c>
      <c r="E278" t="s">
        <v>613</v>
      </c>
      <c r="F278" t="s">
        <v>614</v>
      </c>
      <c r="G278" t="s">
        <v>156</v>
      </c>
      <c r="H278" t="s">
        <v>278</v>
      </c>
      <c r="I278" t="s">
        <v>131</v>
      </c>
      <c r="J278" t="s">
        <v>132</v>
      </c>
      <c r="K278">
        <v>5450</v>
      </c>
      <c r="L278" t="s">
        <v>886</v>
      </c>
      <c r="M278" t="s">
        <v>886</v>
      </c>
      <c r="N278" t="s">
        <v>385</v>
      </c>
      <c r="O278" t="s">
        <v>385</v>
      </c>
      <c r="P278" t="s">
        <v>821</v>
      </c>
      <c r="Q278" t="s">
        <v>822</v>
      </c>
      <c r="R278" t="s">
        <v>616</v>
      </c>
      <c r="S278" t="s">
        <v>289</v>
      </c>
      <c r="T278" t="s">
        <v>136</v>
      </c>
      <c r="U278" t="s">
        <v>131</v>
      </c>
      <c r="V278" t="s">
        <v>99</v>
      </c>
      <c r="W278" t="s">
        <v>131</v>
      </c>
      <c r="X278" t="s">
        <v>660</v>
      </c>
    </row>
    <row r="279" spans="1:24" x14ac:dyDescent="0.2">
      <c r="A279" t="s">
        <v>887</v>
      </c>
      <c r="B279">
        <v>794.97799999999995</v>
      </c>
      <c r="C279" t="s">
        <v>60</v>
      </c>
      <c r="D279" t="s">
        <v>612</v>
      </c>
      <c r="E279" t="s">
        <v>613</v>
      </c>
      <c r="F279" t="s">
        <v>614</v>
      </c>
      <c r="H279" t="s">
        <v>64</v>
      </c>
      <c r="I279" t="s">
        <v>139</v>
      </c>
      <c r="J279" t="s">
        <v>140</v>
      </c>
      <c r="K279">
        <v>4750</v>
      </c>
      <c r="L279" t="s">
        <v>888</v>
      </c>
      <c r="M279" t="s">
        <v>888</v>
      </c>
      <c r="N279" t="s">
        <v>385</v>
      </c>
      <c r="O279" t="s">
        <v>385</v>
      </c>
      <c r="P279" t="s">
        <v>821</v>
      </c>
      <c r="Q279" t="s">
        <v>822</v>
      </c>
      <c r="R279" t="s">
        <v>616</v>
      </c>
      <c r="S279" t="s">
        <v>153</v>
      </c>
      <c r="T279" t="s">
        <v>144</v>
      </c>
      <c r="U279" t="s">
        <v>139</v>
      </c>
      <c r="V279" t="s">
        <v>99</v>
      </c>
      <c r="W279" t="s">
        <v>139</v>
      </c>
      <c r="X279" t="s">
        <v>145</v>
      </c>
    </row>
    <row r="280" spans="1:24" x14ac:dyDescent="0.2">
      <c r="A280" t="s">
        <v>889</v>
      </c>
      <c r="B280">
        <v>794.97799999999995</v>
      </c>
      <c r="C280" t="s">
        <v>60</v>
      </c>
      <c r="D280" t="s">
        <v>156</v>
      </c>
      <c r="E280" t="s">
        <v>89</v>
      </c>
      <c r="F280" t="s">
        <v>606</v>
      </c>
      <c r="H280" t="s">
        <v>64</v>
      </c>
      <c r="I280" t="s">
        <v>642</v>
      </c>
      <c r="J280" t="s">
        <v>643</v>
      </c>
      <c r="K280">
        <v>2900</v>
      </c>
      <c r="L280" t="s">
        <v>890</v>
      </c>
      <c r="M280" t="s">
        <v>890</v>
      </c>
      <c r="N280" t="s">
        <v>385</v>
      </c>
      <c r="O280" t="s">
        <v>385</v>
      </c>
      <c r="P280" t="s">
        <v>821</v>
      </c>
      <c r="Q280" t="s">
        <v>822</v>
      </c>
      <c r="R280" t="s">
        <v>608</v>
      </c>
      <c r="S280" t="s">
        <v>645</v>
      </c>
      <c r="T280" t="s">
        <v>646</v>
      </c>
      <c r="U280" t="s">
        <v>647</v>
      </c>
      <c r="V280" t="s">
        <v>99</v>
      </c>
      <c r="W280" t="s">
        <v>647</v>
      </c>
      <c r="X280" t="s">
        <v>679</v>
      </c>
    </row>
    <row r="281" spans="1:24" x14ac:dyDescent="0.2">
      <c r="A281" t="s">
        <v>891</v>
      </c>
      <c r="B281">
        <v>794.97799999999995</v>
      </c>
      <c r="C281" t="s">
        <v>60</v>
      </c>
      <c r="D281" t="s">
        <v>156</v>
      </c>
      <c r="E281" t="s">
        <v>62</v>
      </c>
      <c r="F281" t="s">
        <v>681</v>
      </c>
      <c r="H281" t="s">
        <v>64</v>
      </c>
      <c r="I281" t="s">
        <v>65</v>
      </c>
      <c r="J281" t="s">
        <v>66</v>
      </c>
      <c r="K281">
        <v>5250</v>
      </c>
      <c r="L281" t="s">
        <v>892</v>
      </c>
      <c r="M281" t="s">
        <v>892</v>
      </c>
      <c r="N281" t="s">
        <v>385</v>
      </c>
      <c r="O281" t="s">
        <v>385</v>
      </c>
      <c r="P281" t="s">
        <v>821</v>
      </c>
      <c r="Q281" t="s">
        <v>822</v>
      </c>
      <c r="R281" t="s">
        <v>683</v>
      </c>
      <c r="S281" t="s">
        <v>74</v>
      </c>
      <c r="T281" t="s">
        <v>75</v>
      </c>
      <c r="U281" t="s">
        <v>76</v>
      </c>
      <c r="V281" t="s">
        <v>99</v>
      </c>
      <c r="W281" t="s">
        <v>76</v>
      </c>
      <c r="X281" t="s">
        <v>684</v>
      </c>
    </row>
    <row r="282" spans="1:24" x14ac:dyDescent="0.2">
      <c r="A282" t="s">
        <v>893</v>
      </c>
      <c r="B282">
        <v>794.97799999999995</v>
      </c>
      <c r="C282" t="s">
        <v>60</v>
      </c>
      <c r="D282" t="s">
        <v>156</v>
      </c>
      <c r="E282" t="s">
        <v>80</v>
      </c>
      <c r="F282" t="s">
        <v>686</v>
      </c>
      <c r="H282" t="s">
        <v>64</v>
      </c>
      <c r="I282" t="s">
        <v>82</v>
      </c>
      <c r="J282" t="s">
        <v>83</v>
      </c>
      <c r="K282">
        <v>5750</v>
      </c>
      <c r="L282" t="s">
        <v>894</v>
      </c>
      <c r="M282" t="s">
        <v>894</v>
      </c>
      <c r="N282" t="s">
        <v>385</v>
      </c>
      <c r="O282" t="s">
        <v>385</v>
      </c>
      <c r="P282" t="s">
        <v>821</v>
      </c>
      <c r="Q282" t="s">
        <v>822</v>
      </c>
      <c r="R282" t="s">
        <v>688</v>
      </c>
      <c r="S282" t="s">
        <v>87</v>
      </c>
      <c r="T282" t="s">
        <v>75</v>
      </c>
      <c r="U282" t="s">
        <v>76</v>
      </c>
      <c r="V282" t="s">
        <v>99</v>
      </c>
      <c r="W282" t="s">
        <v>76</v>
      </c>
      <c r="X282" t="s">
        <v>684</v>
      </c>
    </row>
    <row r="283" spans="1:24" x14ac:dyDescent="0.2">
      <c r="A283" t="s">
        <v>895</v>
      </c>
      <c r="B283">
        <v>794.97799999999995</v>
      </c>
      <c r="C283" t="s">
        <v>60</v>
      </c>
      <c r="D283" t="s">
        <v>156</v>
      </c>
      <c r="E283" t="s">
        <v>89</v>
      </c>
      <c r="F283" t="s">
        <v>606</v>
      </c>
      <c r="H283" t="s">
        <v>64</v>
      </c>
      <c r="I283" t="s">
        <v>91</v>
      </c>
      <c r="J283" t="s">
        <v>92</v>
      </c>
      <c r="K283">
        <v>2850</v>
      </c>
      <c r="L283" t="s">
        <v>896</v>
      </c>
      <c r="M283" t="s">
        <v>896</v>
      </c>
      <c r="N283" t="s">
        <v>385</v>
      </c>
      <c r="O283" t="s">
        <v>385</v>
      </c>
      <c r="P283" t="s">
        <v>821</v>
      </c>
      <c r="Q283" t="s">
        <v>822</v>
      </c>
      <c r="R283" t="s">
        <v>608</v>
      </c>
      <c r="S283" t="s">
        <v>96</v>
      </c>
      <c r="T283" t="s">
        <v>97</v>
      </c>
      <c r="U283" t="s">
        <v>98</v>
      </c>
      <c r="V283" t="s">
        <v>99</v>
      </c>
      <c r="W283" t="s">
        <v>98</v>
      </c>
      <c r="X283" t="s">
        <v>100</v>
      </c>
    </row>
    <row r="284" spans="1:24" x14ac:dyDescent="0.2">
      <c r="A284" t="s">
        <v>897</v>
      </c>
      <c r="B284">
        <v>794.97799999999995</v>
      </c>
      <c r="C284" t="s">
        <v>60</v>
      </c>
      <c r="D284" t="s">
        <v>156</v>
      </c>
      <c r="E284" t="s">
        <v>89</v>
      </c>
      <c r="F284" t="s">
        <v>606</v>
      </c>
      <c r="H284" t="s">
        <v>64</v>
      </c>
      <c r="I284" t="s">
        <v>102</v>
      </c>
      <c r="J284" t="s">
        <v>103</v>
      </c>
      <c r="K284">
        <v>2750</v>
      </c>
      <c r="L284" t="s">
        <v>898</v>
      </c>
      <c r="M284" t="s">
        <v>898</v>
      </c>
      <c r="N284" t="s">
        <v>385</v>
      </c>
      <c r="O284" t="s">
        <v>385</v>
      </c>
      <c r="P284" t="s">
        <v>821</v>
      </c>
      <c r="Q284" t="s">
        <v>822</v>
      </c>
      <c r="R284" t="s">
        <v>608</v>
      </c>
      <c r="S284" t="s">
        <v>106</v>
      </c>
      <c r="T284" t="s">
        <v>107</v>
      </c>
      <c r="U284" t="s">
        <v>108</v>
      </c>
      <c r="V284" t="s">
        <v>99</v>
      </c>
      <c r="W284" t="s">
        <v>108</v>
      </c>
      <c r="X284" t="s">
        <v>693</v>
      </c>
    </row>
    <row r="285" spans="1:24" x14ac:dyDescent="0.2">
      <c r="A285" t="s">
        <v>899</v>
      </c>
      <c r="B285">
        <v>794.97799999999995</v>
      </c>
      <c r="C285" t="s">
        <v>60</v>
      </c>
      <c r="D285" t="s">
        <v>156</v>
      </c>
      <c r="E285" t="s">
        <v>89</v>
      </c>
      <c r="F285" t="s">
        <v>606</v>
      </c>
      <c r="G285" t="s">
        <v>156</v>
      </c>
      <c r="H285" t="s">
        <v>278</v>
      </c>
      <c r="I285" t="s">
        <v>91</v>
      </c>
      <c r="J285" t="s">
        <v>92</v>
      </c>
      <c r="K285">
        <v>3550</v>
      </c>
      <c r="L285" t="s">
        <v>900</v>
      </c>
      <c r="M285" t="s">
        <v>900</v>
      </c>
      <c r="N285" t="s">
        <v>385</v>
      </c>
      <c r="O285" t="s">
        <v>385</v>
      </c>
      <c r="P285" t="s">
        <v>821</v>
      </c>
      <c r="Q285" t="s">
        <v>822</v>
      </c>
      <c r="R285" t="s">
        <v>608</v>
      </c>
      <c r="S285" t="s">
        <v>280</v>
      </c>
      <c r="T285" t="s">
        <v>97</v>
      </c>
      <c r="U285" t="s">
        <v>98</v>
      </c>
      <c r="V285" t="s">
        <v>99</v>
      </c>
      <c r="W285" t="s">
        <v>98</v>
      </c>
      <c r="X285" t="s">
        <v>100</v>
      </c>
    </row>
    <row r="286" spans="1:24" x14ac:dyDescent="0.2">
      <c r="A286" t="s">
        <v>901</v>
      </c>
      <c r="B286">
        <v>794.97799999999995</v>
      </c>
      <c r="C286" t="s">
        <v>60</v>
      </c>
      <c r="D286" t="s">
        <v>156</v>
      </c>
      <c r="E286" t="s">
        <v>89</v>
      </c>
      <c r="F286" t="s">
        <v>606</v>
      </c>
      <c r="G286" t="s">
        <v>156</v>
      </c>
      <c r="H286" t="s">
        <v>278</v>
      </c>
      <c r="I286" t="s">
        <v>102</v>
      </c>
      <c r="J286" t="s">
        <v>103</v>
      </c>
      <c r="K286">
        <v>3450</v>
      </c>
      <c r="L286" t="s">
        <v>902</v>
      </c>
      <c r="M286" t="s">
        <v>902</v>
      </c>
      <c r="N286" t="s">
        <v>385</v>
      </c>
      <c r="O286" t="s">
        <v>385</v>
      </c>
      <c r="P286" t="s">
        <v>821</v>
      </c>
      <c r="Q286" t="s">
        <v>822</v>
      </c>
      <c r="R286" t="s">
        <v>608</v>
      </c>
      <c r="S286" t="s">
        <v>283</v>
      </c>
      <c r="T286" t="s">
        <v>284</v>
      </c>
      <c r="U286" t="s">
        <v>285</v>
      </c>
      <c r="V286" t="s">
        <v>99</v>
      </c>
      <c r="W286" t="s">
        <v>285</v>
      </c>
      <c r="X286" t="s">
        <v>672</v>
      </c>
    </row>
    <row r="287" spans="1:24" x14ac:dyDescent="0.2">
      <c r="A287" t="s">
        <v>903</v>
      </c>
      <c r="B287">
        <v>794.97799999999995</v>
      </c>
      <c r="C287" t="s">
        <v>60</v>
      </c>
      <c r="D287" t="s">
        <v>156</v>
      </c>
      <c r="E287" t="s">
        <v>89</v>
      </c>
      <c r="F287" t="s">
        <v>606</v>
      </c>
      <c r="G287" t="s">
        <v>156</v>
      </c>
      <c r="H287" t="s">
        <v>278</v>
      </c>
      <c r="I287" t="s">
        <v>131</v>
      </c>
      <c r="J287" t="s">
        <v>132</v>
      </c>
      <c r="K287">
        <v>3950</v>
      </c>
      <c r="L287" t="s">
        <v>904</v>
      </c>
      <c r="M287" t="s">
        <v>904</v>
      </c>
      <c r="N287" t="s">
        <v>385</v>
      </c>
      <c r="O287" t="s">
        <v>385</v>
      </c>
      <c r="P287" t="s">
        <v>821</v>
      </c>
      <c r="Q287" t="s">
        <v>822</v>
      </c>
      <c r="R287" t="s">
        <v>608</v>
      </c>
      <c r="S287" t="s">
        <v>289</v>
      </c>
      <c r="T287" t="s">
        <v>136</v>
      </c>
      <c r="U287" t="s">
        <v>131</v>
      </c>
      <c r="V287" t="s">
        <v>99</v>
      </c>
      <c r="W287" t="s">
        <v>131</v>
      </c>
      <c r="X287" t="s">
        <v>660</v>
      </c>
    </row>
    <row r="288" spans="1:24" x14ac:dyDescent="0.2">
      <c r="A288" t="s">
        <v>905</v>
      </c>
      <c r="B288">
        <v>794.97799999999995</v>
      </c>
      <c r="C288" t="s">
        <v>60</v>
      </c>
      <c r="D288" t="s">
        <v>156</v>
      </c>
      <c r="E288" t="s">
        <v>62</v>
      </c>
      <c r="F288" t="s">
        <v>681</v>
      </c>
      <c r="G288" t="s">
        <v>111</v>
      </c>
      <c r="H288" t="s">
        <v>112</v>
      </c>
      <c r="I288" t="s">
        <v>65</v>
      </c>
      <c r="J288" t="s">
        <v>66</v>
      </c>
      <c r="K288">
        <v>5950</v>
      </c>
      <c r="L288" t="s">
        <v>906</v>
      </c>
      <c r="M288" t="s">
        <v>906</v>
      </c>
      <c r="N288" t="s">
        <v>385</v>
      </c>
      <c r="O288" t="s">
        <v>385</v>
      </c>
      <c r="P288" t="s">
        <v>821</v>
      </c>
      <c r="Q288" t="s">
        <v>822</v>
      </c>
      <c r="R288" t="s">
        <v>683</v>
      </c>
      <c r="S288" t="s">
        <v>114</v>
      </c>
      <c r="T288" t="s">
        <v>75</v>
      </c>
      <c r="U288" t="s">
        <v>76</v>
      </c>
      <c r="V288" t="s">
        <v>99</v>
      </c>
      <c r="W288" t="s">
        <v>76</v>
      </c>
      <c r="X288" t="s">
        <v>684</v>
      </c>
    </row>
    <row r="289" spans="1:24" x14ac:dyDescent="0.2">
      <c r="A289" t="s">
        <v>907</v>
      </c>
      <c r="B289">
        <v>794.97799999999995</v>
      </c>
      <c r="C289" t="s">
        <v>60</v>
      </c>
      <c r="D289" t="s">
        <v>156</v>
      </c>
      <c r="E289" t="s">
        <v>80</v>
      </c>
      <c r="F289" t="s">
        <v>686</v>
      </c>
      <c r="G289" t="s">
        <v>111</v>
      </c>
      <c r="H289" t="s">
        <v>112</v>
      </c>
      <c r="I289" t="s">
        <v>82</v>
      </c>
      <c r="J289" t="s">
        <v>83</v>
      </c>
      <c r="K289">
        <v>6450</v>
      </c>
      <c r="L289" t="s">
        <v>908</v>
      </c>
      <c r="M289" t="s">
        <v>908</v>
      </c>
      <c r="N289" t="s">
        <v>385</v>
      </c>
      <c r="O289" t="s">
        <v>385</v>
      </c>
      <c r="P289" t="s">
        <v>821</v>
      </c>
      <c r="Q289" t="s">
        <v>822</v>
      </c>
      <c r="R289" t="s">
        <v>688</v>
      </c>
      <c r="S289" t="s">
        <v>118</v>
      </c>
      <c r="T289" t="s">
        <v>75</v>
      </c>
      <c r="U289" t="s">
        <v>76</v>
      </c>
      <c r="V289" t="s">
        <v>99</v>
      </c>
      <c r="W289" t="s">
        <v>76</v>
      </c>
      <c r="X289" t="s">
        <v>684</v>
      </c>
    </row>
    <row r="290" spans="1:24" x14ac:dyDescent="0.2">
      <c r="A290" t="s">
        <v>909</v>
      </c>
      <c r="B290">
        <v>794.97799999999995</v>
      </c>
      <c r="C290" t="s">
        <v>60</v>
      </c>
      <c r="D290" t="s">
        <v>156</v>
      </c>
      <c r="E290" t="s">
        <v>89</v>
      </c>
      <c r="F290" t="s">
        <v>606</v>
      </c>
      <c r="G290" t="s">
        <v>111</v>
      </c>
      <c r="H290" t="s">
        <v>112</v>
      </c>
      <c r="I290" t="s">
        <v>91</v>
      </c>
      <c r="J290" t="s">
        <v>92</v>
      </c>
      <c r="K290">
        <v>3550</v>
      </c>
      <c r="L290" t="s">
        <v>910</v>
      </c>
      <c r="M290" t="s">
        <v>910</v>
      </c>
      <c r="N290" t="s">
        <v>385</v>
      </c>
      <c r="O290" t="s">
        <v>385</v>
      </c>
      <c r="P290" t="s">
        <v>821</v>
      </c>
      <c r="Q290" t="s">
        <v>822</v>
      </c>
      <c r="R290" t="s">
        <v>608</v>
      </c>
      <c r="S290" t="s">
        <v>122</v>
      </c>
      <c r="T290" t="s">
        <v>97</v>
      </c>
      <c r="U290" t="s">
        <v>98</v>
      </c>
      <c r="V290" t="s">
        <v>99</v>
      </c>
      <c r="W290" t="s">
        <v>98</v>
      </c>
      <c r="X290" t="s">
        <v>100</v>
      </c>
    </row>
    <row r="291" spans="1:24" x14ac:dyDescent="0.2">
      <c r="A291" t="s">
        <v>911</v>
      </c>
      <c r="B291">
        <v>794.97799999999995</v>
      </c>
      <c r="C291" t="s">
        <v>60</v>
      </c>
      <c r="D291" t="s">
        <v>156</v>
      </c>
      <c r="E291" t="s">
        <v>89</v>
      </c>
      <c r="F291" t="s">
        <v>606</v>
      </c>
      <c r="G291" t="s">
        <v>111</v>
      </c>
      <c r="H291" t="s">
        <v>112</v>
      </c>
      <c r="I291" t="s">
        <v>102</v>
      </c>
      <c r="J291" t="s">
        <v>103</v>
      </c>
      <c r="K291">
        <v>3450</v>
      </c>
      <c r="L291" t="s">
        <v>912</v>
      </c>
      <c r="M291" t="s">
        <v>912</v>
      </c>
      <c r="N291" t="s">
        <v>385</v>
      </c>
      <c r="O291" t="s">
        <v>385</v>
      </c>
      <c r="P291" t="s">
        <v>821</v>
      </c>
      <c r="Q291" t="s">
        <v>822</v>
      </c>
      <c r="R291" t="s">
        <v>608</v>
      </c>
      <c r="S291" t="s">
        <v>126</v>
      </c>
      <c r="T291" t="s">
        <v>127</v>
      </c>
      <c r="U291" t="s">
        <v>128</v>
      </c>
      <c r="V291" t="s">
        <v>99</v>
      </c>
      <c r="W291" t="s">
        <v>128</v>
      </c>
      <c r="X291" t="s">
        <v>708</v>
      </c>
    </row>
    <row r="292" spans="1:24" x14ac:dyDescent="0.2">
      <c r="A292" t="s">
        <v>913</v>
      </c>
      <c r="B292">
        <v>794.97799999999995</v>
      </c>
      <c r="C292" t="s">
        <v>60</v>
      </c>
      <c r="D292" t="s">
        <v>156</v>
      </c>
      <c r="E292" t="s">
        <v>89</v>
      </c>
      <c r="F292" t="s">
        <v>606</v>
      </c>
      <c r="G292" t="s">
        <v>111</v>
      </c>
      <c r="H292" t="s">
        <v>112</v>
      </c>
      <c r="I292" t="s">
        <v>131</v>
      </c>
      <c r="J292" t="s">
        <v>132</v>
      </c>
      <c r="K292">
        <v>3950</v>
      </c>
      <c r="L292" t="s">
        <v>914</v>
      </c>
      <c r="M292" t="s">
        <v>914</v>
      </c>
      <c r="N292" t="s">
        <v>385</v>
      </c>
      <c r="O292" t="s">
        <v>385</v>
      </c>
      <c r="P292" t="s">
        <v>821</v>
      </c>
      <c r="Q292" t="s">
        <v>822</v>
      </c>
      <c r="R292" t="s">
        <v>608</v>
      </c>
      <c r="S292" t="s">
        <v>135</v>
      </c>
      <c r="T292" t="s">
        <v>136</v>
      </c>
      <c r="U292" t="s">
        <v>131</v>
      </c>
      <c r="V292" t="s">
        <v>99</v>
      </c>
      <c r="W292" t="s">
        <v>131</v>
      </c>
      <c r="X292" t="s">
        <v>660</v>
      </c>
    </row>
    <row r="293" spans="1:24" x14ac:dyDescent="0.2">
      <c r="A293" t="s">
        <v>915</v>
      </c>
      <c r="B293">
        <v>794.97799999999995</v>
      </c>
      <c r="C293" t="s">
        <v>60</v>
      </c>
      <c r="D293" t="s">
        <v>156</v>
      </c>
      <c r="E293" t="s">
        <v>89</v>
      </c>
      <c r="F293" t="s">
        <v>606</v>
      </c>
      <c r="G293" t="s">
        <v>306</v>
      </c>
      <c r="H293" t="s">
        <v>307</v>
      </c>
      <c r="I293" t="s">
        <v>91</v>
      </c>
      <c r="J293" t="s">
        <v>92</v>
      </c>
      <c r="K293">
        <v>4250</v>
      </c>
      <c r="L293" t="s">
        <v>916</v>
      </c>
      <c r="M293" t="s">
        <v>916</v>
      </c>
      <c r="N293" t="s">
        <v>385</v>
      </c>
      <c r="O293" t="s">
        <v>385</v>
      </c>
      <c r="P293" t="s">
        <v>821</v>
      </c>
      <c r="Q293" t="s">
        <v>822</v>
      </c>
      <c r="R293" t="s">
        <v>608</v>
      </c>
      <c r="S293" t="s">
        <v>309</v>
      </c>
      <c r="T293" t="s">
        <v>97</v>
      </c>
      <c r="U293" t="s">
        <v>98</v>
      </c>
      <c r="V293" t="s">
        <v>99</v>
      </c>
      <c r="W293" t="s">
        <v>98</v>
      </c>
      <c r="X293" t="s">
        <v>100</v>
      </c>
    </row>
    <row r="294" spans="1:24" x14ac:dyDescent="0.2">
      <c r="A294" t="s">
        <v>917</v>
      </c>
      <c r="B294">
        <v>794.97799999999995</v>
      </c>
      <c r="C294" t="s">
        <v>60</v>
      </c>
      <c r="D294" t="s">
        <v>156</v>
      </c>
      <c r="E294" t="s">
        <v>89</v>
      </c>
      <c r="F294" t="s">
        <v>606</v>
      </c>
      <c r="G294" t="s">
        <v>306</v>
      </c>
      <c r="H294" t="s">
        <v>307</v>
      </c>
      <c r="I294" t="s">
        <v>102</v>
      </c>
      <c r="J294" t="s">
        <v>103</v>
      </c>
      <c r="K294">
        <v>4150</v>
      </c>
      <c r="L294" t="s">
        <v>918</v>
      </c>
      <c r="M294" t="s">
        <v>918</v>
      </c>
      <c r="N294" t="s">
        <v>385</v>
      </c>
      <c r="O294" t="s">
        <v>385</v>
      </c>
      <c r="P294" t="s">
        <v>821</v>
      </c>
      <c r="Q294" t="s">
        <v>822</v>
      </c>
      <c r="R294" t="s">
        <v>608</v>
      </c>
      <c r="S294" t="s">
        <v>312</v>
      </c>
      <c r="T294" t="s">
        <v>313</v>
      </c>
      <c r="U294" t="s">
        <v>314</v>
      </c>
      <c r="V294" t="s">
        <v>99</v>
      </c>
      <c r="W294" t="s">
        <v>314</v>
      </c>
      <c r="X294" t="s">
        <v>715</v>
      </c>
    </row>
    <row r="295" spans="1:24" x14ac:dyDescent="0.2">
      <c r="A295" t="s">
        <v>919</v>
      </c>
      <c r="B295">
        <v>794.97799999999995</v>
      </c>
      <c r="C295" t="s">
        <v>60</v>
      </c>
      <c r="D295" t="s">
        <v>156</v>
      </c>
      <c r="E295" t="s">
        <v>89</v>
      </c>
      <c r="F295" t="s">
        <v>606</v>
      </c>
      <c r="G295" t="s">
        <v>306</v>
      </c>
      <c r="H295" t="s">
        <v>307</v>
      </c>
      <c r="I295" t="s">
        <v>131</v>
      </c>
      <c r="J295" t="s">
        <v>132</v>
      </c>
      <c r="K295">
        <v>4650</v>
      </c>
      <c r="L295" t="s">
        <v>920</v>
      </c>
      <c r="M295" t="s">
        <v>920</v>
      </c>
      <c r="N295" t="s">
        <v>385</v>
      </c>
      <c r="O295" t="s">
        <v>385</v>
      </c>
      <c r="P295" t="s">
        <v>821</v>
      </c>
      <c r="Q295" t="s">
        <v>822</v>
      </c>
      <c r="R295" t="s">
        <v>608</v>
      </c>
      <c r="S295" t="s">
        <v>318</v>
      </c>
      <c r="T295" t="s">
        <v>136</v>
      </c>
      <c r="U295" t="s">
        <v>131</v>
      </c>
      <c r="V295" t="s">
        <v>99</v>
      </c>
      <c r="W295" t="s">
        <v>131</v>
      </c>
      <c r="X295" t="s">
        <v>660</v>
      </c>
    </row>
    <row r="296" spans="1:24" x14ac:dyDescent="0.2">
      <c r="A296" t="s">
        <v>921</v>
      </c>
      <c r="B296">
        <v>794.97799999999995</v>
      </c>
      <c r="C296" t="s">
        <v>60</v>
      </c>
      <c r="D296" t="s">
        <v>156</v>
      </c>
      <c r="E296" t="s">
        <v>89</v>
      </c>
      <c r="F296" t="s">
        <v>606</v>
      </c>
      <c r="H296" t="s">
        <v>64</v>
      </c>
      <c r="I296" t="s">
        <v>131</v>
      </c>
      <c r="J296" t="s">
        <v>132</v>
      </c>
      <c r="K296">
        <v>3250</v>
      </c>
      <c r="L296" t="s">
        <v>922</v>
      </c>
      <c r="M296" t="s">
        <v>922</v>
      </c>
      <c r="N296" t="s">
        <v>385</v>
      </c>
      <c r="O296" t="s">
        <v>385</v>
      </c>
      <c r="P296" t="s">
        <v>821</v>
      </c>
      <c r="Q296" t="s">
        <v>822</v>
      </c>
      <c r="R296" t="s">
        <v>608</v>
      </c>
      <c r="S296" t="s">
        <v>149</v>
      </c>
      <c r="T296" t="s">
        <v>136</v>
      </c>
      <c r="U296" t="s">
        <v>131</v>
      </c>
      <c r="V296" t="s">
        <v>99</v>
      </c>
      <c r="W296" t="s">
        <v>131</v>
      </c>
      <c r="X296" t="s">
        <v>660</v>
      </c>
    </row>
    <row r="297" spans="1:24" x14ac:dyDescent="0.2">
      <c r="A297" t="s">
        <v>923</v>
      </c>
      <c r="B297" t="s">
        <v>924</v>
      </c>
      <c r="C297" t="s">
        <v>60</v>
      </c>
      <c r="D297" t="s">
        <v>61</v>
      </c>
      <c r="E297" t="s">
        <v>391</v>
      </c>
      <c r="F297" t="s">
        <v>392</v>
      </c>
      <c r="G297" t="s">
        <v>159</v>
      </c>
      <c r="H297" t="s">
        <v>160</v>
      </c>
      <c r="I297" t="s">
        <v>102</v>
      </c>
      <c r="J297" t="s">
        <v>103</v>
      </c>
      <c r="K297">
        <v>3850</v>
      </c>
      <c r="L297" t="s">
        <v>925</v>
      </c>
      <c r="M297" t="s">
        <v>925</v>
      </c>
      <c r="N297" t="s">
        <v>385</v>
      </c>
      <c r="O297" t="s">
        <v>385</v>
      </c>
      <c r="P297" t="s">
        <v>386</v>
      </c>
      <c r="Q297" t="s">
        <v>387</v>
      </c>
      <c r="R297" t="s">
        <v>394</v>
      </c>
      <c r="S297" t="s">
        <v>166</v>
      </c>
      <c r="T297" t="s">
        <v>107</v>
      </c>
      <c r="U297" t="s">
        <v>108</v>
      </c>
      <c r="V297" t="s">
        <v>77</v>
      </c>
      <c r="W297" t="s">
        <v>108</v>
      </c>
      <c r="X297" t="s">
        <v>109</v>
      </c>
    </row>
    <row r="298" spans="1:24" x14ac:dyDescent="0.2">
      <c r="A298" t="s">
        <v>926</v>
      </c>
      <c r="B298" t="s">
        <v>927</v>
      </c>
      <c r="C298" t="s">
        <v>60</v>
      </c>
      <c r="D298" t="s">
        <v>61</v>
      </c>
      <c r="E298" t="s">
        <v>445</v>
      </c>
      <c r="F298" t="s">
        <v>928</v>
      </c>
      <c r="G298" t="s">
        <v>159</v>
      </c>
      <c r="H298" t="s">
        <v>160</v>
      </c>
      <c r="I298" t="s">
        <v>102</v>
      </c>
      <c r="J298" t="s">
        <v>103</v>
      </c>
      <c r="K298">
        <v>3850</v>
      </c>
      <c r="L298" t="s">
        <v>929</v>
      </c>
      <c r="M298" t="s">
        <v>929</v>
      </c>
      <c r="N298" t="s">
        <v>385</v>
      </c>
      <c r="O298" t="s">
        <v>385</v>
      </c>
      <c r="P298" t="s">
        <v>438</v>
      </c>
      <c r="Q298" t="s">
        <v>439</v>
      </c>
      <c r="R298" t="s">
        <v>449</v>
      </c>
      <c r="S298" t="s">
        <v>166</v>
      </c>
      <c r="T298" t="s">
        <v>107</v>
      </c>
      <c r="U298" t="s">
        <v>108</v>
      </c>
      <c r="V298" t="s">
        <v>77</v>
      </c>
      <c r="W298" t="s">
        <v>108</v>
      </c>
      <c r="X298" t="s">
        <v>109</v>
      </c>
    </row>
    <row r="299" spans="1:24" x14ac:dyDescent="0.2">
      <c r="A299" t="s">
        <v>930</v>
      </c>
      <c r="B299" t="s">
        <v>931</v>
      </c>
      <c r="C299" t="s">
        <v>60</v>
      </c>
      <c r="D299" t="s">
        <v>61</v>
      </c>
      <c r="E299" t="s">
        <v>512</v>
      </c>
      <c r="F299" t="s">
        <v>513</v>
      </c>
      <c r="G299" t="s">
        <v>159</v>
      </c>
      <c r="H299" t="s">
        <v>160</v>
      </c>
      <c r="I299" t="s">
        <v>102</v>
      </c>
      <c r="J299" t="s">
        <v>103</v>
      </c>
      <c r="K299">
        <v>3850</v>
      </c>
      <c r="L299" t="s">
        <v>932</v>
      </c>
      <c r="M299" t="s">
        <v>932</v>
      </c>
      <c r="N299" t="s">
        <v>385</v>
      </c>
      <c r="O299" t="s">
        <v>385</v>
      </c>
      <c r="P299" t="s">
        <v>507</v>
      </c>
      <c r="Q299" t="s">
        <v>508</v>
      </c>
      <c r="R299" t="s">
        <v>515</v>
      </c>
      <c r="S299" t="s">
        <v>166</v>
      </c>
      <c r="T299" t="s">
        <v>107</v>
      </c>
      <c r="U299" t="s">
        <v>108</v>
      </c>
      <c r="V299" t="s">
        <v>77</v>
      </c>
      <c r="W299" t="s">
        <v>108</v>
      </c>
      <c r="X299" t="s">
        <v>109</v>
      </c>
    </row>
    <row r="300" spans="1:24" x14ac:dyDescent="0.2">
      <c r="A300" t="s">
        <v>933</v>
      </c>
      <c r="B300" t="s">
        <v>934</v>
      </c>
      <c r="C300" t="s">
        <v>558</v>
      </c>
      <c r="D300" t="s">
        <v>559</v>
      </c>
      <c r="E300" t="s">
        <v>560</v>
      </c>
      <c r="F300" t="s">
        <v>561</v>
      </c>
      <c r="H300" t="s">
        <v>64</v>
      </c>
      <c r="I300" t="s">
        <v>102</v>
      </c>
      <c r="J300" t="s">
        <v>103</v>
      </c>
      <c r="K300">
        <v>800</v>
      </c>
      <c r="L300" t="s">
        <v>935</v>
      </c>
      <c r="M300" t="s">
        <v>935</v>
      </c>
      <c r="N300" t="s">
        <v>385</v>
      </c>
      <c r="O300" t="s">
        <v>385</v>
      </c>
      <c r="P300" t="s">
        <v>936</v>
      </c>
      <c r="Q300" t="s">
        <v>937</v>
      </c>
      <c r="R300" t="s">
        <v>566</v>
      </c>
      <c r="S300" t="s">
        <v>567</v>
      </c>
      <c r="T300" t="s">
        <v>107</v>
      </c>
      <c r="U300" t="s">
        <v>568</v>
      </c>
      <c r="V300" t="s">
        <v>77</v>
      </c>
      <c r="W300" t="s">
        <v>569</v>
      </c>
      <c r="X300" t="s">
        <v>570</v>
      </c>
    </row>
    <row r="301" spans="1:24" x14ac:dyDescent="0.2">
      <c r="A301" t="s">
        <v>938</v>
      </c>
      <c r="B301" t="s">
        <v>934</v>
      </c>
      <c r="C301" t="s">
        <v>558</v>
      </c>
      <c r="D301" t="s">
        <v>572</v>
      </c>
      <c r="E301" t="s">
        <v>560</v>
      </c>
      <c r="F301" t="s">
        <v>573</v>
      </c>
      <c r="G301" t="s">
        <v>159</v>
      </c>
      <c r="H301" t="s">
        <v>160</v>
      </c>
      <c r="I301" t="s">
        <v>102</v>
      </c>
      <c r="J301" t="s">
        <v>103</v>
      </c>
      <c r="K301">
        <v>900</v>
      </c>
      <c r="L301" t="s">
        <v>939</v>
      </c>
      <c r="M301" t="s">
        <v>939</v>
      </c>
      <c r="N301" t="s">
        <v>385</v>
      </c>
      <c r="O301" t="s">
        <v>385</v>
      </c>
      <c r="P301" t="s">
        <v>940</v>
      </c>
      <c r="Q301" t="s">
        <v>941</v>
      </c>
      <c r="R301" t="s">
        <v>577</v>
      </c>
      <c r="S301" t="s">
        <v>578</v>
      </c>
      <c r="T301" t="s">
        <v>107</v>
      </c>
      <c r="U301" t="s">
        <v>579</v>
      </c>
      <c r="V301" t="s">
        <v>77</v>
      </c>
      <c r="W301" t="s">
        <v>580</v>
      </c>
      <c r="X301" t="s">
        <v>581</v>
      </c>
    </row>
    <row r="302" spans="1:24" x14ac:dyDescent="0.2">
      <c r="A302" t="s">
        <v>942</v>
      </c>
      <c r="B302" t="s">
        <v>934</v>
      </c>
      <c r="C302" t="s">
        <v>558</v>
      </c>
      <c r="D302" t="s">
        <v>572</v>
      </c>
      <c r="E302" t="s">
        <v>560</v>
      </c>
      <c r="F302" t="s">
        <v>583</v>
      </c>
      <c r="H302" t="s">
        <v>64</v>
      </c>
      <c r="I302" t="s">
        <v>102</v>
      </c>
      <c r="J302" t="s">
        <v>103</v>
      </c>
      <c r="K302">
        <v>800</v>
      </c>
      <c r="L302" t="s">
        <v>943</v>
      </c>
      <c r="M302" t="s">
        <v>943</v>
      </c>
      <c r="N302" t="s">
        <v>385</v>
      </c>
      <c r="O302" t="s">
        <v>385</v>
      </c>
      <c r="P302" t="s">
        <v>940</v>
      </c>
      <c r="Q302" t="s">
        <v>941</v>
      </c>
      <c r="R302" t="s">
        <v>577</v>
      </c>
      <c r="S302" t="s">
        <v>585</v>
      </c>
      <c r="T302" t="s">
        <v>107</v>
      </c>
      <c r="U302" t="s">
        <v>586</v>
      </c>
      <c r="V302" t="s">
        <v>77</v>
      </c>
      <c r="W302" t="s">
        <v>587</v>
      </c>
      <c r="X302" t="s">
        <v>588</v>
      </c>
    </row>
    <row r="303" spans="1:24" x14ac:dyDescent="0.2">
      <c r="A303" t="s">
        <v>944</v>
      </c>
      <c r="B303">
        <v>800</v>
      </c>
      <c r="C303" t="s">
        <v>60</v>
      </c>
      <c r="D303" t="s">
        <v>61</v>
      </c>
      <c r="E303" t="s">
        <v>89</v>
      </c>
      <c r="F303" t="s">
        <v>341</v>
      </c>
      <c r="H303" t="s">
        <v>64</v>
      </c>
      <c r="I303" t="s">
        <v>65</v>
      </c>
      <c r="J303" t="s">
        <v>66</v>
      </c>
      <c r="K303">
        <v>6250</v>
      </c>
      <c r="L303" t="s">
        <v>945</v>
      </c>
      <c r="M303" t="s">
        <v>945</v>
      </c>
      <c r="N303" t="s">
        <v>946</v>
      </c>
      <c r="O303" t="s">
        <v>946</v>
      </c>
      <c r="P303" t="s">
        <v>947</v>
      </c>
      <c r="Q303" t="s">
        <v>948</v>
      </c>
      <c r="R303" t="s">
        <v>95</v>
      </c>
      <c r="S303" t="s">
        <v>74</v>
      </c>
      <c r="T303" t="s">
        <v>75</v>
      </c>
      <c r="U303" t="s">
        <v>76</v>
      </c>
      <c r="V303" t="s">
        <v>99</v>
      </c>
      <c r="W303" t="s">
        <v>76</v>
      </c>
      <c r="X303" t="s">
        <v>684</v>
      </c>
    </row>
    <row r="304" spans="1:24" x14ac:dyDescent="0.2">
      <c r="A304" t="s">
        <v>949</v>
      </c>
      <c r="B304">
        <v>800</v>
      </c>
      <c r="C304" t="s">
        <v>60</v>
      </c>
      <c r="D304" t="s">
        <v>61</v>
      </c>
      <c r="E304" t="s">
        <v>62</v>
      </c>
      <c r="F304" t="s">
        <v>330</v>
      </c>
      <c r="H304" t="s">
        <v>64</v>
      </c>
      <c r="I304" t="s">
        <v>82</v>
      </c>
      <c r="J304" t="s">
        <v>83</v>
      </c>
      <c r="K304">
        <v>6750</v>
      </c>
      <c r="L304" t="s">
        <v>950</v>
      </c>
      <c r="M304" t="s">
        <v>950</v>
      </c>
      <c r="N304" t="s">
        <v>946</v>
      </c>
      <c r="O304" t="s">
        <v>946</v>
      </c>
      <c r="P304" t="s">
        <v>947</v>
      </c>
      <c r="Q304" t="s">
        <v>948</v>
      </c>
      <c r="R304" t="s">
        <v>73</v>
      </c>
      <c r="S304" t="s">
        <v>87</v>
      </c>
      <c r="T304" t="s">
        <v>75</v>
      </c>
      <c r="U304" t="s">
        <v>76</v>
      </c>
      <c r="V304" t="s">
        <v>99</v>
      </c>
      <c r="W304" t="s">
        <v>76</v>
      </c>
      <c r="X304" t="s">
        <v>684</v>
      </c>
    </row>
    <row r="305" spans="1:24" x14ac:dyDescent="0.2">
      <c r="A305" t="s">
        <v>951</v>
      </c>
      <c r="B305">
        <v>800</v>
      </c>
      <c r="C305" t="s">
        <v>60</v>
      </c>
      <c r="D305" t="s">
        <v>61</v>
      </c>
      <c r="E305" t="s">
        <v>512</v>
      </c>
      <c r="F305" t="s">
        <v>513</v>
      </c>
      <c r="H305" t="s">
        <v>64</v>
      </c>
      <c r="I305" t="s">
        <v>91</v>
      </c>
      <c r="J305" t="s">
        <v>92</v>
      </c>
      <c r="K305">
        <v>3850</v>
      </c>
      <c r="L305" t="s">
        <v>952</v>
      </c>
      <c r="M305" t="s">
        <v>952</v>
      </c>
      <c r="N305" t="s">
        <v>946</v>
      </c>
      <c r="O305" t="s">
        <v>946</v>
      </c>
      <c r="P305" t="s">
        <v>947</v>
      </c>
      <c r="Q305" t="s">
        <v>948</v>
      </c>
      <c r="R305" t="s">
        <v>515</v>
      </c>
      <c r="S305" t="s">
        <v>96</v>
      </c>
      <c r="T305" t="s">
        <v>97</v>
      </c>
      <c r="U305" t="s">
        <v>98</v>
      </c>
      <c r="V305" t="s">
        <v>99</v>
      </c>
      <c r="W305" t="s">
        <v>98</v>
      </c>
      <c r="X305" t="s">
        <v>100</v>
      </c>
    </row>
    <row r="306" spans="1:24" x14ac:dyDescent="0.2">
      <c r="A306" t="s">
        <v>953</v>
      </c>
      <c r="B306">
        <v>800</v>
      </c>
      <c r="C306" t="s">
        <v>60</v>
      </c>
      <c r="D306" t="s">
        <v>61</v>
      </c>
      <c r="E306" t="s">
        <v>512</v>
      </c>
      <c r="F306" t="s">
        <v>513</v>
      </c>
      <c r="H306" t="s">
        <v>64</v>
      </c>
      <c r="I306" t="s">
        <v>102</v>
      </c>
      <c r="J306" t="s">
        <v>103</v>
      </c>
      <c r="K306">
        <v>3750</v>
      </c>
      <c r="L306" t="s">
        <v>954</v>
      </c>
      <c r="M306" t="s">
        <v>954</v>
      </c>
      <c r="N306" t="s">
        <v>946</v>
      </c>
      <c r="O306" t="s">
        <v>946</v>
      </c>
      <c r="P306" t="s">
        <v>947</v>
      </c>
      <c r="Q306" t="s">
        <v>948</v>
      </c>
      <c r="R306" t="s">
        <v>515</v>
      </c>
      <c r="S306" t="s">
        <v>106</v>
      </c>
      <c r="T306" t="s">
        <v>107</v>
      </c>
      <c r="U306" t="s">
        <v>108</v>
      </c>
      <c r="V306" t="s">
        <v>99</v>
      </c>
      <c r="W306" t="s">
        <v>108</v>
      </c>
      <c r="X306" t="s">
        <v>693</v>
      </c>
    </row>
    <row r="307" spans="1:24" x14ac:dyDescent="0.2">
      <c r="A307" t="s">
        <v>955</v>
      </c>
      <c r="B307">
        <v>800</v>
      </c>
      <c r="C307" t="s">
        <v>60</v>
      </c>
      <c r="D307" t="s">
        <v>61</v>
      </c>
      <c r="E307" t="s">
        <v>512</v>
      </c>
      <c r="F307" t="s">
        <v>513</v>
      </c>
      <c r="G307" t="s">
        <v>156</v>
      </c>
      <c r="H307" t="s">
        <v>278</v>
      </c>
      <c r="I307" t="s">
        <v>91</v>
      </c>
      <c r="J307" t="s">
        <v>92</v>
      </c>
      <c r="K307">
        <v>4550</v>
      </c>
      <c r="L307" t="s">
        <v>956</v>
      </c>
      <c r="M307" t="s">
        <v>956</v>
      </c>
      <c r="N307" t="s">
        <v>946</v>
      </c>
      <c r="O307" t="s">
        <v>946</v>
      </c>
      <c r="P307" t="s">
        <v>947</v>
      </c>
      <c r="Q307" t="s">
        <v>948</v>
      </c>
      <c r="R307" t="s">
        <v>515</v>
      </c>
      <c r="S307" t="s">
        <v>280</v>
      </c>
      <c r="T307" t="s">
        <v>97</v>
      </c>
      <c r="U307" t="s">
        <v>98</v>
      </c>
      <c r="V307" t="s">
        <v>99</v>
      </c>
      <c r="W307" t="s">
        <v>98</v>
      </c>
      <c r="X307" t="s">
        <v>100</v>
      </c>
    </row>
    <row r="308" spans="1:24" x14ac:dyDescent="0.2">
      <c r="A308" t="s">
        <v>957</v>
      </c>
      <c r="B308">
        <v>800</v>
      </c>
      <c r="C308" t="s">
        <v>60</v>
      </c>
      <c r="D308" t="s">
        <v>61</v>
      </c>
      <c r="E308" t="s">
        <v>512</v>
      </c>
      <c r="F308" t="s">
        <v>513</v>
      </c>
      <c r="G308" t="s">
        <v>156</v>
      </c>
      <c r="H308" t="s">
        <v>278</v>
      </c>
      <c r="I308" t="s">
        <v>102</v>
      </c>
      <c r="J308" t="s">
        <v>103</v>
      </c>
      <c r="K308">
        <v>4450</v>
      </c>
      <c r="L308" t="s">
        <v>958</v>
      </c>
      <c r="M308" t="s">
        <v>958</v>
      </c>
      <c r="N308" t="s">
        <v>946</v>
      </c>
      <c r="O308" t="s">
        <v>946</v>
      </c>
      <c r="P308" t="s">
        <v>947</v>
      </c>
      <c r="Q308" t="s">
        <v>948</v>
      </c>
      <c r="R308" t="s">
        <v>515</v>
      </c>
      <c r="S308" t="s">
        <v>283</v>
      </c>
      <c r="T308" t="s">
        <v>284</v>
      </c>
      <c r="U308" t="s">
        <v>285</v>
      </c>
      <c r="V308" t="s">
        <v>99</v>
      </c>
      <c r="W308" t="s">
        <v>285</v>
      </c>
      <c r="X308" t="s">
        <v>672</v>
      </c>
    </row>
    <row r="309" spans="1:24" x14ac:dyDescent="0.2">
      <c r="A309" t="s">
        <v>959</v>
      </c>
      <c r="B309">
        <v>800</v>
      </c>
      <c r="C309" t="s">
        <v>60</v>
      </c>
      <c r="D309" t="s">
        <v>61</v>
      </c>
      <c r="E309" t="s">
        <v>512</v>
      </c>
      <c r="F309" t="s">
        <v>513</v>
      </c>
      <c r="G309" t="s">
        <v>156</v>
      </c>
      <c r="H309" t="s">
        <v>278</v>
      </c>
      <c r="I309" t="s">
        <v>131</v>
      </c>
      <c r="J309" t="s">
        <v>132</v>
      </c>
      <c r="K309">
        <v>4950</v>
      </c>
      <c r="L309" t="s">
        <v>960</v>
      </c>
      <c r="M309" t="s">
        <v>960</v>
      </c>
      <c r="N309" t="s">
        <v>946</v>
      </c>
      <c r="O309" t="s">
        <v>946</v>
      </c>
      <c r="P309" t="s">
        <v>947</v>
      </c>
      <c r="Q309" t="s">
        <v>948</v>
      </c>
      <c r="R309" t="s">
        <v>515</v>
      </c>
      <c r="S309" t="s">
        <v>289</v>
      </c>
      <c r="T309" t="s">
        <v>136</v>
      </c>
      <c r="U309" t="s">
        <v>131</v>
      </c>
      <c r="V309" t="s">
        <v>99</v>
      </c>
      <c r="W309" t="s">
        <v>131</v>
      </c>
      <c r="X309" t="s">
        <v>660</v>
      </c>
    </row>
    <row r="310" spans="1:24" x14ac:dyDescent="0.2">
      <c r="A310" t="s">
        <v>961</v>
      </c>
      <c r="B310">
        <v>800</v>
      </c>
      <c r="C310" t="s">
        <v>60</v>
      </c>
      <c r="D310" t="s">
        <v>61</v>
      </c>
      <c r="E310" t="s">
        <v>512</v>
      </c>
      <c r="F310" t="s">
        <v>513</v>
      </c>
      <c r="G310" t="s">
        <v>156</v>
      </c>
      <c r="H310" t="s">
        <v>278</v>
      </c>
      <c r="I310" t="s">
        <v>139</v>
      </c>
      <c r="J310" t="s">
        <v>140</v>
      </c>
      <c r="K310">
        <v>4950</v>
      </c>
      <c r="L310" t="s">
        <v>962</v>
      </c>
      <c r="M310" t="s">
        <v>962</v>
      </c>
      <c r="N310" t="s">
        <v>946</v>
      </c>
      <c r="O310" t="s">
        <v>946</v>
      </c>
      <c r="P310" t="s">
        <v>947</v>
      </c>
      <c r="Q310" t="s">
        <v>948</v>
      </c>
      <c r="R310" t="s">
        <v>515</v>
      </c>
      <c r="S310" t="s">
        <v>292</v>
      </c>
      <c r="T310" t="s">
        <v>144</v>
      </c>
      <c r="U310" t="s">
        <v>139</v>
      </c>
      <c r="V310" t="s">
        <v>99</v>
      </c>
      <c r="W310" t="s">
        <v>139</v>
      </c>
      <c r="X310" t="s">
        <v>145</v>
      </c>
    </row>
    <row r="311" spans="1:24" x14ac:dyDescent="0.2">
      <c r="A311" t="s">
        <v>963</v>
      </c>
      <c r="B311">
        <v>800</v>
      </c>
      <c r="C311" t="s">
        <v>60</v>
      </c>
      <c r="D311" t="s">
        <v>61</v>
      </c>
      <c r="E311" t="s">
        <v>89</v>
      </c>
      <c r="F311" t="s">
        <v>341</v>
      </c>
      <c r="G311" t="s">
        <v>111</v>
      </c>
      <c r="H311" t="s">
        <v>112</v>
      </c>
      <c r="I311" t="s">
        <v>65</v>
      </c>
      <c r="J311" t="s">
        <v>66</v>
      </c>
      <c r="K311">
        <v>6950</v>
      </c>
      <c r="L311" t="s">
        <v>964</v>
      </c>
      <c r="M311" t="s">
        <v>964</v>
      </c>
      <c r="N311" t="s">
        <v>946</v>
      </c>
      <c r="O311" t="s">
        <v>946</v>
      </c>
      <c r="P311" t="s">
        <v>947</v>
      </c>
      <c r="Q311" t="s">
        <v>948</v>
      </c>
      <c r="R311" t="s">
        <v>95</v>
      </c>
      <c r="S311" t="s">
        <v>114</v>
      </c>
      <c r="T311" t="s">
        <v>75</v>
      </c>
      <c r="U311" t="s">
        <v>76</v>
      </c>
      <c r="V311" t="s">
        <v>99</v>
      </c>
      <c r="W311" t="s">
        <v>76</v>
      </c>
      <c r="X311" t="s">
        <v>684</v>
      </c>
    </row>
    <row r="312" spans="1:24" x14ac:dyDescent="0.2">
      <c r="A312" t="s">
        <v>965</v>
      </c>
      <c r="B312">
        <v>800</v>
      </c>
      <c r="C312" t="s">
        <v>60</v>
      </c>
      <c r="D312" t="s">
        <v>61</v>
      </c>
      <c r="E312" t="s">
        <v>62</v>
      </c>
      <c r="F312" t="s">
        <v>330</v>
      </c>
      <c r="G312" t="s">
        <v>111</v>
      </c>
      <c r="H312" t="s">
        <v>112</v>
      </c>
      <c r="I312" t="s">
        <v>82</v>
      </c>
      <c r="J312" t="s">
        <v>83</v>
      </c>
      <c r="K312">
        <v>7450</v>
      </c>
      <c r="L312" t="s">
        <v>966</v>
      </c>
      <c r="M312" t="s">
        <v>966</v>
      </c>
      <c r="N312" t="s">
        <v>946</v>
      </c>
      <c r="O312" t="s">
        <v>946</v>
      </c>
      <c r="P312" t="s">
        <v>947</v>
      </c>
      <c r="Q312" t="s">
        <v>948</v>
      </c>
      <c r="R312" t="s">
        <v>73</v>
      </c>
      <c r="S312" t="s">
        <v>118</v>
      </c>
      <c r="T312" t="s">
        <v>75</v>
      </c>
      <c r="U312" t="s">
        <v>76</v>
      </c>
      <c r="V312" t="s">
        <v>99</v>
      </c>
      <c r="W312" t="s">
        <v>76</v>
      </c>
      <c r="X312" t="s">
        <v>684</v>
      </c>
    </row>
    <row r="313" spans="1:24" x14ac:dyDescent="0.2">
      <c r="A313" t="s">
        <v>967</v>
      </c>
      <c r="B313">
        <v>800</v>
      </c>
      <c r="C313" t="s">
        <v>60</v>
      </c>
      <c r="D313" t="s">
        <v>61</v>
      </c>
      <c r="E313" t="s">
        <v>512</v>
      </c>
      <c r="F313" t="s">
        <v>513</v>
      </c>
      <c r="G313" t="s">
        <v>111</v>
      </c>
      <c r="H313" t="s">
        <v>112</v>
      </c>
      <c r="I313" t="s">
        <v>91</v>
      </c>
      <c r="J313" t="s">
        <v>92</v>
      </c>
      <c r="K313">
        <v>4550</v>
      </c>
      <c r="L313" t="s">
        <v>968</v>
      </c>
      <c r="M313" t="s">
        <v>968</v>
      </c>
      <c r="N313" t="s">
        <v>946</v>
      </c>
      <c r="O313" t="s">
        <v>946</v>
      </c>
      <c r="P313" t="s">
        <v>947</v>
      </c>
      <c r="Q313" t="s">
        <v>948</v>
      </c>
      <c r="R313" t="s">
        <v>515</v>
      </c>
      <c r="S313" t="s">
        <v>122</v>
      </c>
      <c r="T313" t="s">
        <v>97</v>
      </c>
      <c r="U313" t="s">
        <v>98</v>
      </c>
      <c r="V313" t="s">
        <v>99</v>
      </c>
      <c r="W313" t="s">
        <v>98</v>
      </c>
      <c r="X313" t="s">
        <v>100</v>
      </c>
    </row>
    <row r="314" spans="1:24" x14ac:dyDescent="0.2">
      <c r="A314" t="s">
        <v>969</v>
      </c>
      <c r="B314">
        <v>800</v>
      </c>
      <c r="C314" t="s">
        <v>60</v>
      </c>
      <c r="D314" t="s">
        <v>61</v>
      </c>
      <c r="E314" t="s">
        <v>512</v>
      </c>
      <c r="F314" t="s">
        <v>513</v>
      </c>
      <c r="G314" t="s">
        <v>111</v>
      </c>
      <c r="H314" t="s">
        <v>112</v>
      </c>
      <c r="I314" t="s">
        <v>102</v>
      </c>
      <c r="J314" t="s">
        <v>103</v>
      </c>
      <c r="K314">
        <v>4450</v>
      </c>
      <c r="L314" t="s">
        <v>970</v>
      </c>
      <c r="M314" t="s">
        <v>970</v>
      </c>
      <c r="N314" t="s">
        <v>946</v>
      </c>
      <c r="O314" t="s">
        <v>946</v>
      </c>
      <c r="P314" t="s">
        <v>947</v>
      </c>
      <c r="Q314" t="s">
        <v>948</v>
      </c>
      <c r="R314" t="s">
        <v>515</v>
      </c>
      <c r="S314" t="s">
        <v>126</v>
      </c>
      <c r="T314" t="s">
        <v>127</v>
      </c>
      <c r="U314" t="s">
        <v>128</v>
      </c>
      <c r="V314" t="s">
        <v>77</v>
      </c>
      <c r="W314" t="s">
        <v>128</v>
      </c>
      <c r="X314" t="s">
        <v>129</v>
      </c>
    </row>
    <row r="315" spans="1:24" x14ac:dyDescent="0.2">
      <c r="A315" t="s">
        <v>971</v>
      </c>
      <c r="B315">
        <v>800</v>
      </c>
      <c r="C315" t="s">
        <v>60</v>
      </c>
      <c r="D315" t="s">
        <v>61</v>
      </c>
      <c r="E315" t="s">
        <v>512</v>
      </c>
      <c r="F315" t="s">
        <v>513</v>
      </c>
      <c r="G315" t="s">
        <v>111</v>
      </c>
      <c r="H315" t="s">
        <v>112</v>
      </c>
      <c r="I315" t="s">
        <v>131</v>
      </c>
      <c r="J315" t="s">
        <v>132</v>
      </c>
      <c r="K315">
        <v>4950</v>
      </c>
      <c r="L315" t="s">
        <v>972</v>
      </c>
      <c r="M315" t="s">
        <v>972</v>
      </c>
      <c r="N315" t="s">
        <v>946</v>
      </c>
      <c r="O315" t="s">
        <v>946</v>
      </c>
      <c r="P315" t="s">
        <v>947</v>
      </c>
      <c r="Q315" t="s">
        <v>948</v>
      </c>
      <c r="R315" t="s">
        <v>515</v>
      </c>
      <c r="S315" t="s">
        <v>135</v>
      </c>
      <c r="T315" t="s">
        <v>136</v>
      </c>
      <c r="U315" t="s">
        <v>131</v>
      </c>
      <c r="V315" t="s">
        <v>77</v>
      </c>
      <c r="W315" t="s">
        <v>131</v>
      </c>
      <c r="X315" t="s">
        <v>137</v>
      </c>
    </row>
    <row r="316" spans="1:24" x14ac:dyDescent="0.2">
      <c r="A316" t="s">
        <v>973</v>
      </c>
      <c r="B316">
        <v>800</v>
      </c>
      <c r="C316" t="s">
        <v>60</v>
      </c>
      <c r="D316" t="s">
        <v>61</v>
      </c>
      <c r="E316" t="s">
        <v>512</v>
      </c>
      <c r="F316" t="s">
        <v>513</v>
      </c>
      <c r="G316" t="s">
        <v>111</v>
      </c>
      <c r="H316" t="s">
        <v>112</v>
      </c>
      <c r="I316" t="s">
        <v>139</v>
      </c>
      <c r="J316" t="s">
        <v>140</v>
      </c>
      <c r="K316">
        <v>4950</v>
      </c>
      <c r="L316" t="s">
        <v>974</v>
      </c>
      <c r="M316" t="s">
        <v>974</v>
      </c>
      <c r="N316" t="s">
        <v>946</v>
      </c>
      <c r="O316" t="s">
        <v>946</v>
      </c>
      <c r="P316" t="s">
        <v>947</v>
      </c>
      <c r="Q316" t="s">
        <v>948</v>
      </c>
      <c r="R316" t="s">
        <v>515</v>
      </c>
      <c r="S316" t="s">
        <v>143</v>
      </c>
      <c r="T316" t="s">
        <v>144</v>
      </c>
      <c r="U316" t="s">
        <v>139</v>
      </c>
      <c r="V316" t="s">
        <v>99</v>
      </c>
      <c r="W316" t="s">
        <v>139</v>
      </c>
      <c r="X316" t="s">
        <v>145</v>
      </c>
    </row>
    <row r="317" spans="1:24" x14ac:dyDescent="0.2">
      <c r="A317" t="s">
        <v>975</v>
      </c>
      <c r="B317">
        <v>800</v>
      </c>
      <c r="C317" t="s">
        <v>60</v>
      </c>
      <c r="D317" t="s">
        <v>61</v>
      </c>
      <c r="E317" t="s">
        <v>512</v>
      </c>
      <c r="F317" t="s">
        <v>513</v>
      </c>
      <c r="G317" t="s">
        <v>306</v>
      </c>
      <c r="H317" t="s">
        <v>307</v>
      </c>
      <c r="I317" t="s">
        <v>91</v>
      </c>
      <c r="J317" t="s">
        <v>92</v>
      </c>
      <c r="K317">
        <v>5250</v>
      </c>
      <c r="L317" t="s">
        <v>976</v>
      </c>
      <c r="M317" t="s">
        <v>976</v>
      </c>
      <c r="N317" t="s">
        <v>946</v>
      </c>
      <c r="O317" t="s">
        <v>946</v>
      </c>
      <c r="P317" t="s">
        <v>947</v>
      </c>
      <c r="Q317" t="s">
        <v>948</v>
      </c>
      <c r="R317" t="s">
        <v>515</v>
      </c>
      <c r="S317" t="s">
        <v>309</v>
      </c>
      <c r="T317" t="s">
        <v>97</v>
      </c>
      <c r="U317" t="s">
        <v>98</v>
      </c>
      <c r="V317" t="s">
        <v>99</v>
      </c>
      <c r="W317" t="s">
        <v>98</v>
      </c>
      <c r="X317" t="s">
        <v>100</v>
      </c>
    </row>
    <row r="318" spans="1:24" x14ac:dyDescent="0.2">
      <c r="A318" t="s">
        <v>977</v>
      </c>
      <c r="B318">
        <v>800</v>
      </c>
      <c r="C318" t="s">
        <v>60</v>
      </c>
      <c r="D318" t="s">
        <v>61</v>
      </c>
      <c r="E318" t="s">
        <v>512</v>
      </c>
      <c r="F318" t="s">
        <v>513</v>
      </c>
      <c r="G318" t="s">
        <v>306</v>
      </c>
      <c r="H318" t="s">
        <v>307</v>
      </c>
      <c r="I318" t="s">
        <v>102</v>
      </c>
      <c r="J318" t="s">
        <v>103</v>
      </c>
      <c r="K318">
        <v>5150</v>
      </c>
      <c r="L318" t="s">
        <v>978</v>
      </c>
      <c r="M318" t="s">
        <v>978</v>
      </c>
      <c r="N318" t="s">
        <v>946</v>
      </c>
      <c r="O318" t="s">
        <v>946</v>
      </c>
      <c r="P318" t="s">
        <v>947</v>
      </c>
      <c r="Q318" t="s">
        <v>948</v>
      </c>
      <c r="R318" t="s">
        <v>515</v>
      </c>
      <c r="S318" t="s">
        <v>312</v>
      </c>
      <c r="T318" t="s">
        <v>313</v>
      </c>
      <c r="U318" t="s">
        <v>314</v>
      </c>
      <c r="V318" t="s">
        <v>77</v>
      </c>
      <c r="W318" t="s">
        <v>314</v>
      </c>
      <c r="X318" t="s">
        <v>315</v>
      </c>
    </row>
    <row r="319" spans="1:24" x14ac:dyDescent="0.2">
      <c r="A319" t="s">
        <v>979</v>
      </c>
      <c r="B319">
        <v>800</v>
      </c>
      <c r="C319" t="s">
        <v>60</v>
      </c>
      <c r="D319" t="s">
        <v>61</v>
      </c>
      <c r="E319" t="s">
        <v>512</v>
      </c>
      <c r="F319" t="s">
        <v>513</v>
      </c>
      <c r="G319" t="s">
        <v>306</v>
      </c>
      <c r="H319" t="s">
        <v>307</v>
      </c>
      <c r="I319" t="s">
        <v>131</v>
      </c>
      <c r="J319" t="s">
        <v>132</v>
      </c>
      <c r="K319">
        <v>5650</v>
      </c>
      <c r="L319" t="s">
        <v>980</v>
      </c>
      <c r="M319" t="s">
        <v>980</v>
      </c>
      <c r="N319" t="s">
        <v>946</v>
      </c>
      <c r="O319" t="s">
        <v>946</v>
      </c>
      <c r="P319" t="s">
        <v>947</v>
      </c>
      <c r="Q319" t="s">
        <v>948</v>
      </c>
      <c r="R319" t="s">
        <v>515</v>
      </c>
      <c r="S319" t="s">
        <v>318</v>
      </c>
      <c r="T319" t="s">
        <v>136</v>
      </c>
      <c r="U319" t="s">
        <v>131</v>
      </c>
      <c r="V319" t="s">
        <v>77</v>
      </c>
      <c r="W319" t="s">
        <v>131</v>
      </c>
      <c r="X319" t="s">
        <v>137</v>
      </c>
    </row>
    <row r="320" spans="1:24" x14ac:dyDescent="0.2">
      <c r="A320" t="s">
        <v>981</v>
      </c>
      <c r="B320">
        <v>800</v>
      </c>
      <c r="C320" t="s">
        <v>60</v>
      </c>
      <c r="D320" t="s">
        <v>61</v>
      </c>
      <c r="E320" t="s">
        <v>512</v>
      </c>
      <c r="F320" t="s">
        <v>513</v>
      </c>
      <c r="G320" t="s">
        <v>306</v>
      </c>
      <c r="H320" t="s">
        <v>307</v>
      </c>
      <c r="I320" t="s">
        <v>139</v>
      </c>
      <c r="J320" t="s">
        <v>140</v>
      </c>
      <c r="K320">
        <v>5650</v>
      </c>
      <c r="L320" t="s">
        <v>982</v>
      </c>
      <c r="M320" t="s">
        <v>982</v>
      </c>
      <c r="N320" t="s">
        <v>946</v>
      </c>
      <c r="O320" t="s">
        <v>946</v>
      </c>
      <c r="P320" t="s">
        <v>947</v>
      </c>
      <c r="Q320" t="s">
        <v>948</v>
      </c>
      <c r="R320" t="s">
        <v>515</v>
      </c>
      <c r="S320" t="s">
        <v>321</v>
      </c>
      <c r="T320" t="s">
        <v>144</v>
      </c>
      <c r="U320" t="s">
        <v>139</v>
      </c>
      <c r="V320" t="s">
        <v>99</v>
      </c>
      <c r="W320" t="s">
        <v>139</v>
      </c>
      <c r="X320" t="s">
        <v>145</v>
      </c>
    </row>
    <row r="321" spans="1:24" x14ac:dyDescent="0.2">
      <c r="A321" t="s">
        <v>983</v>
      </c>
      <c r="B321">
        <v>800</v>
      </c>
      <c r="C321" t="s">
        <v>60</v>
      </c>
      <c r="D321" t="s">
        <v>61</v>
      </c>
      <c r="E321" t="s">
        <v>512</v>
      </c>
      <c r="F321" t="s">
        <v>513</v>
      </c>
      <c r="H321" t="s">
        <v>64</v>
      </c>
      <c r="I321" t="s">
        <v>131</v>
      </c>
      <c r="J321" t="s">
        <v>132</v>
      </c>
      <c r="K321">
        <v>4250</v>
      </c>
      <c r="L321" t="s">
        <v>984</v>
      </c>
      <c r="M321" t="s">
        <v>984</v>
      </c>
      <c r="N321" t="s">
        <v>946</v>
      </c>
      <c r="O321" t="s">
        <v>946</v>
      </c>
      <c r="P321" t="s">
        <v>947</v>
      </c>
      <c r="Q321" t="s">
        <v>948</v>
      </c>
      <c r="R321" t="s">
        <v>515</v>
      </c>
      <c r="S321" t="s">
        <v>149</v>
      </c>
      <c r="T321" t="s">
        <v>136</v>
      </c>
      <c r="U321" t="s">
        <v>131</v>
      </c>
      <c r="V321" t="s">
        <v>77</v>
      </c>
      <c r="W321" t="s">
        <v>131</v>
      </c>
      <c r="X321" t="s">
        <v>137</v>
      </c>
    </row>
    <row r="322" spans="1:24" x14ac:dyDescent="0.2">
      <c r="A322" t="s">
        <v>985</v>
      </c>
      <c r="B322">
        <v>800</v>
      </c>
      <c r="C322" t="s">
        <v>60</v>
      </c>
      <c r="D322" t="s">
        <v>61</v>
      </c>
      <c r="E322" t="s">
        <v>512</v>
      </c>
      <c r="F322" t="s">
        <v>513</v>
      </c>
      <c r="H322" t="s">
        <v>64</v>
      </c>
      <c r="I322" t="s">
        <v>139</v>
      </c>
      <c r="J322" t="s">
        <v>140</v>
      </c>
      <c r="K322">
        <v>4250</v>
      </c>
      <c r="L322" t="s">
        <v>986</v>
      </c>
      <c r="M322" t="s">
        <v>986</v>
      </c>
      <c r="N322" t="s">
        <v>946</v>
      </c>
      <c r="O322" t="s">
        <v>946</v>
      </c>
      <c r="P322" t="s">
        <v>947</v>
      </c>
      <c r="Q322" t="s">
        <v>948</v>
      </c>
      <c r="R322" t="s">
        <v>515</v>
      </c>
      <c r="S322" t="s">
        <v>153</v>
      </c>
      <c r="T322" t="s">
        <v>144</v>
      </c>
      <c r="U322" t="s">
        <v>139</v>
      </c>
      <c r="V322" t="s">
        <v>99</v>
      </c>
      <c r="W322" t="s">
        <v>139</v>
      </c>
      <c r="X322" t="s">
        <v>145</v>
      </c>
    </row>
    <row r="323" spans="1:24" x14ac:dyDescent="0.2">
      <c r="A323" t="s">
        <v>987</v>
      </c>
      <c r="B323" t="s">
        <v>988</v>
      </c>
      <c r="C323" t="s">
        <v>60</v>
      </c>
      <c r="D323" t="s">
        <v>61</v>
      </c>
      <c r="E323" t="s">
        <v>512</v>
      </c>
      <c r="F323" t="s">
        <v>513</v>
      </c>
      <c r="G323" t="s">
        <v>159</v>
      </c>
      <c r="H323" t="s">
        <v>160</v>
      </c>
      <c r="I323" t="s">
        <v>102</v>
      </c>
      <c r="J323" t="s">
        <v>103</v>
      </c>
      <c r="K323">
        <v>3850</v>
      </c>
      <c r="L323" t="s">
        <v>989</v>
      </c>
      <c r="M323" t="s">
        <v>989</v>
      </c>
      <c r="N323" t="s">
        <v>385</v>
      </c>
      <c r="O323" t="s">
        <v>385</v>
      </c>
      <c r="P323" t="s">
        <v>591</v>
      </c>
      <c r="Q323" t="s">
        <v>592</v>
      </c>
      <c r="R323" t="s">
        <v>515</v>
      </c>
      <c r="S323" t="s">
        <v>166</v>
      </c>
      <c r="T323" t="s">
        <v>107</v>
      </c>
      <c r="U323" t="s">
        <v>108</v>
      </c>
      <c r="V323" t="s">
        <v>77</v>
      </c>
      <c r="W323" t="s">
        <v>108</v>
      </c>
      <c r="X323" t="s">
        <v>109</v>
      </c>
    </row>
    <row r="324" spans="1:24" x14ac:dyDescent="0.2">
      <c r="A324" t="s">
        <v>990</v>
      </c>
      <c r="B324">
        <v>808</v>
      </c>
      <c r="C324" t="s">
        <v>60</v>
      </c>
      <c r="D324" t="s">
        <v>61</v>
      </c>
      <c r="E324" t="s">
        <v>89</v>
      </c>
      <c r="F324" t="s">
        <v>341</v>
      </c>
      <c r="H324" t="s">
        <v>64</v>
      </c>
      <c r="I324" t="s">
        <v>65</v>
      </c>
      <c r="J324" t="s">
        <v>66</v>
      </c>
      <c r="K324">
        <v>6250</v>
      </c>
      <c r="L324" t="s">
        <v>991</v>
      </c>
      <c r="M324" t="s">
        <v>991</v>
      </c>
      <c r="N324" t="s">
        <v>946</v>
      </c>
      <c r="O324" t="s">
        <v>946</v>
      </c>
      <c r="P324" t="s">
        <v>992</v>
      </c>
      <c r="Q324" t="s">
        <v>993</v>
      </c>
      <c r="R324" t="s">
        <v>95</v>
      </c>
      <c r="S324" t="s">
        <v>74</v>
      </c>
      <c r="T324" t="s">
        <v>75</v>
      </c>
      <c r="U324" t="s">
        <v>76</v>
      </c>
      <c r="V324" t="s">
        <v>77</v>
      </c>
      <c r="W324" t="s">
        <v>76</v>
      </c>
      <c r="X324" t="s">
        <v>78</v>
      </c>
    </row>
    <row r="325" spans="1:24" x14ac:dyDescent="0.2">
      <c r="A325" t="s">
        <v>994</v>
      </c>
      <c r="B325">
        <v>808</v>
      </c>
      <c r="C325" t="s">
        <v>60</v>
      </c>
      <c r="D325" t="s">
        <v>61</v>
      </c>
      <c r="E325" t="s">
        <v>62</v>
      </c>
      <c r="F325" t="s">
        <v>330</v>
      </c>
      <c r="H325" t="s">
        <v>64</v>
      </c>
      <c r="I325" t="s">
        <v>82</v>
      </c>
      <c r="J325" t="s">
        <v>83</v>
      </c>
      <c r="K325">
        <v>6750</v>
      </c>
      <c r="L325" t="s">
        <v>995</v>
      </c>
      <c r="M325" t="s">
        <v>995</v>
      </c>
      <c r="N325" t="s">
        <v>946</v>
      </c>
      <c r="O325" t="s">
        <v>946</v>
      </c>
      <c r="P325" t="s">
        <v>992</v>
      </c>
      <c r="Q325" t="s">
        <v>993</v>
      </c>
      <c r="R325" t="s">
        <v>73</v>
      </c>
      <c r="S325" t="s">
        <v>87</v>
      </c>
      <c r="T325" t="s">
        <v>75</v>
      </c>
      <c r="U325" t="s">
        <v>76</v>
      </c>
      <c r="V325" t="s">
        <v>77</v>
      </c>
      <c r="W325" t="s">
        <v>76</v>
      </c>
      <c r="X325" t="s">
        <v>78</v>
      </c>
    </row>
    <row r="326" spans="1:24" x14ac:dyDescent="0.2">
      <c r="A326" t="s">
        <v>996</v>
      </c>
      <c r="B326">
        <v>808</v>
      </c>
      <c r="C326" t="s">
        <v>60</v>
      </c>
      <c r="D326" t="s">
        <v>61</v>
      </c>
      <c r="E326" t="s">
        <v>512</v>
      </c>
      <c r="F326" t="s">
        <v>513</v>
      </c>
      <c r="H326" t="s">
        <v>64</v>
      </c>
      <c r="I326" t="s">
        <v>91</v>
      </c>
      <c r="J326" t="s">
        <v>92</v>
      </c>
      <c r="K326">
        <v>3850</v>
      </c>
      <c r="L326" t="s">
        <v>997</v>
      </c>
      <c r="M326" t="s">
        <v>997</v>
      </c>
      <c r="N326" t="s">
        <v>946</v>
      </c>
      <c r="O326" t="s">
        <v>946</v>
      </c>
      <c r="P326" t="s">
        <v>992</v>
      </c>
      <c r="Q326" t="s">
        <v>993</v>
      </c>
      <c r="R326" t="s">
        <v>515</v>
      </c>
      <c r="S326" t="s">
        <v>96</v>
      </c>
      <c r="T326" t="s">
        <v>97</v>
      </c>
      <c r="U326" t="s">
        <v>98</v>
      </c>
      <c r="V326" t="s">
        <v>99</v>
      </c>
      <c r="W326" t="s">
        <v>98</v>
      </c>
      <c r="X326" t="s">
        <v>100</v>
      </c>
    </row>
    <row r="327" spans="1:24" x14ac:dyDescent="0.2">
      <c r="A327" t="s">
        <v>998</v>
      </c>
      <c r="B327">
        <v>808</v>
      </c>
      <c r="C327" t="s">
        <v>60</v>
      </c>
      <c r="D327" t="s">
        <v>61</v>
      </c>
      <c r="E327" t="s">
        <v>512</v>
      </c>
      <c r="F327" t="s">
        <v>513</v>
      </c>
      <c r="H327" t="s">
        <v>64</v>
      </c>
      <c r="I327" t="s">
        <v>102</v>
      </c>
      <c r="J327" t="s">
        <v>103</v>
      </c>
      <c r="K327">
        <v>3750</v>
      </c>
      <c r="L327" t="s">
        <v>999</v>
      </c>
      <c r="M327" t="s">
        <v>999</v>
      </c>
      <c r="N327" t="s">
        <v>946</v>
      </c>
      <c r="O327" t="s">
        <v>946</v>
      </c>
      <c r="P327" t="s">
        <v>992</v>
      </c>
      <c r="Q327" t="s">
        <v>993</v>
      </c>
      <c r="R327" t="s">
        <v>515</v>
      </c>
      <c r="S327" t="s">
        <v>106</v>
      </c>
      <c r="T327" t="s">
        <v>107</v>
      </c>
      <c r="U327" t="s">
        <v>108</v>
      </c>
      <c r="V327" t="s">
        <v>77</v>
      </c>
      <c r="W327" t="s">
        <v>108</v>
      </c>
      <c r="X327" t="s">
        <v>109</v>
      </c>
    </row>
    <row r="328" spans="1:24" x14ac:dyDescent="0.2">
      <c r="A328" t="s">
        <v>1000</v>
      </c>
      <c r="B328">
        <v>808</v>
      </c>
      <c r="C328" t="s">
        <v>60</v>
      </c>
      <c r="D328" t="s">
        <v>61</v>
      </c>
      <c r="E328" t="s">
        <v>89</v>
      </c>
      <c r="F328" t="s">
        <v>341</v>
      </c>
      <c r="G328" t="s">
        <v>111</v>
      </c>
      <c r="H328" t="s">
        <v>112</v>
      </c>
      <c r="I328" t="s">
        <v>65</v>
      </c>
      <c r="J328" t="s">
        <v>66</v>
      </c>
      <c r="K328">
        <v>6950</v>
      </c>
      <c r="L328" t="s">
        <v>1001</v>
      </c>
      <c r="M328" t="s">
        <v>1001</v>
      </c>
      <c r="N328" t="s">
        <v>946</v>
      </c>
      <c r="O328" t="s">
        <v>946</v>
      </c>
      <c r="P328" t="s">
        <v>992</v>
      </c>
      <c r="Q328" t="s">
        <v>993</v>
      </c>
      <c r="R328" t="s">
        <v>95</v>
      </c>
      <c r="S328" t="s">
        <v>114</v>
      </c>
      <c r="T328" t="s">
        <v>75</v>
      </c>
      <c r="U328" t="s">
        <v>76</v>
      </c>
      <c r="V328" t="s">
        <v>77</v>
      </c>
      <c r="W328" t="s">
        <v>76</v>
      </c>
      <c r="X328" t="s">
        <v>78</v>
      </c>
    </row>
    <row r="329" spans="1:24" x14ac:dyDescent="0.2">
      <c r="A329" t="s">
        <v>1002</v>
      </c>
      <c r="B329">
        <v>808</v>
      </c>
      <c r="C329" t="s">
        <v>60</v>
      </c>
      <c r="D329" t="s">
        <v>61</v>
      </c>
      <c r="E329" t="s">
        <v>62</v>
      </c>
      <c r="F329" t="s">
        <v>330</v>
      </c>
      <c r="G329" t="s">
        <v>111</v>
      </c>
      <c r="H329" t="s">
        <v>112</v>
      </c>
      <c r="I329" t="s">
        <v>82</v>
      </c>
      <c r="J329" t="s">
        <v>83</v>
      </c>
      <c r="K329">
        <v>7450</v>
      </c>
      <c r="L329" t="s">
        <v>1003</v>
      </c>
      <c r="M329" t="s">
        <v>1003</v>
      </c>
      <c r="N329" t="s">
        <v>946</v>
      </c>
      <c r="O329" t="s">
        <v>946</v>
      </c>
      <c r="P329" t="s">
        <v>992</v>
      </c>
      <c r="Q329" t="s">
        <v>993</v>
      </c>
      <c r="R329" t="s">
        <v>73</v>
      </c>
      <c r="S329" t="s">
        <v>118</v>
      </c>
      <c r="T329" t="s">
        <v>75</v>
      </c>
      <c r="U329" t="s">
        <v>76</v>
      </c>
      <c r="V329" t="s">
        <v>77</v>
      </c>
      <c r="W329" t="s">
        <v>76</v>
      </c>
      <c r="X329" t="s">
        <v>78</v>
      </c>
    </row>
    <row r="330" spans="1:24" x14ac:dyDescent="0.2">
      <c r="A330" t="s">
        <v>1004</v>
      </c>
      <c r="B330">
        <v>808</v>
      </c>
      <c r="C330" t="s">
        <v>60</v>
      </c>
      <c r="D330" t="s">
        <v>61</v>
      </c>
      <c r="E330" t="s">
        <v>512</v>
      </c>
      <c r="F330" t="s">
        <v>513</v>
      </c>
      <c r="G330" t="s">
        <v>111</v>
      </c>
      <c r="H330" t="s">
        <v>112</v>
      </c>
      <c r="I330" t="s">
        <v>91</v>
      </c>
      <c r="J330" t="s">
        <v>92</v>
      </c>
      <c r="K330">
        <v>4550</v>
      </c>
      <c r="L330" t="s">
        <v>1005</v>
      </c>
      <c r="M330" t="s">
        <v>1005</v>
      </c>
      <c r="N330" t="s">
        <v>946</v>
      </c>
      <c r="O330" t="s">
        <v>946</v>
      </c>
      <c r="P330" t="s">
        <v>992</v>
      </c>
      <c r="Q330" t="s">
        <v>993</v>
      </c>
      <c r="R330" t="s">
        <v>515</v>
      </c>
      <c r="S330" t="s">
        <v>122</v>
      </c>
      <c r="T330" t="s">
        <v>97</v>
      </c>
      <c r="U330" t="s">
        <v>98</v>
      </c>
      <c r="V330" t="s">
        <v>99</v>
      </c>
      <c r="W330" t="s">
        <v>98</v>
      </c>
      <c r="X330" t="s">
        <v>100</v>
      </c>
    </row>
    <row r="331" spans="1:24" x14ac:dyDescent="0.2">
      <c r="A331" t="s">
        <v>1006</v>
      </c>
      <c r="B331">
        <v>808</v>
      </c>
      <c r="C331" t="s">
        <v>60</v>
      </c>
      <c r="D331" t="s">
        <v>61</v>
      </c>
      <c r="E331" t="s">
        <v>512</v>
      </c>
      <c r="F331" t="s">
        <v>513</v>
      </c>
      <c r="G331" t="s">
        <v>111</v>
      </c>
      <c r="H331" t="s">
        <v>112</v>
      </c>
      <c r="I331" t="s">
        <v>102</v>
      </c>
      <c r="J331" t="s">
        <v>103</v>
      </c>
      <c r="K331">
        <v>4450</v>
      </c>
      <c r="L331" t="s">
        <v>1007</v>
      </c>
      <c r="M331" t="s">
        <v>1007</v>
      </c>
      <c r="N331" t="s">
        <v>946</v>
      </c>
      <c r="O331" t="s">
        <v>946</v>
      </c>
      <c r="P331" t="s">
        <v>992</v>
      </c>
      <c r="Q331" t="s">
        <v>993</v>
      </c>
      <c r="R331" t="s">
        <v>515</v>
      </c>
      <c r="S331" t="s">
        <v>126</v>
      </c>
      <c r="T331" t="s">
        <v>127</v>
      </c>
      <c r="U331" t="s">
        <v>128</v>
      </c>
      <c r="V331" t="s">
        <v>77</v>
      </c>
      <c r="W331" t="s">
        <v>128</v>
      </c>
      <c r="X331" t="s">
        <v>129</v>
      </c>
    </row>
    <row r="332" spans="1:24" x14ac:dyDescent="0.2">
      <c r="A332" t="s">
        <v>1008</v>
      </c>
      <c r="B332">
        <v>808</v>
      </c>
      <c r="C332" t="s">
        <v>60</v>
      </c>
      <c r="D332" t="s">
        <v>61</v>
      </c>
      <c r="E332" t="s">
        <v>512</v>
      </c>
      <c r="F332" t="s">
        <v>513</v>
      </c>
      <c r="G332" t="s">
        <v>111</v>
      </c>
      <c r="H332" t="s">
        <v>112</v>
      </c>
      <c r="I332" t="s">
        <v>131</v>
      </c>
      <c r="J332" t="s">
        <v>132</v>
      </c>
      <c r="K332">
        <v>4950</v>
      </c>
      <c r="L332" t="s">
        <v>1009</v>
      </c>
      <c r="M332" t="s">
        <v>1009</v>
      </c>
      <c r="N332" t="s">
        <v>946</v>
      </c>
      <c r="O332" t="s">
        <v>946</v>
      </c>
      <c r="P332" t="s">
        <v>992</v>
      </c>
      <c r="Q332" t="s">
        <v>993</v>
      </c>
      <c r="R332" t="s">
        <v>515</v>
      </c>
      <c r="S332" t="s">
        <v>135</v>
      </c>
      <c r="T332" t="s">
        <v>136</v>
      </c>
      <c r="U332" t="s">
        <v>131</v>
      </c>
      <c r="V332" t="s">
        <v>77</v>
      </c>
      <c r="W332" t="s">
        <v>131</v>
      </c>
      <c r="X332" t="s">
        <v>137</v>
      </c>
    </row>
    <row r="333" spans="1:24" x14ac:dyDescent="0.2">
      <c r="A333" t="s">
        <v>1010</v>
      </c>
      <c r="B333">
        <v>808</v>
      </c>
      <c r="C333" t="s">
        <v>60</v>
      </c>
      <c r="D333" t="s">
        <v>61</v>
      </c>
      <c r="E333" t="s">
        <v>512</v>
      </c>
      <c r="F333" t="s">
        <v>513</v>
      </c>
      <c r="G333" t="s">
        <v>111</v>
      </c>
      <c r="H333" t="s">
        <v>112</v>
      </c>
      <c r="I333" t="s">
        <v>139</v>
      </c>
      <c r="J333" t="s">
        <v>140</v>
      </c>
      <c r="K333">
        <v>4950</v>
      </c>
      <c r="L333" t="s">
        <v>1011</v>
      </c>
      <c r="M333" t="s">
        <v>1011</v>
      </c>
      <c r="N333" t="s">
        <v>946</v>
      </c>
      <c r="O333" t="s">
        <v>946</v>
      </c>
      <c r="P333" t="s">
        <v>992</v>
      </c>
      <c r="Q333" t="s">
        <v>993</v>
      </c>
      <c r="R333" t="s">
        <v>515</v>
      </c>
      <c r="S333" t="s">
        <v>143</v>
      </c>
      <c r="T333" t="s">
        <v>144</v>
      </c>
      <c r="U333" t="s">
        <v>139</v>
      </c>
      <c r="V333" t="s">
        <v>99</v>
      </c>
      <c r="W333" t="s">
        <v>139</v>
      </c>
      <c r="X333" t="s">
        <v>145</v>
      </c>
    </row>
    <row r="334" spans="1:24" x14ac:dyDescent="0.2">
      <c r="A334" t="s">
        <v>1012</v>
      </c>
      <c r="B334">
        <v>808</v>
      </c>
      <c r="C334" t="s">
        <v>60</v>
      </c>
      <c r="D334" t="s">
        <v>61</v>
      </c>
      <c r="E334" t="s">
        <v>512</v>
      </c>
      <c r="F334" t="s">
        <v>513</v>
      </c>
      <c r="H334" t="s">
        <v>64</v>
      </c>
      <c r="I334" t="s">
        <v>131</v>
      </c>
      <c r="J334" t="s">
        <v>132</v>
      </c>
      <c r="K334">
        <v>4250</v>
      </c>
      <c r="L334" t="s">
        <v>1013</v>
      </c>
      <c r="M334" t="s">
        <v>1013</v>
      </c>
      <c r="N334" t="s">
        <v>946</v>
      </c>
      <c r="O334" t="s">
        <v>946</v>
      </c>
      <c r="P334" t="s">
        <v>992</v>
      </c>
      <c r="Q334" t="s">
        <v>993</v>
      </c>
      <c r="R334" t="s">
        <v>515</v>
      </c>
      <c r="S334" t="s">
        <v>149</v>
      </c>
      <c r="T334" t="s">
        <v>136</v>
      </c>
      <c r="U334" t="s">
        <v>131</v>
      </c>
      <c r="V334" t="s">
        <v>77</v>
      </c>
      <c r="W334" t="s">
        <v>131</v>
      </c>
      <c r="X334" t="s">
        <v>137</v>
      </c>
    </row>
    <row r="335" spans="1:24" x14ac:dyDescent="0.2">
      <c r="A335" t="s">
        <v>1014</v>
      </c>
      <c r="B335">
        <v>808</v>
      </c>
      <c r="C335" t="s">
        <v>60</v>
      </c>
      <c r="D335" t="s">
        <v>61</v>
      </c>
      <c r="E335" t="s">
        <v>512</v>
      </c>
      <c r="F335" t="s">
        <v>513</v>
      </c>
      <c r="H335" t="s">
        <v>64</v>
      </c>
      <c r="I335" t="s">
        <v>139</v>
      </c>
      <c r="J335" t="s">
        <v>140</v>
      </c>
      <c r="K335">
        <v>4250</v>
      </c>
      <c r="L335" t="s">
        <v>1015</v>
      </c>
      <c r="M335" t="s">
        <v>1015</v>
      </c>
      <c r="N335" t="s">
        <v>946</v>
      </c>
      <c r="O335" t="s">
        <v>946</v>
      </c>
      <c r="P335" t="s">
        <v>992</v>
      </c>
      <c r="Q335" t="s">
        <v>993</v>
      </c>
      <c r="R335" t="s">
        <v>515</v>
      </c>
      <c r="S335" t="s">
        <v>153</v>
      </c>
      <c r="T335" t="s">
        <v>144</v>
      </c>
      <c r="U335" t="s">
        <v>139</v>
      </c>
      <c r="V335" t="s">
        <v>99</v>
      </c>
      <c r="W335" t="s">
        <v>139</v>
      </c>
      <c r="X335" t="s">
        <v>145</v>
      </c>
    </row>
    <row r="336" spans="1:24" x14ac:dyDescent="0.2">
      <c r="A336" t="s">
        <v>1016</v>
      </c>
      <c r="B336" t="s">
        <v>988</v>
      </c>
      <c r="C336" t="s">
        <v>60</v>
      </c>
      <c r="D336" t="s">
        <v>612</v>
      </c>
      <c r="E336" t="s">
        <v>613</v>
      </c>
      <c r="F336" t="s">
        <v>614</v>
      </c>
      <c r="G336" t="s">
        <v>159</v>
      </c>
      <c r="H336" t="s">
        <v>160</v>
      </c>
      <c r="I336" t="s">
        <v>102</v>
      </c>
      <c r="J336" t="s">
        <v>103</v>
      </c>
      <c r="K336">
        <v>4350</v>
      </c>
      <c r="L336" t="s">
        <v>1017</v>
      </c>
      <c r="M336" t="s">
        <v>1017</v>
      </c>
      <c r="N336" t="s">
        <v>385</v>
      </c>
      <c r="O336" t="s">
        <v>385</v>
      </c>
      <c r="P336" t="s">
        <v>591</v>
      </c>
      <c r="Q336" t="s">
        <v>592</v>
      </c>
      <c r="R336" t="s">
        <v>616</v>
      </c>
      <c r="S336" t="s">
        <v>166</v>
      </c>
      <c r="T336" t="s">
        <v>107</v>
      </c>
      <c r="U336" t="s">
        <v>108</v>
      </c>
      <c r="V336" t="s">
        <v>77</v>
      </c>
      <c r="W336" t="s">
        <v>108</v>
      </c>
      <c r="X336" t="s">
        <v>109</v>
      </c>
    </row>
    <row r="337" spans="1:24" x14ac:dyDescent="0.2">
      <c r="A337" t="s">
        <v>1018</v>
      </c>
      <c r="B337">
        <v>810</v>
      </c>
      <c r="C337" t="s">
        <v>60</v>
      </c>
      <c r="D337" t="s">
        <v>61</v>
      </c>
      <c r="E337" t="s">
        <v>89</v>
      </c>
      <c r="F337" t="s">
        <v>341</v>
      </c>
      <c r="H337" t="s">
        <v>64</v>
      </c>
      <c r="I337" t="s">
        <v>65</v>
      </c>
      <c r="J337" t="s">
        <v>66</v>
      </c>
      <c r="K337">
        <v>6250</v>
      </c>
      <c r="L337" t="s">
        <v>1019</v>
      </c>
      <c r="M337" t="s">
        <v>1019</v>
      </c>
      <c r="N337" t="s">
        <v>946</v>
      </c>
      <c r="O337" t="s">
        <v>946</v>
      </c>
      <c r="P337" t="s">
        <v>1020</v>
      </c>
      <c r="Q337" t="s">
        <v>1021</v>
      </c>
      <c r="R337" t="s">
        <v>95</v>
      </c>
      <c r="S337" t="s">
        <v>74</v>
      </c>
      <c r="T337" t="s">
        <v>75</v>
      </c>
      <c r="U337" t="s">
        <v>76</v>
      </c>
      <c r="V337" t="s">
        <v>77</v>
      </c>
      <c r="W337" t="s">
        <v>76</v>
      </c>
      <c r="X337" t="s">
        <v>78</v>
      </c>
    </row>
    <row r="338" spans="1:24" x14ac:dyDescent="0.2">
      <c r="A338" t="s">
        <v>1022</v>
      </c>
      <c r="B338">
        <v>810</v>
      </c>
      <c r="C338" t="s">
        <v>60</v>
      </c>
      <c r="D338" t="s">
        <v>61</v>
      </c>
      <c r="E338" t="s">
        <v>62</v>
      </c>
      <c r="F338" t="s">
        <v>330</v>
      </c>
      <c r="H338" t="s">
        <v>64</v>
      </c>
      <c r="I338" t="s">
        <v>82</v>
      </c>
      <c r="J338" t="s">
        <v>83</v>
      </c>
      <c r="K338">
        <v>6750</v>
      </c>
      <c r="L338" t="s">
        <v>1023</v>
      </c>
      <c r="M338" t="s">
        <v>1023</v>
      </c>
      <c r="N338" t="s">
        <v>946</v>
      </c>
      <c r="O338" t="s">
        <v>946</v>
      </c>
      <c r="P338" t="s">
        <v>1020</v>
      </c>
      <c r="Q338" t="s">
        <v>1021</v>
      </c>
      <c r="R338" t="s">
        <v>73</v>
      </c>
      <c r="S338" t="s">
        <v>87</v>
      </c>
      <c r="T338" t="s">
        <v>75</v>
      </c>
      <c r="U338" t="s">
        <v>76</v>
      </c>
      <c r="V338" t="s">
        <v>77</v>
      </c>
      <c r="W338" t="s">
        <v>76</v>
      </c>
      <c r="X338" t="s">
        <v>78</v>
      </c>
    </row>
    <row r="339" spans="1:24" x14ac:dyDescent="0.2">
      <c r="A339" t="s">
        <v>1024</v>
      </c>
      <c r="B339">
        <v>810</v>
      </c>
      <c r="C339" t="s">
        <v>60</v>
      </c>
      <c r="D339" t="s">
        <v>61</v>
      </c>
      <c r="E339" t="s">
        <v>512</v>
      </c>
      <c r="F339" t="s">
        <v>513</v>
      </c>
      <c r="H339" t="s">
        <v>64</v>
      </c>
      <c r="I339" t="s">
        <v>91</v>
      </c>
      <c r="J339" t="s">
        <v>92</v>
      </c>
      <c r="K339">
        <v>3850</v>
      </c>
      <c r="L339" t="s">
        <v>1025</v>
      </c>
      <c r="M339" t="s">
        <v>1025</v>
      </c>
      <c r="N339" t="s">
        <v>946</v>
      </c>
      <c r="O339" t="s">
        <v>946</v>
      </c>
      <c r="P339" t="s">
        <v>1020</v>
      </c>
      <c r="Q339" t="s">
        <v>1021</v>
      </c>
      <c r="R339" t="s">
        <v>515</v>
      </c>
      <c r="S339" t="s">
        <v>96</v>
      </c>
      <c r="T339" t="s">
        <v>97</v>
      </c>
      <c r="U339" t="s">
        <v>98</v>
      </c>
      <c r="V339" t="s">
        <v>99</v>
      </c>
      <c r="W339" t="s">
        <v>98</v>
      </c>
      <c r="X339" t="s">
        <v>100</v>
      </c>
    </row>
    <row r="340" spans="1:24" x14ac:dyDescent="0.2">
      <c r="A340" t="s">
        <v>1026</v>
      </c>
      <c r="B340">
        <v>810</v>
      </c>
      <c r="C340" t="s">
        <v>60</v>
      </c>
      <c r="D340" t="s">
        <v>61</v>
      </c>
      <c r="E340" t="s">
        <v>512</v>
      </c>
      <c r="F340" t="s">
        <v>513</v>
      </c>
      <c r="H340" t="s">
        <v>64</v>
      </c>
      <c r="I340" t="s">
        <v>102</v>
      </c>
      <c r="J340" t="s">
        <v>103</v>
      </c>
      <c r="K340">
        <v>3750</v>
      </c>
      <c r="L340" t="s">
        <v>1027</v>
      </c>
      <c r="M340" t="s">
        <v>1027</v>
      </c>
      <c r="N340" t="s">
        <v>946</v>
      </c>
      <c r="O340" t="s">
        <v>946</v>
      </c>
      <c r="P340" t="s">
        <v>1020</v>
      </c>
      <c r="Q340" t="s">
        <v>1021</v>
      </c>
      <c r="R340" t="s">
        <v>515</v>
      </c>
      <c r="S340" t="s">
        <v>106</v>
      </c>
      <c r="T340" t="s">
        <v>107</v>
      </c>
      <c r="U340" t="s">
        <v>108</v>
      </c>
      <c r="V340" t="s">
        <v>77</v>
      </c>
      <c r="W340" t="s">
        <v>108</v>
      </c>
      <c r="X340" t="s">
        <v>109</v>
      </c>
    </row>
    <row r="341" spans="1:24" x14ac:dyDescent="0.2">
      <c r="A341" t="s">
        <v>1028</v>
      </c>
      <c r="B341">
        <v>810</v>
      </c>
      <c r="C341" t="s">
        <v>60</v>
      </c>
      <c r="D341" t="s">
        <v>61</v>
      </c>
      <c r="E341" t="s">
        <v>89</v>
      </c>
      <c r="F341" t="s">
        <v>341</v>
      </c>
      <c r="G341" t="s">
        <v>111</v>
      </c>
      <c r="H341" t="s">
        <v>112</v>
      </c>
      <c r="I341" t="s">
        <v>65</v>
      </c>
      <c r="J341" t="s">
        <v>66</v>
      </c>
      <c r="K341">
        <v>6950</v>
      </c>
      <c r="L341" t="s">
        <v>1029</v>
      </c>
      <c r="M341" t="s">
        <v>1029</v>
      </c>
      <c r="N341" t="s">
        <v>946</v>
      </c>
      <c r="O341" t="s">
        <v>946</v>
      </c>
      <c r="P341" t="s">
        <v>1020</v>
      </c>
      <c r="Q341" t="s">
        <v>1021</v>
      </c>
      <c r="R341" t="s">
        <v>95</v>
      </c>
      <c r="S341" t="s">
        <v>114</v>
      </c>
      <c r="T341" t="s">
        <v>75</v>
      </c>
      <c r="U341" t="s">
        <v>76</v>
      </c>
      <c r="V341" t="s">
        <v>77</v>
      </c>
      <c r="W341" t="s">
        <v>76</v>
      </c>
      <c r="X341" t="s">
        <v>78</v>
      </c>
    </row>
    <row r="342" spans="1:24" x14ac:dyDescent="0.2">
      <c r="A342" t="s">
        <v>1030</v>
      </c>
      <c r="B342">
        <v>810</v>
      </c>
      <c r="C342" t="s">
        <v>60</v>
      </c>
      <c r="D342" t="s">
        <v>61</v>
      </c>
      <c r="E342" t="s">
        <v>62</v>
      </c>
      <c r="F342" t="s">
        <v>330</v>
      </c>
      <c r="G342" t="s">
        <v>111</v>
      </c>
      <c r="H342" t="s">
        <v>112</v>
      </c>
      <c r="I342" t="s">
        <v>82</v>
      </c>
      <c r="J342" t="s">
        <v>83</v>
      </c>
      <c r="K342">
        <v>7450</v>
      </c>
      <c r="L342" t="s">
        <v>1031</v>
      </c>
      <c r="M342" t="s">
        <v>1031</v>
      </c>
      <c r="N342" t="s">
        <v>946</v>
      </c>
      <c r="O342" t="s">
        <v>946</v>
      </c>
      <c r="P342" t="s">
        <v>1020</v>
      </c>
      <c r="Q342" t="s">
        <v>1021</v>
      </c>
      <c r="R342" t="s">
        <v>73</v>
      </c>
      <c r="S342" t="s">
        <v>118</v>
      </c>
      <c r="T342" t="s">
        <v>75</v>
      </c>
      <c r="U342" t="s">
        <v>76</v>
      </c>
      <c r="V342" t="s">
        <v>77</v>
      </c>
      <c r="W342" t="s">
        <v>76</v>
      </c>
      <c r="X342" t="s">
        <v>78</v>
      </c>
    </row>
    <row r="343" spans="1:24" x14ac:dyDescent="0.2">
      <c r="A343" t="s">
        <v>1032</v>
      </c>
      <c r="B343">
        <v>810</v>
      </c>
      <c r="C343" t="s">
        <v>60</v>
      </c>
      <c r="D343" t="s">
        <v>61</v>
      </c>
      <c r="E343" t="s">
        <v>512</v>
      </c>
      <c r="F343" t="s">
        <v>513</v>
      </c>
      <c r="G343" t="s">
        <v>111</v>
      </c>
      <c r="H343" t="s">
        <v>112</v>
      </c>
      <c r="I343" t="s">
        <v>91</v>
      </c>
      <c r="J343" t="s">
        <v>92</v>
      </c>
      <c r="K343">
        <v>4550</v>
      </c>
      <c r="L343" t="s">
        <v>1033</v>
      </c>
      <c r="M343" t="s">
        <v>1033</v>
      </c>
      <c r="N343" t="s">
        <v>946</v>
      </c>
      <c r="O343" t="s">
        <v>946</v>
      </c>
      <c r="P343" t="s">
        <v>1020</v>
      </c>
      <c r="Q343" t="s">
        <v>1021</v>
      </c>
      <c r="R343" t="s">
        <v>515</v>
      </c>
      <c r="S343" t="s">
        <v>122</v>
      </c>
      <c r="T343" t="s">
        <v>97</v>
      </c>
      <c r="U343" t="s">
        <v>98</v>
      </c>
      <c r="V343" t="s">
        <v>99</v>
      </c>
      <c r="W343" t="s">
        <v>98</v>
      </c>
      <c r="X343" t="s">
        <v>100</v>
      </c>
    </row>
    <row r="344" spans="1:24" x14ac:dyDescent="0.2">
      <c r="A344" t="s">
        <v>1034</v>
      </c>
      <c r="B344">
        <v>810</v>
      </c>
      <c r="C344" t="s">
        <v>60</v>
      </c>
      <c r="D344" t="s">
        <v>61</v>
      </c>
      <c r="E344" t="s">
        <v>512</v>
      </c>
      <c r="F344" t="s">
        <v>513</v>
      </c>
      <c r="G344" t="s">
        <v>111</v>
      </c>
      <c r="H344" t="s">
        <v>112</v>
      </c>
      <c r="I344" t="s">
        <v>102</v>
      </c>
      <c r="J344" t="s">
        <v>103</v>
      </c>
      <c r="K344">
        <v>4450</v>
      </c>
      <c r="L344" t="s">
        <v>1035</v>
      </c>
      <c r="M344" t="s">
        <v>1035</v>
      </c>
      <c r="N344" t="s">
        <v>946</v>
      </c>
      <c r="O344" t="s">
        <v>946</v>
      </c>
      <c r="P344" t="s">
        <v>1020</v>
      </c>
      <c r="Q344" t="s">
        <v>1021</v>
      </c>
      <c r="R344" t="s">
        <v>515</v>
      </c>
      <c r="S344" t="s">
        <v>126</v>
      </c>
      <c r="T344" t="s">
        <v>127</v>
      </c>
      <c r="U344" t="s">
        <v>128</v>
      </c>
      <c r="V344" t="s">
        <v>77</v>
      </c>
      <c r="W344" t="s">
        <v>128</v>
      </c>
      <c r="X344" t="s">
        <v>129</v>
      </c>
    </row>
    <row r="345" spans="1:24" x14ac:dyDescent="0.2">
      <c r="A345" t="s">
        <v>1036</v>
      </c>
      <c r="B345">
        <v>810</v>
      </c>
      <c r="C345" t="s">
        <v>60</v>
      </c>
      <c r="D345" t="s">
        <v>61</v>
      </c>
      <c r="E345" t="s">
        <v>512</v>
      </c>
      <c r="F345" t="s">
        <v>513</v>
      </c>
      <c r="G345" t="s">
        <v>111</v>
      </c>
      <c r="H345" t="s">
        <v>112</v>
      </c>
      <c r="I345" t="s">
        <v>131</v>
      </c>
      <c r="J345" t="s">
        <v>132</v>
      </c>
      <c r="K345">
        <v>4950</v>
      </c>
      <c r="L345" t="s">
        <v>1037</v>
      </c>
      <c r="M345" t="s">
        <v>1037</v>
      </c>
      <c r="N345" t="s">
        <v>946</v>
      </c>
      <c r="O345" t="s">
        <v>946</v>
      </c>
      <c r="P345" t="s">
        <v>1020</v>
      </c>
      <c r="Q345" t="s">
        <v>1021</v>
      </c>
      <c r="R345" t="s">
        <v>515</v>
      </c>
      <c r="S345" t="s">
        <v>135</v>
      </c>
      <c r="T345" t="s">
        <v>136</v>
      </c>
      <c r="U345" t="s">
        <v>131</v>
      </c>
      <c r="V345" t="s">
        <v>77</v>
      </c>
      <c r="W345" t="s">
        <v>131</v>
      </c>
      <c r="X345" t="s">
        <v>137</v>
      </c>
    </row>
    <row r="346" spans="1:24" x14ac:dyDescent="0.2">
      <c r="A346" t="s">
        <v>1038</v>
      </c>
      <c r="B346">
        <v>810</v>
      </c>
      <c r="C346" t="s">
        <v>60</v>
      </c>
      <c r="D346" t="s">
        <v>61</v>
      </c>
      <c r="E346" t="s">
        <v>512</v>
      </c>
      <c r="F346" t="s">
        <v>513</v>
      </c>
      <c r="G346" t="s">
        <v>111</v>
      </c>
      <c r="H346" t="s">
        <v>112</v>
      </c>
      <c r="I346" t="s">
        <v>139</v>
      </c>
      <c r="J346" t="s">
        <v>140</v>
      </c>
      <c r="K346">
        <v>4950</v>
      </c>
      <c r="L346" t="s">
        <v>1039</v>
      </c>
      <c r="M346" t="s">
        <v>1039</v>
      </c>
      <c r="N346" t="s">
        <v>946</v>
      </c>
      <c r="O346" t="s">
        <v>946</v>
      </c>
      <c r="P346" t="s">
        <v>1020</v>
      </c>
      <c r="Q346" t="s">
        <v>1021</v>
      </c>
      <c r="R346" t="s">
        <v>515</v>
      </c>
      <c r="S346" t="s">
        <v>143</v>
      </c>
      <c r="T346" t="s">
        <v>144</v>
      </c>
      <c r="U346" t="s">
        <v>139</v>
      </c>
      <c r="V346" t="s">
        <v>99</v>
      </c>
      <c r="W346" t="s">
        <v>139</v>
      </c>
      <c r="X346" t="s">
        <v>145</v>
      </c>
    </row>
    <row r="347" spans="1:24" x14ac:dyDescent="0.2">
      <c r="A347" t="s">
        <v>1040</v>
      </c>
      <c r="B347">
        <v>810</v>
      </c>
      <c r="C347" t="s">
        <v>60</v>
      </c>
      <c r="D347" t="s">
        <v>61</v>
      </c>
      <c r="E347" t="s">
        <v>512</v>
      </c>
      <c r="F347" t="s">
        <v>513</v>
      </c>
      <c r="H347" t="s">
        <v>64</v>
      </c>
      <c r="I347" t="s">
        <v>131</v>
      </c>
      <c r="J347" t="s">
        <v>132</v>
      </c>
      <c r="K347">
        <v>4250</v>
      </c>
      <c r="L347" t="s">
        <v>1041</v>
      </c>
      <c r="M347" t="s">
        <v>1041</v>
      </c>
      <c r="N347" t="s">
        <v>946</v>
      </c>
      <c r="O347" t="s">
        <v>946</v>
      </c>
      <c r="P347" t="s">
        <v>1020</v>
      </c>
      <c r="Q347" t="s">
        <v>1021</v>
      </c>
      <c r="R347" t="s">
        <v>515</v>
      </c>
      <c r="S347" t="s">
        <v>149</v>
      </c>
      <c r="T347" t="s">
        <v>136</v>
      </c>
      <c r="U347" t="s">
        <v>131</v>
      </c>
      <c r="V347" t="s">
        <v>77</v>
      </c>
      <c r="W347" t="s">
        <v>131</v>
      </c>
      <c r="X347" t="s">
        <v>137</v>
      </c>
    </row>
    <row r="348" spans="1:24" x14ac:dyDescent="0.2">
      <c r="A348" t="s">
        <v>1042</v>
      </c>
      <c r="B348">
        <v>810</v>
      </c>
      <c r="C348" t="s">
        <v>60</v>
      </c>
      <c r="D348" t="s">
        <v>61</v>
      </c>
      <c r="E348" t="s">
        <v>512</v>
      </c>
      <c r="F348" t="s">
        <v>513</v>
      </c>
      <c r="H348" t="s">
        <v>64</v>
      </c>
      <c r="I348" t="s">
        <v>139</v>
      </c>
      <c r="J348" t="s">
        <v>140</v>
      </c>
      <c r="K348">
        <v>4250</v>
      </c>
      <c r="L348" t="s">
        <v>1043</v>
      </c>
      <c r="M348" t="s">
        <v>1043</v>
      </c>
      <c r="N348" t="s">
        <v>946</v>
      </c>
      <c r="O348" t="s">
        <v>946</v>
      </c>
      <c r="P348" t="s">
        <v>1020</v>
      </c>
      <c r="Q348" t="s">
        <v>1021</v>
      </c>
      <c r="R348" t="s">
        <v>515</v>
      </c>
      <c r="S348" t="s">
        <v>153</v>
      </c>
      <c r="T348" t="s">
        <v>144</v>
      </c>
      <c r="U348" t="s">
        <v>139</v>
      </c>
      <c r="V348" t="s">
        <v>99</v>
      </c>
      <c r="W348" t="s">
        <v>139</v>
      </c>
      <c r="X348" t="s">
        <v>145</v>
      </c>
    </row>
    <row r="349" spans="1:24" x14ac:dyDescent="0.2">
      <c r="A349" t="s">
        <v>1044</v>
      </c>
      <c r="B349" t="s">
        <v>988</v>
      </c>
      <c r="C349" t="s">
        <v>60</v>
      </c>
      <c r="D349" t="s">
        <v>156</v>
      </c>
      <c r="E349" t="s">
        <v>89</v>
      </c>
      <c r="F349" t="s">
        <v>606</v>
      </c>
      <c r="G349" t="s">
        <v>159</v>
      </c>
      <c r="H349" t="s">
        <v>160</v>
      </c>
      <c r="I349" t="s">
        <v>102</v>
      </c>
      <c r="J349" t="s">
        <v>103</v>
      </c>
      <c r="K349">
        <v>2850</v>
      </c>
      <c r="L349" t="s">
        <v>1045</v>
      </c>
      <c r="M349" t="s">
        <v>1045</v>
      </c>
      <c r="N349" t="s">
        <v>385</v>
      </c>
      <c r="O349" t="s">
        <v>385</v>
      </c>
      <c r="P349" t="s">
        <v>591</v>
      </c>
      <c r="Q349" t="s">
        <v>592</v>
      </c>
      <c r="R349" t="s">
        <v>608</v>
      </c>
      <c r="S349" t="s">
        <v>166</v>
      </c>
      <c r="T349" t="s">
        <v>107</v>
      </c>
      <c r="U349" t="s">
        <v>108</v>
      </c>
      <c r="V349" t="s">
        <v>77</v>
      </c>
      <c r="W349" t="s">
        <v>108</v>
      </c>
      <c r="X349" t="s">
        <v>109</v>
      </c>
    </row>
    <row r="350" spans="1:24" x14ac:dyDescent="0.2">
      <c r="A350" t="s">
        <v>1046</v>
      </c>
      <c r="B350">
        <v>816</v>
      </c>
      <c r="C350" t="s">
        <v>60</v>
      </c>
      <c r="D350" t="s">
        <v>61</v>
      </c>
      <c r="E350" t="s">
        <v>1047</v>
      </c>
      <c r="F350" t="s">
        <v>1048</v>
      </c>
      <c r="H350" t="s">
        <v>64</v>
      </c>
      <c r="I350" t="s">
        <v>65</v>
      </c>
      <c r="J350" t="s">
        <v>66</v>
      </c>
      <c r="K350">
        <v>6250</v>
      </c>
      <c r="L350" t="s">
        <v>1049</v>
      </c>
      <c r="M350" t="s">
        <v>1049</v>
      </c>
      <c r="N350" t="s">
        <v>946</v>
      </c>
      <c r="O350" t="s">
        <v>946</v>
      </c>
      <c r="P350" t="s">
        <v>1050</v>
      </c>
      <c r="Q350" t="s">
        <v>1051</v>
      </c>
      <c r="R350" t="s">
        <v>1052</v>
      </c>
      <c r="S350" t="s">
        <v>74</v>
      </c>
      <c r="T350" t="s">
        <v>75</v>
      </c>
      <c r="U350" t="s">
        <v>76</v>
      </c>
      <c r="V350" t="s">
        <v>77</v>
      </c>
      <c r="W350" t="s">
        <v>76</v>
      </c>
      <c r="X350" t="s">
        <v>78</v>
      </c>
    </row>
    <row r="351" spans="1:24" x14ac:dyDescent="0.2">
      <c r="A351" t="s">
        <v>1053</v>
      </c>
      <c r="B351">
        <v>816</v>
      </c>
      <c r="C351" t="s">
        <v>60</v>
      </c>
      <c r="D351" t="s">
        <v>61</v>
      </c>
      <c r="E351" t="s">
        <v>1054</v>
      </c>
      <c r="F351" t="s">
        <v>1055</v>
      </c>
      <c r="H351" t="s">
        <v>64</v>
      </c>
      <c r="I351" t="s">
        <v>82</v>
      </c>
      <c r="J351" t="s">
        <v>83</v>
      </c>
      <c r="K351">
        <v>6750</v>
      </c>
      <c r="L351" t="s">
        <v>1056</v>
      </c>
      <c r="M351" t="s">
        <v>1056</v>
      </c>
      <c r="N351" t="s">
        <v>946</v>
      </c>
      <c r="O351" t="s">
        <v>946</v>
      </c>
      <c r="P351" t="s">
        <v>1050</v>
      </c>
      <c r="Q351" t="s">
        <v>1051</v>
      </c>
      <c r="R351" t="s">
        <v>1057</v>
      </c>
      <c r="S351" t="s">
        <v>87</v>
      </c>
      <c r="T351" t="s">
        <v>75</v>
      </c>
      <c r="U351" t="s">
        <v>76</v>
      </c>
      <c r="V351" t="s">
        <v>77</v>
      </c>
      <c r="W351" t="s">
        <v>76</v>
      </c>
      <c r="X351" t="s">
        <v>78</v>
      </c>
    </row>
    <row r="352" spans="1:24" x14ac:dyDescent="0.2">
      <c r="A352" t="s">
        <v>1058</v>
      </c>
      <c r="B352">
        <v>816</v>
      </c>
      <c r="C352" t="s">
        <v>60</v>
      </c>
      <c r="D352" t="s">
        <v>61</v>
      </c>
      <c r="E352" t="s">
        <v>512</v>
      </c>
      <c r="F352" t="s">
        <v>513</v>
      </c>
      <c r="H352" t="s">
        <v>64</v>
      </c>
      <c r="I352" t="s">
        <v>91</v>
      </c>
      <c r="J352" t="s">
        <v>92</v>
      </c>
      <c r="K352">
        <v>3850</v>
      </c>
      <c r="L352" t="s">
        <v>1059</v>
      </c>
      <c r="M352" t="s">
        <v>1059</v>
      </c>
      <c r="N352" t="s">
        <v>946</v>
      </c>
      <c r="O352" t="s">
        <v>946</v>
      </c>
      <c r="P352" t="s">
        <v>1050</v>
      </c>
      <c r="Q352" t="s">
        <v>1051</v>
      </c>
      <c r="R352" t="s">
        <v>515</v>
      </c>
      <c r="S352" t="s">
        <v>96</v>
      </c>
      <c r="T352" t="s">
        <v>97</v>
      </c>
      <c r="U352" t="s">
        <v>98</v>
      </c>
      <c r="V352" t="s">
        <v>99</v>
      </c>
      <c r="W352" t="s">
        <v>98</v>
      </c>
      <c r="X352" t="s">
        <v>100</v>
      </c>
    </row>
    <row r="353" spans="1:24" x14ac:dyDescent="0.2">
      <c r="A353" t="s">
        <v>1060</v>
      </c>
      <c r="B353">
        <v>816</v>
      </c>
      <c r="C353" t="s">
        <v>60</v>
      </c>
      <c r="D353" t="s">
        <v>61</v>
      </c>
      <c r="E353" t="s">
        <v>512</v>
      </c>
      <c r="F353" t="s">
        <v>513</v>
      </c>
      <c r="H353" t="s">
        <v>64</v>
      </c>
      <c r="I353" t="s">
        <v>102</v>
      </c>
      <c r="J353" t="s">
        <v>103</v>
      </c>
      <c r="K353">
        <v>3750</v>
      </c>
      <c r="L353" t="s">
        <v>1061</v>
      </c>
      <c r="M353" t="s">
        <v>1061</v>
      </c>
      <c r="N353" t="s">
        <v>946</v>
      </c>
      <c r="O353" t="s">
        <v>946</v>
      </c>
      <c r="P353" t="s">
        <v>1050</v>
      </c>
      <c r="Q353" t="s">
        <v>1051</v>
      </c>
      <c r="R353" t="s">
        <v>515</v>
      </c>
      <c r="S353" t="s">
        <v>106</v>
      </c>
      <c r="T353" t="s">
        <v>107</v>
      </c>
      <c r="U353" t="s">
        <v>108</v>
      </c>
      <c r="V353" t="s">
        <v>77</v>
      </c>
      <c r="W353" t="s">
        <v>108</v>
      </c>
      <c r="X353" t="s">
        <v>109</v>
      </c>
    </row>
    <row r="354" spans="1:24" x14ac:dyDescent="0.2">
      <c r="A354" t="s">
        <v>1062</v>
      </c>
      <c r="B354">
        <v>816</v>
      </c>
      <c r="C354" t="s">
        <v>60</v>
      </c>
      <c r="D354" t="s">
        <v>61</v>
      </c>
      <c r="E354" t="s">
        <v>1047</v>
      </c>
      <c r="F354" t="s">
        <v>1048</v>
      </c>
      <c r="G354" t="s">
        <v>111</v>
      </c>
      <c r="H354" t="s">
        <v>112</v>
      </c>
      <c r="I354" t="s">
        <v>65</v>
      </c>
      <c r="J354" t="s">
        <v>66</v>
      </c>
      <c r="K354">
        <v>6950</v>
      </c>
      <c r="L354" t="s">
        <v>1063</v>
      </c>
      <c r="M354" t="s">
        <v>1063</v>
      </c>
      <c r="N354" t="s">
        <v>946</v>
      </c>
      <c r="O354" t="s">
        <v>946</v>
      </c>
      <c r="P354" t="s">
        <v>1050</v>
      </c>
      <c r="Q354" t="s">
        <v>1051</v>
      </c>
      <c r="R354" t="s">
        <v>1052</v>
      </c>
      <c r="S354" t="s">
        <v>114</v>
      </c>
      <c r="T354" t="s">
        <v>75</v>
      </c>
      <c r="U354" t="s">
        <v>76</v>
      </c>
      <c r="V354" t="s">
        <v>77</v>
      </c>
      <c r="W354" t="s">
        <v>76</v>
      </c>
      <c r="X354" t="s">
        <v>78</v>
      </c>
    </row>
    <row r="355" spans="1:24" x14ac:dyDescent="0.2">
      <c r="A355" t="s">
        <v>1064</v>
      </c>
      <c r="B355">
        <v>816</v>
      </c>
      <c r="C355" t="s">
        <v>60</v>
      </c>
      <c r="D355" t="s">
        <v>61</v>
      </c>
      <c r="E355" t="s">
        <v>1054</v>
      </c>
      <c r="F355" t="s">
        <v>1055</v>
      </c>
      <c r="G355" t="s">
        <v>111</v>
      </c>
      <c r="H355" t="s">
        <v>112</v>
      </c>
      <c r="I355" t="s">
        <v>82</v>
      </c>
      <c r="J355" t="s">
        <v>83</v>
      </c>
      <c r="K355">
        <v>7450</v>
      </c>
      <c r="L355" t="s">
        <v>1065</v>
      </c>
      <c r="M355" t="s">
        <v>1065</v>
      </c>
      <c r="N355" t="s">
        <v>946</v>
      </c>
      <c r="O355" t="s">
        <v>946</v>
      </c>
      <c r="P355" t="s">
        <v>1050</v>
      </c>
      <c r="Q355" t="s">
        <v>1051</v>
      </c>
      <c r="R355" t="s">
        <v>1057</v>
      </c>
      <c r="S355" t="s">
        <v>118</v>
      </c>
      <c r="T355" t="s">
        <v>75</v>
      </c>
      <c r="U355" t="s">
        <v>76</v>
      </c>
      <c r="V355" t="s">
        <v>77</v>
      </c>
      <c r="W355" t="s">
        <v>76</v>
      </c>
      <c r="X355" t="s">
        <v>78</v>
      </c>
    </row>
    <row r="356" spans="1:24" x14ac:dyDescent="0.2">
      <c r="A356" t="s">
        <v>1066</v>
      </c>
      <c r="B356">
        <v>816</v>
      </c>
      <c r="C356" t="s">
        <v>60</v>
      </c>
      <c r="D356" t="s">
        <v>61</v>
      </c>
      <c r="E356" t="s">
        <v>512</v>
      </c>
      <c r="F356" t="s">
        <v>513</v>
      </c>
      <c r="G356" t="s">
        <v>111</v>
      </c>
      <c r="H356" t="s">
        <v>112</v>
      </c>
      <c r="I356" t="s">
        <v>91</v>
      </c>
      <c r="J356" t="s">
        <v>92</v>
      </c>
      <c r="K356">
        <v>4550</v>
      </c>
      <c r="L356" t="s">
        <v>1067</v>
      </c>
      <c r="M356" t="s">
        <v>1067</v>
      </c>
      <c r="N356" t="s">
        <v>946</v>
      </c>
      <c r="O356" t="s">
        <v>946</v>
      </c>
      <c r="P356" t="s">
        <v>1050</v>
      </c>
      <c r="Q356" t="s">
        <v>1051</v>
      </c>
      <c r="R356" t="s">
        <v>515</v>
      </c>
      <c r="S356" t="s">
        <v>122</v>
      </c>
      <c r="T356" t="s">
        <v>97</v>
      </c>
      <c r="U356" t="s">
        <v>98</v>
      </c>
      <c r="V356" t="s">
        <v>99</v>
      </c>
      <c r="W356" t="s">
        <v>98</v>
      </c>
      <c r="X356" t="s">
        <v>100</v>
      </c>
    </row>
    <row r="357" spans="1:24" x14ac:dyDescent="0.2">
      <c r="A357" t="s">
        <v>1068</v>
      </c>
      <c r="B357">
        <v>816</v>
      </c>
      <c r="C357" t="s">
        <v>60</v>
      </c>
      <c r="D357" t="s">
        <v>61</v>
      </c>
      <c r="E357" t="s">
        <v>512</v>
      </c>
      <c r="F357" t="s">
        <v>513</v>
      </c>
      <c r="G357" t="s">
        <v>111</v>
      </c>
      <c r="H357" t="s">
        <v>112</v>
      </c>
      <c r="I357" t="s">
        <v>102</v>
      </c>
      <c r="J357" t="s">
        <v>103</v>
      </c>
      <c r="K357">
        <v>4450</v>
      </c>
      <c r="L357" t="s">
        <v>1069</v>
      </c>
      <c r="M357" t="s">
        <v>1069</v>
      </c>
      <c r="N357" t="s">
        <v>946</v>
      </c>
      <c r="O357" t="s">
        <v>946</v>
      </c>
      <c r="P357" t="s">
        <v>1050</v>
      </c>
      <c r="Q357" t="s">
        <v>1051</v>
      </c>
      <c r="R357" t="s">
        <v>515</v>
      </c>
      <c r="S357" t="s">
        <v>126</v>
      </c>
      <c r="T357" t="s">
        <v>127</v>
      </c>
      <c r="U357" t="s">
        <v>128</v>
      </c>
      <c r="V357" t="s">
        <v>77</v>
      </c>
      <c r="W357" t="s">
        <v>128</v>
      </c>
      <c r="X357" t="s">
        <v>129</v>
      </c>
    </row>
    <row r="358" spans="1:24" x14ac:dyDescent="0.2">
      <c r="A358" t="s">
        <v>1070</v>
      </c>
      <c r="B358">
        <v>816</v>
      </c>
      <c r="C358" t="s">
        <v>60</v>
      </c>
      <c r="D358" t="s">
        <v>61</v>
      </c>
      <c r="E358" t="s">
        <v>512</v>
      </c>
      <c r="F358" t="s">
        <v>513</v>
      </c>
      <c r="G358" t="s">
        <v>111</v>
      </c>
      <c r="H358" t="s">
        <v>112</v>
      </c>
      <c r="I358" t="s">
        <v>131</v>
      </c>
      <c r="J358" t="s">
        <v>132</v>
      </c>
      <c r="K358">
        <v>4950</v>
      </c>
      <c r="L358" t="s">
        <v>1071</v>
      </c>
      <c r="M358" t="s">
        <v>1071</v>
      </c>
      <c r="N358" t="s">
        <v>946</v>
      </c>
      <c r="O358" t="s">
        <v>946</v>
      </c>
      <c r="P358" t="s">
        <v>1050</v>
      </c>
      <c r="Q358" t="s">
        <v>1051</v>
      </c>
      <c r="R358" t="s">
        <v>515</v>
      </c>
      <c r="S358" t="s">
        <v>135</v>
      </c>
      <c r="T358" t="s">
        <v>136</v>
      </c>
      <c r="U358" t="s">
        <v>131</v>
      </c>
      <c r="V358" t="s">
        <v>77</v>
      </c>
      <c r="W358" t="s">
        <v>131</v>
      </c>
      <c r="X358" t="s">
        <v>137</v>
      </c>
    </row>
    <row r="359" spans="1:24" x14ac:dyDescent="0.2">
      <c r="A359" t="s">
        <v>1072</v>
      </c>
      <c r="B359">
        <v>816</v>
      </c>
      <c r="C359" t="s">
        <v>60</v>
      </c>
      <c r="D359" t="s">
        <v>61</v>
      </c>
      <c r="E359" t="s">
        <v>512</v>
      </c>
      <c r="F359" t="s">
        <v>513</v>
      </c>
      <c r="G359" t="s">
        <v>111</v>
      </c>
      <c r="H359" t="s">
        <v>112</v>
      </c>
      <c r="I359" t="s">
        <v>139</v>
      </c>
      <c r="J359" t="s">
        <v>140</v>
      </c>
      <c r="K359">
        <v>4950</v>
      </c>
      <c r="L359" t="s">
        <v>1073</v>
      </c>
      <c r="M359" t="s">
        <v>1073</v>
      </c>
      <c r="N359" t="s">
        <v>946</v>
      </c>
      <c r="O359" t="s">
        <v>946</v>
      </c>
      <c r="P359" t="s">
        <v>1050</v>
      </c>
      <c r="Q359" t="s">
        <v>1051</v>
      </c>
      <c r="R359" t="s">
        <v>515</v>
      </c>
      <c r="S359" t="s">
        <v>143</v>
      </c>
      <c r="T359" t="s">
        <v>144</v>
      </c>
      <c r="U359" t="s">
        <v>139</v>
      </c>
      <c r="V359" t="s">
        <v>99</v>
      </c>
      <c r="W359" t="s">
        <v>139</v>
      </c>
      <c r="X359" t="s">
        <v>145</v>
      </c>
    </row>
    <row r="360" spans="1:24" x14ac:dyDescent="0.2">
      <c r="A360" t="s">
        <v>1074</v>
      </c>
      <c r="B360">
        <v>816</v>
      </c>
      <c r="C360" t="s">
        <v>60</v>
      </c>
      <c r="D360" t="s">
        <v>61</v>
      </c>
      <c r="E360" t="s">
        <v>512</v>
      </c>
      <c r="F360" t="s">
        <v>513</v>
      </c>
      <c r="H360" t="s">
        <v>64</v>
      </c>
      <c r="I360" t="s">
        <v>131</v>
      </c>
      <c r="J360" t="s">
        <v>132</v>
      </c>
      <c r="K360">
        <v>4250</v>
      </c>
      <c r="L360" t="s">
        <v>1075</v>
      </c>
      <c r="M360" t="s">
        <v>1075</v>
      </c>
      <c r="N360" t="s">
        <v>946</v>
      </c>
      <c r="O360" t="s">
        <v>946</v>
      </c>
      <c r="P360" t="s">
        <v>1050</v>
      </c>
      <c r="Q360" t="s">
        <v>1051</v>
      </c>
      <c r="R360" t="s">
        <v>515</v>
      </c>
      <c r="S360" t="s">
        <v>149</v>
      </c>
      <c r="T360" t="s">
        <v>136</v>
      </c>
      <c r="U360" t="s">
        <v>131</v>
      </c>
      <c r="V360" t="s">
        <v>77</v>
      </c>
      <c r="W360" t="s">
        <v>131</v>
      </c>
      <c r="X360" t="s">
        <v>137</v>
      </c>
    </row>
    <row r="361" spans="1:24" x14ac:dyDescent="0.2">
      <c r="A361" t="s">
        <v>1076</v>
      </c>
      <c r="B361">
        <v>816</v>
      </c>
      <c r="C361" t="s">
        <v>60</v>
      </c>
      <c r="D361" t="s">
        <v>61</v>
      </c>
      <c r="E361" t="s">
        <v>512</v>
      </c>
      <c r="F361" t="s">
        <v>513</v>
      </c>
      <c r="H361" t="s">
        <v>64</v>
      </c>
      <c r="I361" t="s">
        <v>139</v>
      </c>
      <c r="J361" t="s">
        <v>140</v>
      </c>
      <c r="K361">
        <v>4250</v>
      </c>
      <c r="L361" t="s">
        <v>1077</v>
      </c>
      <c r="M361" t="s">
        <v>1077</v>
      </c>
      <c r="N361" t="s">
        <v>946</v>
      </c>
      <c r="O361" t="s">
        <v>946</v>
      </c>
      <c r="P361" t="s">
        <v>1050</v>
      </c>
      <c r="Q361" t="s">
        <v>1051</v>
      </c>
      <c r="R361" t="s">
        <v>515</v>
      </c>
      <c r="S361" t="s">
        <v>153</v>
      </c>
      <c r="T361" t="s">
        <v>144</v>
      </c>
      <c r="U361" t="s">
        <v>139</v>
      </c>
      <c r="V361" t="s">
        <v>99</v>
      </c>
      <c r="W361" t="s">
        <v>139</v>
      </c>
      <c r="X361" t="s">
        <v>145</v>
      </c>
    </row>
    <row r="362" spans="1:24" x14ac:dyDescent="0.2">
      <c r="A362" t="s">
        <v>1078</v>
      </c>
      <c r="B362" t="s">
        <v>1079</v>
      </c>
      <c r="C362" t="s">
        <v>60</v>
      </c>
      <c r="D362" t="s">
        <v>61</v>
      </c>
      <c r="E362" t="s">
        <v>512</v>
      </c>
      <c r="F362" t="s">
        <v>513</v>
      </c>
      <c r="G362" t="s">
        <v>159</v>
      </c>
      <c r="H362" t="s">
        <v>160</v>
      </c>
      <c r="I362" t="s">
        <v>102</v>
      </c>
      <c r="J362" t="s">
        <v>103</v>
      </c>
      <c r="K362">
        <v>3850</v>
      </c>
      <c r="L362" t="s">
        <v>1080</v>
      </c>
      <c r="M362" t="s">
        <v>1080</v>
      </c>
      <c r="N362" t="s">
        <v>731</v>
      </c>
      <c r="O362" t="s">
        <v>731</v>
      </c>
      <c r="P362" t="s">
        <v>732</v>
      </c>
      <c r="Q362" t="s">
        <v>733</v>
      </c>
      <c r="R362" t="s">
        <v>515</v>
      </c>
      <c r="S362" t="s">
        <v>166</v>
      </c>
      <c r="T362" t="s">
        <v>107</v>
      </c>
      <c r="U362" t="s">
        <v>108</v>
      </c>
      <c r="V362" t="s">
        <v>77</v>
      </c>
      <c r="W362" t="s">
        <v>108</v>
      </c>
      <c r="X362" t="s">
        <v>109</v>
      </c>
    </row>
    <row r="363" spans="1:24" x14ac:dyDescent="0.2">
      <c r="A363" t="s">
        <v>1081</v>
      </c>
      <c r="B363">
        <v>823</v>
      </c>
      <c r="C363" t="s">
        <v>60</v>
      </c>
      <c r="D363" t="s">
        <v>61</v>
      </c>
      <c r="E363" t="s">
        <v>1047</v>
      </c>
      <c r="F363" t="s">
        <v>1048</v>
      </c>
      <c r="H363" t="s">
        <v>64</v>
      </c>
      <c r="I363" t="s">
        <v>65</v>
      </c>
      <c r="J363" t="s">
        <v>66</v>
      </c>
      <c r="K363">
        <v>6250</v>
      </c>
      <c r="L363" t="s">
        <v>1082</v>
      </c>
      <c r="M363" t="s">
        <v>1082</v>
      </c>
      <c r="N363" t="s">
        <v>946</v>
      </c>
      <c r="O363" t="s">
        <v>946</v>
      </c>
      <c r="P363" t="s">
        <v>1083</v>
      </c>
      <c r="Q363" t="s">
        <v>1084</v>
      </c>
      <c r="R363" t="s">
        <v>1052</v>
      </c>
      <c r="S363" t="s">
        <v>74</v>
      </c>
      <c r="T363" t="s">
        <v>75</v>
      </c>
      <c r="U363" t="s">
        <v>76</v>
      </c>
      <c r="V363" t="s">
        <v>77</v>
      </c>
      <c r="W363" t="s">
        <v>76</v>
      </c>
      <c r="X363" t="s">
        <v>78</v>
      </c>
    </row>
    <row r="364" spans="1:24" x14ac:dyDescent="0.2">
      <c r="A364" t="s">
        <v>1085</v>
      </c>
      <c r="B364">
        <v>823</v>
      </c>
      <c r="C364" t="s">
        <v>60</v>
      </c>
      <c r="D364" t="s">
        <v>61</v>
      </c>
      <c r="E364" t="s">
        <v>1054</v>
      </c>
      <c r="F364" t="s">
        <v>1055</v>
      </c>
      <c r="H364" t="s">
        <v>64</v>
      </c>
      <c r="I364" t="s">
        <v>82</v>
      </c>
      <c r="J364" t="s">
        <v>83</v>
      </c>
      <c r="K364">
        <v>6750</v>
      </c>
      <c r="L364" t="s">
        <v>1086</v>
      </c>
      <c r="M364" t="s">
        <v>1086</v>
      </c>
      <c r="N364" t="s">
        <v>946</v>
      </c>
      <c r="O364" t="s">
        <v>946</v>
      </c>
      <c r="P364" t="s">
        <v>1083</v>
      </c>
      <c r="Q364" t="s">
        <v>1084</v>
      </c>
      <c r="R364" t="s">
        <v>1057</v>
      </c>
      <c r="S364" t="s">
        <v>87</v>
      </c>
      <c r="T364" t="s">
        <v>75</v>
      </c>
      <c r="U364" t="s">
        <v>76</v>
      </c>
      <c r="V364" t="s">
        <v>77</v>
      </c>
      <c r="W364" t="s">
        <v>76</v>
      </c>
      <c r="X364" t="s">
        <v>78</v>
      </c>
    </row>
    <row r="365" spans="1:24" x14ac:dyDescent="0.2">
      <c r="A365" t="s">
        <v>1087</v>
      </c>
      <c r="B365">
        <v>823</v>
      </c>
      <c r="C365" t="s">
        <v>60</v>
      </c>
      <c r="D365" t="s">
        <v>61</v>
      </c>
      <c r="E365" t="s">
        <v>512</v>
      </c>
      <c r="F365" t="s">
        <v>513</v>
      </c>
      <c r="H365" t="s">
        <v>64</v>
      </c>
      <c r="I365" t="s">
        <v>91</v>
      </c>
      <c r="J365" t="s">
        <v>92</v>
      </c>
      <c r="K365">
        <v>3850</v>
      </c>
      <c r="L365" t="s">
        <v>1088</v>
      </c>
      <c r="M365" t="s">
        <v>1088</v>
      </c>
      <c r="N365" t="s">
        <v>946</v>
      </c>
      <c r="O365" t="s">
        <v>946</v>
      </c>
      <c r="P365" t="s">
        <v>1083</v>
      </c>
      <c r="Q365" t="s">
        <v>1084</v>
      </c>
      <c r="R365" t="s">
        <v>515</v>
      </c>
      <c r="S365" t="s">
        <v>96</v>
      </c>
      <c r="T365" t="s">
        <v>97</v>
      </c>
      <c r="U365" t="s">
        <v>98</v>
      </c>
      <c r="V365" t="s">
        <v>99</v>
      </c>
      <c r="W365" t="s">
        <v>98</v>
      </c>
      <c r="X365" t="s">
        <v>100</v>
      </c>
    </row>
    <row r="366" spans="1:24" x14ac:dyDescent="0.2">
      <c r="A366" t="s">
        <v>1089</v>
      </c>
      <c r="B366">
        <v>823</v>
      </c>
      <c r="C366" t="s">
        <v>60</v>
      </c>
      <c r="D366" t="s">
        <v>61</v>
      </c>
      <c r="E366" t="s">
        <v>512</v>
      </c>
      <c r="F366" t="s">
        <v>513</v>
      </c>
      <c r="H366" t="s">
        <v>64</v>
      </c>
      <c r="I366" t="s">
        <v>102</v>
      </c>
      <c r="J366" t="s">
        <v>103</v>
      </c>
      <c r="K366">
        <v>3750</v>
      </c>
      <c r="L366" t="s">
        <v>1090</v>
      </c>
      <c r="M366" t="s">
        <v>1090</v>
      </c>
      <c r="N366" t="s">
        <v>946</v>
      </c>
      <c r="O366" t="s">
        <v>946</v>
      </c>
      <c r="P366" t="s">
        <v>1083</v>
      </c>
      <c r="Q366" t="s">
        <v>1084</v>
      </c>
      <c r="R366" t="s">
        <v>515</v>
      </c>
      <c r="S366" t="s">
        <v>106</v>
      </c>
      <c r="T366" t="s">
        <v>107</v>
      </c>
      <c r="U366" t="s">
        <v>108</v>
      </c>
      <c r="V366" t="s">
        <v>77</v>
      </c>
      <c r="W366" t="s">
        <v>108</v>
      </c>
      <c r="X366" t="s">
        <v>109</v>
      </c>
    </row>
    <row r="367" spans="1:24" x14ac:dyDescent="0.2">
      <c r="A367" t="s">
        <v>1091</v>
      </c>
      <c r="B367">
        <v>823</v>
      </c>
      <c r="C367" t="s">
        <v>60</v>
      </c>
      <c r="D367" t="s">
        <v>61</v>
      </c>
      <c r="E367" t="s">
        <v>1047</v>
      </c>
      <c r="F367" t="s">
        <v>1048</v>
      </c>
      <c r="G367" t="s">
        <v>111</v>
      </c>
      <c r="H367" t="s">
        <v>112</v>
      </c>
      <c r="I367" t="s">
        <v>65</v>
      </c>
      <c r="J367" t="s">
        <v>66</v>
      </c>
      <c r="K367">
        <v>6950</v>
      </c>
      <c r="L367" t="s">
        <v>1092</v>
      </c>
      <c r="M367" t="s">
        <v>1092</v>
      </c>
      <c r="N367" t="s">
        <v>946</v>
      </c>
      <c r="O367" t="s">
        <v>946</v>
      </c>
      <c r="P367" t="s">
        <v>1083</v>
      </c>
      <c r="Q367" t="s">
        <v>1084</v>
      </c>
      <c r="R367" t="s">
        <v>1052</v>
      </c>
      <c r="S367" t="s">
        <v>114</v>
      </c>
      <c r="T367" t="s">
        <v>75</v>
      </c>
      <c r="U367" t="s">
        <v>76</v>
      </c>
      <c r="V367" t="s">
        <v>77</v>
      </c>
      <c r="W367" t="s">
        <v>76</v>
      </c>
      <c r="X367" t="s">
        <v>78</v>
      </c>
    </row>
    <row r="368" spans="1:24" x14ac:dyDescent="0.2">
      <c r="A368" t="s">
        <v>1093</v>
      </c>
      <c r="B368">
        <v>823</v>
      </c>
      <c r="C368" t="s">
        <v>60</v>
      </c>
      <c r="D368" t="s">
        <v>61</v>
      </c>
      <c r="E368" t="s">
        <v>1054</v>
      </c>
      <c r="F368" t="s">
        <v>1055</v>
      </c>
      <c r="G368" t="s">
        <v>111</v>
      </c>
      <c r="H368" t="s">
        <v>112</v>
      </c>
      <c r="I368" t="s">
        <v>82</v>
      </c>
      <c r="J368" t="s">
        <v>83</v>
      </c>
      <c r="K368">
        <v>7450</v>
      </c>
      <c r="L368" t="s">
        <v>1094</v>
      </c>
      <c r="M368" t="s">
        <v>1094</v>
      </c>
      <c r="N368" t="s">
        <v>946</v>
      </c>
      <c r="O368" t="s">
        <v>946</v>
      </c>
      <c r="P368" t="s">
        <v>1083</v>
      </c>
      <c r="Q368" t="s">
        <v>1084</v>
      </c>
      <c r="R368" t="s">
        <v>1057</v>
      </c>
      <c r="S368" t="s">
        <v>118</v>
      </c>
      <c r="T368" t="s">
        <v>75</v>
      </c>
      <c r="U368" t="s">
        <v>76</v>
      </c>
      <c r="V368" t="s">
        <v>77</v>
      </c>
      <c r="W368" t="s">
        <v>76</v>
      </c>
      <c r="X368" t="s">
        <v>78</v>
      </c>
    </row>
    <row r="369" spans="1:24" x14ac:dyDescent="0.2">
      <c r="A369" t="s">
        <v>1095</v>
      </c>
      <c r="B369">
        <v>823</v>
      </c>
      <c r="C369" t="s">
        <v>60</v>
      </c>
      <c r="D369" t="s">
        <v>61</v>
      </c>
      <c r="E369" t="s">
        <v>512</v>
      </c>
      <c r="F369" t="s">
        <v>513</v>
      </c>
      <c r="G369" t="s">
        <v>111</v>
      </c>
      <c r="H369" t="s">
        <v>112</v>
      </c>
      <c r="I369" t="s">
        <v>91</v>
      </c>
      <c r="J369" t="s">
        <v>92</v>
      </c>
      <c r="K369">
        <v>4550</v>
      </c>
      <c r="L369" t="s">
        <v>1096</v>
      </c>
      <c r="M369" t="s">
        <v>1096</v>
      </c>
      <c r="N369" t="s">
        <v>946</v>
      </c>
      <c r="O369" t="s">
        <v>946</v>
      </c>
      <c r="P369" t="s">
        <v>1083</v>
      </c>
      <c r="Q369" t="s">
        <v>1084</v>
      </c>
      <c r="R369" t="s">
        <v>515</v>
      </c>
      <c r="S369" t="s">
        <v>122</v>
      </c>
      <c r="T369" t="s">
        <v>97</v>
      </c>
      <c r="U369" t="s">
        <v>98</v>
      </c>
      <c r="V369" t="s">
        <v>99</v>
      </c>
      <c r="W369" t="s">
        <v>98</v>
      </c>
      <c r="X369" t="s">
        <v>100</v>
      </c>
    </row>
    <row r="370" spans="1:24" x14ac:dyDescent="0.2">
      <c r="A370" t="s">
        <v>1097</v>
      </c>
      <c r="B370">
        <v>823</v>
      </c>
      <c r="C370" t="s">
        <v>60</v>
      </c>
      <c r="D370" t="s">
        <v>61</v>
      </c>
      <c r="E370" t="s">
        <v>512</v>
      </c>
      <c r="F370" t="s">
        <v>513</v>
      </c>
      <c r="G370" t="s">
        <v>111</v>
      </c>
      <c r="H370" t="s">
        <v>112</v>
      </c>
      <c r="I370" t="s">
        <v>102</v>
      </c>
      <c r="J370" t="s">
        <v>103</v>
      </c>
      <c r="K370">
        <v>4450</v>
      </c>
      <c r="L370" t="s">
        <v>1098</v>
      </c>
      <c r="M370" t="s">
        <v>1098</v>
      </c>
      <c r="N370" t="s">
        <v>946</v>
      </c>
      <c r="O370" t="s">
        <v>946</v>
      </c>
      <c r="P370" t="s">
        <v>1083</v>
      </c>
      <c r="Q370" t="s">
        <v>1084</v>
      </c>
      <c r="R370" t="s">
        <v>515</v>
      </c>
      <c r="S370" t="s">
        <v>126</v>
      </c>
      <c r="T370" t="s">
        <v>127</v>
      </c>
      <c r="U370" t="s">
        <v>128</v>
      </c>
      <c r="V370" t="s">
        <v>77</v>
      </c>
      <c r="W370" t="s">
        <v>128</v>
      </c>
      <c r="X370" t="s">
        <v>129</v>
      </c>
    </row>
    <row r="371" spans="1:24" x14ac:dyDescent="0.2">
      <c r="A371" t="s">
        <v>1099</v>
      </c>
      <c r="B371">
        <v>823</v>
      </c>
      <c r="C371" t="s">
        <v>60</v>
      </c>
      <c r="D371" t="s">
        <v>61</v>
      </c>
      <c r="E371" t="s">
        <v>512</v>
      </c>
      <c r="F371" t="s">
        <v>513</v>
      </c>
      <c r="G371" t="s">
        <v>111</v>
      </c>
      <c r="H371" t="s">
        <v>112</v>
      </c>
      <c r="I371" t="s">
        <v>131</v>
      </c>
      <c r="J371" t="s">
        <v>132</v>
      </c>
      <c r="K371">
        <v>4950</v>
      </c>
      <c r="L371" t="s">
        <v>1100</v>
      </c>
      <c r="M371" t="s">
        <v>1100</v>
      </c>
      <c r="N371" t="s">
        <v>946</v>
      </c>
      <c r="O371" t="s">
        <v>946</v>
      </c>
      <c r="P371" t="s">
        <v>1083</v>
      </c>
      <c r="Q371" t="s">
        <v>1084</v>
      </c>
      <c r="R371" t="s">
        <v>515</v>
      </c>
      <c r="S371" t="s">
        <v>135</v>
      </c>
      <c r="T371" t="s">
        <v>136</v>
      </c>
      <c r="U371" t="s">
        <v>131</v>
      </c>
      <c r="V371" t="s">
        <v>77</v>
      </c>
      <c r="W371" t="s">
        <v>131</v>
      </c>
      <c r="X371" t="s">
        <v>137</v>
      </c>
    </row>
    <row r="372" spans="1:24" x14ac:dyDescent="0.2">
      <c r="A372" t="s">
        <v>1101</v>
      </c>
      <c r="B372">
        <v>823</v>
      </c>
      <c r="C372" t="s">
        <v>60</v>
      </c>
      <c r="D372" t="s">
        <v>61</v>
      </c>
      <c r="E372" t="s">
        <v>512</v>
      </c>
      <c r="F372" t="s">
        <v>513</v>
      </c>
      <c r="G372" t="s">
        <v>111</v>
      </c>
      <c r="H372" t="s">
        <v>112</v>
      </c>
      <c r="I372" t="s">
        <v>139</v>
      </c>
      <c r="J372" t="s">
        <v>140</v>
      </c>
      <c r="K372">
        <v>4950</v>
      </c>
      <c r="L372" t="s">
        <v>1102</v>
      </c>
      <c r="M372" t="s">
        <v>1102</v>
      </c>
      <c r="N372" t="s">
        <v>946</v>
      </c>
      <c r="O372" t="s">
        <v>946</v>
      </c>
      <c r="P372" t="s">
        <v>1083</v>
      </c>
      <c r="Q372" t="s">
        <v>1084</v>
      </c>
      <c r="R372" t="s">
        <v>515</v>
      </c>
      <c r="S372" t="s">
        <v>143</v>
      </c>
      <c r="T372" t="s">
        <v>144</v>
      </c>
      <c r="U372" t="s">
        <v>139</v>
      </c>
      <c r="V372" t="s">
        <v>99</v>
      </c>
      <c r="W372" t="s">
        <v>139</v>
      </c>
      <c r="X372" t="s">
        <v>145</v>
      </c>
    </row>
    <row r="373" spans="1:24" x14ac:dyDescent="0.2">
      <c r="A373" t="s">
        <v>1103</v>
      </c>
      <c r="B373">
        <v>823</v>
      </c>
      <c r="C373" t="s">
        <v>60</v>
      </c>
      <c r="D373" t="s">
        <v>61</v>
      </c>
      <c r="E373" t="s">
        <v>512</v>
      </c>
      <c r="F373" t="s">
        <v>513</v>
      </c>
      <c r="H373" t="s">
        <v>64</v>
      </c>
      <c r="I373" t="s">
        <v>131</v>
      </c>
      <c r="J373" t="s">
        <v>132</v>
      </c>
      <c r="K373">
        <v>4250</v>
      </c>
      <c r="L373" t="s">
        <v>1104</v>
      </c>
      <c r="M373" t="s">
        <v>1104</v>
      </c>
      <c r="N373" t="s">
        <v>946</v>
      </c>
      <c r="O373" t="s">
        <v>946</v>
      </c>
      <c r="P373" t="s">
        <v>1083</v>
      </c>
      <c r="Q373" t="s">
        <v>1084</v>
      </c>
      <c r="R373" t="s">
        <v>515</v>
      </c>
      <c r="S373" t="s">
        <v>149</v>
      </c>
      <c r="T373" t="s">
        <v>136</v>
      </c>
      <c r="U373" t="s">
        <v>131</v>
      </c>
      <c r="V373" t="s">
        <v>77</v>
      </c>
      <c r="W373" t="s">
        <v>131</v>
      </c>
      <c r="X373" t="s">
        <v>137</v>
      </c>
    </row>
    <row r="374" spans="1:24" x14ac:dyDescent="0.2">
      <c r="A374" t="s">
        <v>1105</v>
      </c>
      <c r="B374">
        <v>823</v>
      </c>
      <c r="C374" t="s">
        <v>60</v>
      </c>
      <c r="D374" t="s">
        <v>61</v>
      </c>
      <c r="E374" t="s">
        <v>512</v>
      </c>
      <c r="F374" t="s">
        <v>513</v>
      </c>
      <c r="H374" t="s">
        <v>64</v>
      </c>
      <c r="I374" t="s">
        <v>139</v>
      </c>
      <c r="J374" t="s">
        <v>140</v>
      </c>
      <c r="K374">
        <v>4250</v>
      </c>
      <c r="L374" t="s">
        <v>1106</v>
      </c>
      <c r="M374" t="s">
        <v>1106</v>
      </c>
      <c r="N374" t="s">
        <v>946</v>
      </c>
      <c r="O374" t="s">
        <v>946</v>
      </c>
      <c r="P374" t="s">
        <v>1083</v>
      </c>
      <c r="Q374" t="s">
        <v>1084</v>
      </c>
      <c r="R374" t="s">
        <v>515</v>
      </c>
      <c r="S374" t="s">
        <v>153</v>
      </c>
      <c r="T374" t="s">
        <v>144</v>
      </c>
      <c r="U374" t="s">
        <v>139</v>
      </c>
      <c r="V374" t="s">
        <v>99</v>
      </c>
      <c r="W374" t="s">
        <v>139</v>
      </c>
      <c r="X374" t="s">
        <v>145</v>
      </c>
    </row>
    <row r="375" spans="1:24" x14ac:dyDescent="0.2">
      <c r="A375" t="s">
        <v>1107</v>
      </c>
      <c r="B375" t="s">
        <v>1079</v>
      </c>
      <c r="C375" t="s">
        <v>60</v>
      </c>
      <c r="D375" t="s">
        <v>156</v>
      </c>
      <c r="E375" t="s">
        <v>89</v>
      </c>
      <c r="F375" t="s">
        <v>606</v>
      </c>
      <c r="G375" t="s">
        <v>159</v>
      </c>
      <c r="H375" t="s">
        <v>160</v>
      </c>
      <c r="I375" t="s">
        <v>102</v>
      </c>
      <c r="J375" t="s">
        <v>103</v>
      </c>
      <c r="K375">
        <v>2850</v>
      </c>
      <c r="L375" t="s">
        <v>1108</v>
      </c>
      <c r="M375" t="s">
        <v>1108</v>
      </c>
      <c r="N375" t="s">
        <v>731</v>
      </c>
      <c r="O375" t="s">
        <v>731</v>
      </c>
      <c r="P375" t="s">
        <v>732</v>
      </c>
      <c r="Q375" t="s">
        <v>733</v>
      </c>
      <c r="R375" t="s">
        <v>608</v>
      </c>
      <c r="S375" t="s">
        <v>166</v>
      </c>
      <c r="T375" t="s">
        <v>107</v>
      </c>
      <c r="U375" t="s">
        <v>108</v>
      </c>
      <c r="V375" t="s">
        <v>77</v>
      </c>
      <c r="W375" t="s">
        <v>108</v>
      </c>
      <c r="X375" t="s">
        <v>109</v>
      </c>
    </row>
    <row r="376" spans="1:24" x14ac:dyDescent="0.2">
      <c r="A376" t="s">
        <v>1109</v>
      </c>
      <c r="B376">
        <v>828</v>
      </c>
      <c r="C376" t="s">
        <v>60</v>
      </c>
      <c r="D376" t="s">
        <v>61</v>
      </c>
      <c r="E376" t="s">
        <v>89</v>
      </c>
      <c r="F376" t="s">
        <v>341</v>
      </c>
      <c r="H376" t="s">
        <v>64</v>
      </c>
      <c r="I376" t="s">
        <v>65</v>
      </c>
      <c r="J376" t="s">
        <v>66</v>
      </c>
      <c r="K376">
        <v>6250</v>
      </c>
      <c r="L376" t="s">
        <v>1110</v>
      </c>
      <c r="M376" t="s">
        <v>1110</v>
      </c>
      <c r="N376" t="s">
        <v>1111</v>
      </c>
      <c r="O376" t="s">
        <v>1111</v>
      </c>
      <c r="P376" t="s">
        <v>1112</v>
      </c>
      <c r="Q376" t="s">
        <v>1113</v>
      </c>
      <c r="R376" t="s">
        <v>95</v>
      </c>
      <c r="S376" t="s">
        <v>74</v>
      </c>
      <c r="T376" t="s">
        <v>75</v>
      </c>
      <c r="U376" t="s">
        <v>76</v>
      </c>
      <c r="V376" t="s">
        <v>77</v>
      </c>
      <c r="W376" t="s">
        <v>76</v>
      </c>
      <c r="X376" t="s">
        <v>78</v>
      </c>
    </row>
    <row r="377" spans="1:24" x14ac:dyDescent="0.2">
      <c r="A377" t="s">
        <v>1114</v>
      </c>
      <c r="B377">
        <v>828</v>
      </c>
      <c r="C377" t="s">
        <v>60</v>
      </c>
      <c r="D377" t="s">
        <v>61</v>
      </c>
      <c r="E377" t="s">
        <v>336</v>
      </c>
      <c r="F377" t="s">
        <v>337</v>
      </c>
      <c r="H377" t="s">
        <v>64</v>
      </c>
      <c r="I377" t="s">
        <v>82</v>
      </c>
      <c r="J377" t="s">
        <v>83</v>
      </c>
      <c r="K377">
        <v>6750</v>
      </c>
      <c r="L377" t="s">
        <v>1115</v>
      </c>
      <c r="M377" t="s">
        <v>1115</v>
      </c>
      <c r="N377" t="s">
        <v>1111</v>
      </c>
      <c r="O377" t="s">
        <v>1111</v>
      </c>
      <c r="P377" t="s">
        <v>1112</v>
      </c>
      <c r="Q377" t="s">
        <v>1113</v>
      </c>
      <c r="R377" t="s">
        <v>339</v>
      </c>
      <c r="S377" t="s">
        <v>87</v>
      </c>
      <c r="T377" t="s">
        <v>75</v>
      </c>
      <c r="U377" t="s">
        <v>76</v>
      </c>
      <c r="V377" t="s">
        <v>77</v>
      </c>
      <c r="W377" t="s">
        <v>76</v>
      </c>
      <c r="X377" t="s">
        <v>78</v>
      </c>
    </row>
    <row r="378" spans="1:24" x14ac:dyDescent="0.2">
      <c r="A378" t="s">
        <v>1116</v>
      </c>
      <c r="B378">
        <v>828</v>
      </c>
      <c r="C378" t="s">
        <v>60</v>
      </c>
      <c r="D378" t="s">
        <v>61</v>
      </c>
      <c r="E378" t="s">
        <v>512</v>
      </c>
      <c r="F378" t="s">
        <v>513</v>
      </c>
      <c r="H378" t="s">
        <v>64</v>
      </c>
      <c r="I378" t="s">
        <v>91</v>
      </c>
      <c r="J378" t="s">
        <v>92</v>
      </c>
      <c r="K378">
        <v>3850</v>
      </c>
      <c r="L378" t="s">
        <v>1117</v>
      </c>
      <c r="M378" t="s">
        <v>1117</v>
      </c>
      <c r="N378" t="s">
        <v>1111</v>
      </c>
      <c r="O378" t="s">
        <v>1111</v>
      </c>
      <c r="P378" t="s">
        <v>1112</v>
      </c>
      <c r="Q378" t="s">
        <v>1113</v>
      </c>
      <c r="R378" t="s">
        <v>515</v>
      </c>
      <c r="S378" t="s">
        <v>96</v>
      </c>
      <c r="T378" t="s">
        <v>97</v>
      </c>
      <c r="U378" t="s">
        <v>98</v>
      </c>
      <c r="V378" t="s">
        <v>99</v>
      </c>
      <c r="W378" t="s">
        <v>98</v>
      </c>
      <c r="X378" t="s">
        <v>100</v>
      </c>
    </row>
    <row r="379" spans="1:24" x14ac:dyDescent="0.2">
      <c r="A379" t="s">
        <v>1118</v>
      </c>
      <c r="B379">
        <v>828</v>
      </c>
      <c r="C379" t="s">
        <v>60</v>
      </c>
      <c r="D379" t="s">
        <v>61</v>
      </c>
      <c r="E379" t="s">
        <v>512</v>
      </c>
      <c r="F379" t="s">
        <v>513</v>
      </c>
      <c r="H379" t="s">
        <v>64</v>
      </c>
      <c r="I379" t="s">
        <v>102</v>
      </c>
      <c r="J379" t="s">
        <v>103</v>
      </c>
      <c r="K379">
        <v>3750</v>
      </c>
      <c r="L379" t="s">
        <v>1119</v>
      </c>
      <c r="M379" t="s">
        <v>1119</v>
      </c>
      <c r="N379" t="s">
        <v>1111</v>
      </c>
      <c r="O379" t="s">
        <v>1111</v>
      </c>
      <c r="P379" t="s">
        <v>1112</v>
      </c>
      <c r="Q379" t="s">
        <v>1113</v>
      </c>
      <c r="R379" t="s">
        <v>515</v>
      </c>
      <c r="S379" t="s">
        <v>106</v>
      </c>
      <c r="T379" t="s">
        <v>107</v>
      </c>
      <c r="U379" t="s">
        <v>108</v>
      </c>
      <c r="V379" t="s">
        <v>77</v>
      </c>
      <c r="W379" t="s">
        <v>108</v>
      </c>
      <c r="X379" t="s">
        <v>109</v>
      </c>
    </row>
    <row r="380" spans="1:24" x14ac:dyDescent="0.2">
      <c r="A380" t="s">
        <v>1120</v>
      </c>
      <c r="B380">
        <v>828</v>
      </c>
      <c r="C380" t="s">
        <v>60</v>
      </c>
      <c r="D380" t="s">
        <v>61</v>
      </c>
      <c r="E380" t="s">
        <v>512</v>
      </c>
      <c r="F380" t="s">
        <v>513</v>
      </c>
      <c r="G380" t="s">
        <v>156</v>
      </c>
      <c r="H380" t="s">
        <v>278</v>
      </c>
      <c r="I380" t="s">
        <v>91</v>
      </c>
      <c r="J380" t="s">
        <v>92</v>
      </c>
      <c r="K380">
        <v>4550</v>
      </c>
      <c r="L380" t="s">
        <v>1121</v>
      </c>
      <c r="M380" t="s">
        <v>1121</v>
      </c>
      <c r="N380" t="s">
        <v>1111</v>
      </c>
      <c r="O380" t="s">
        <v>1111</v>
      </c>
      <c r="P380" t="s">
        <v>1112</v>
      </c>
      <c r="Q380" t="s">
        <v>1113</v>
      </c>
      <c r="R380" t="s">
        <v>515</v>
      </c>
      <c r="S380" t="s">
        <v>280</v>
      </c>
      <c r="T380" t="s">
        <v>97</v>
      </c>
      <c r="U380" t="s">
        <v>98</v>
      </c>
      <c r="V380" t="s">
        <v>99</v>
      </c>
      <c r="W380" t="s">
        <v>98</v>
      </c>
      <c r="X380" t="s">
        <v>100</v>
      </c>
    </row>
    <row r="381" spans="1:24" x14ac:dyDescent="0.2">
      <c r="A381" t="s">
        <v>1122</v>
      </c>
      <c r="B381">
        <v>828</v>
      </c>
      <c r="C381" t="s">
        <v>60</v>
      </c>
      <c r="D381" t="s">
        <v>61</v>
      </c>
      <c r="E381" t="s">
        <v>512</v>
      </c>
      <c r="F381" t="s">
        <v>513</v>
      </c>
      <c r="G381" t="s">
        <v>156</v>
      </c>
      <c r="H381" t="s">
        <v>278</v>
      </c>
      <c r="I381" t="s">
        <v>102</v>
      </c>
      <c r="J381" t="s">
        <v>103</v>
      </c>
      <c r="K381">
        <v>4450</v>
      </c>
      <c r="L381" t="s">
        <v>1123</v>
      </c>
      <c r="M381" t="s">
        <v>1123</v>
      </c>
      <c r="N381" t="s">
        <v>1111</v>
      </c>
      <c r="O381" t="s">
        <v>1111</v>
      </c>
      <c r="P381" t="s">
        <v>1112</v>
      </c>
      <c r="Q381" t="s">
        <v>1113</v>
      </c>
      <c r="R381" t="s">
        <v>515</v>
      </c>
      <c r="S381" t="s">
        <v>283</v>
      </c>
      <c r="T381" t="s">
        <v>284</v>
      </c>
      <c r="U381" t="s">
        <v>285</v>
      </c>
      <c r="V381" t="s">
        <v>77</v>
      </c>
      <c r="W381" t="s">
        <v>285</v>
      </c>
      <c r="X381" t="s">
        <v>286</v>
      </c>
    </row>
    <row r="382" spans="1:24" x14ac:dyDescent="0.2">
      <c r="A382" t="s">
        <v>1124</v>
      </c>
      <c r="B382">
        <v>828</v>
      </c>
      <c r="C382" t="s">
        <v>60</v>
      </c>
      <c r="D382" t="s">
        <v>61</v>
      </c>
      <c r="E382" t="s">
        <v>512</v>
      </c>
      <c r="F382" t="s">
        <v>513</v>
      </c>
      <c r="G382" t="s">
        <v>156</v>
      </c>
      <c r="H382" t="s">
        <v>278</v>
      </c>
      <c r="I382" t="s">
        <v>131</v>
      </c>
      <c r="J382" t="s">
        <v>132</v>
      </c>
      <c r="K382">
        <v>4950</v>
      </c>
      <c r="L382" t="s">
        <v>1125</v>
      </c>
      <c r="M382" t="s">
        <v>1125</v>
      </c>
      <c r="N382" t="s">
        <v>1111</v>
      </c>
      <c r="O382" t="s">
        <v>1111</v>
      </c>
      <c r="P382" t="s">
        <v>1112</v>
      </c>
      <c r="Q382" t="s">
        <v>1113</v>
      </c>
      <c r="R382" t="s">
        <v>515</v>
      </c>
      <c r="S382" t="s">
        <v>289</v>
      </c>
      <c r="T382" t="s">
        <v>136</v>
      </c>
      <c r="U382" t="s">
        <v>131</v>
      </c>
      <c r="V382" t="s">
        <v>77</v>
      </c>
      <c r="W382" t="s">
        <v>131</v>
      </c>
      <c r="X382" t="s">
        <v>137</v>
      </c>
    </row>
    <row r="383" spans="1:24" x14ac:dyDescent="0.2">
      <c r="A383" t="s">
        <v>1126</v>
      </c>
      <c r="B383">
        <v>828</v>
      </c>
      <c r="C383" t="s">
        <v>60</v>
      </c>
      <c r="D383" t="s">
        <v>61</v>
      </c>
      <c r="E383" t="s">
        <v>512</v>
      </c>
      <c r="F383" t="s">
        <v>513</v>
      </c>
      <c r="G383" t="s">
        <v>156</v>
      </c>
      <c r="H383" t="s">
        <v>278</v>
      </c>
      <c r="I383" t="s">
        <v>139</v>
      </c>
      <c r="J383" t="s">
        <v>140</v>
      </c>
      <c r="K383">
        <v>4950</v>
      </c>
      <c r="L383" t="s">
        <v>1127</v>
      </c>
      <c r="M383" t="s">
        <v>1127</v>
      </c>
      <c r="N383" t="s">
        <v>1111</v>
      </c>
      <c r="O383" t="s">
        <v>1111</v>
      </c>
      <c r="P383" t="s">
        <v>1112</v>
      </c>
      <c r="Q383" t="s">
        <v>1113</v>
      </c>
      <c r="R383" t="s">
        <v>515</v>
      </c>
      <c r="S383" t="s">
        <v>292</v>
      </c>
      <c r="T383" t="s">
        <v>144</v>
      </c>
      <c r="U383" t="s">
        <v>139</v>
      </c>
      <c r="V383" t="s">
        <v>99</v>
      </c>
      <c r="W383" t="s">
        <v>139</v>
      </c>
      <c r="X383" t="s">
        <v>145</v>
      </c>
    </row>
    <row r="384" spans="1:24" x14ac:dyDescent="0.2">
      <c r="A384" t="s">
        <v>1128</v>
      </c>
      <c r="B384">
        <v>828</v>
      </c>
      <c r="C384" t="s">
        <v>60</v>
      </c>
      <c r="D384" t="s">
        <v>61</v>
      </c>
      <c r="E384" t="s">
        <v>89</v>
      </c>
      <c r="F384" t="s">
        <v>341</v>
      </c>
      <c r="G384" t="s">
        <v>111</v>
      </c>
      <c r="H384" t="s">
        <v>112</v>
      </c>
      <c r="I384" t="s">
        <v>65</v>
      </c>
      <c r="J384" t="s">
        <v>66</v>
      </c>
      <c r="K384">
        <v>6950</v>
      </c>
      <c r="L384" t="s">
        <v>1129</v>
      </c>
      <c r="M384" t="s">
        <v>1129</v>
      </c>
      <c r="N384" t="s">
        <v>1111</v>
      </c>
      <c r="O384" t="s">
        <v>1111</v>
      </c>
      <c r="P384" t="s">
        <v>1112</v>
      </c>
      <c r="Q384" t="s">
        <v>1113</v>
      </c>
      <c r="R384" t="s">
        <v>95</v>
      </c>
      <c r="S384" t="s">
        <v>114</v>
      </c>
      <c r="T384" t="s">
        <v>75</v>
      </c>
      <c r="U384" t="s">
        <v>76</v>
      </c>
      <c r="V384" t="s">
        <v>77</v>
      </c>
      <c r="W384" t="s">
        <v>76</v>
      </c>
      <c r="X384" t="s">
        <v>78</v>
      </c>
    </row>
    <row r="385" spans="1:24" x14ac:dyDescent="0.2">
      <c r="A385" t="s">
        <v>1130</v>
      </c>
      <c r="B385">
        <v>828</v>
      </c>
      <c r="C385" t="s">
        <v>60</v>
      </c>
      <c r="D385" t="s">
        <v>61</v>
      </c>
      <c r="E385" t="s">
        <v>336</v>
      </c>
      <c r="F385" t="s">
        <v>337</v>
      </c>
      <c r="G385" t="s">
        <v>111</v>
      </c>
      <c r="H385" t="s">
        <v>112</v>
      </c>
      <c r="I385" t="s">
        <v>82</v>
      </c>
      <c r="J385" t="s">
        <v>83</v>
      </c>
      <c r="K385">
        <v>7450</v>
      </c>
      <c r="L385" t="s">
        <v>1131</v>
      </c>
      <c r="M385" t="s">
        <v>1131</v>
      </c>
      <c r="N385" t="s">
        <v>1111</v>
      </c>
      <c r="O385" t="s">
        <v>1111</v>
      </c>
      <c r="P385" t="s">
        <v>1112</v>
      </c>
      <c r="Q385" t="s">
        <v>1113</v>
      </c>
      <c r="R385" t="s">
        <v>339</v>
      </c>
      <c r="S385" t="s">
        <v>118</v>
      </c>
      <c r="T385" t="s">
        <v>75</v>
      </c>
      <c r="U385" t="s">
        <v>76</v>
      </c>
      <c r="V385" t="s">
        <v>77</v>
      </c>
      <c r="W385" t="s">
        <v>76</v>
      </c>
      <c r="X385" t="s">
        <v>78</v>
      </c>
    </row>
    <row r="386" spans="1:24" x14ac:dyDescent="0.2">
      <c r="A386" t="s">
        <v>1132</v>
      </c>
      <c r="B386">
        <v>828</v>
      </c>
      <c r="C386" t="s">
        <v>60</v>
      </c>
      <c r="D386" t="s">
        <v>61</v>
      </c>
      <c r="E386" t="s">
        <v>512</v>
      </c>
      <c r="F386" t="s">
        <v>513</v>
      </c>
      <c r="G386" t="s">
        <v>111</v>
      </c>
      <c r="H386" t="s">
        <v>112</v>
      </c>
      <c r="I386" t="s">
        <v>91</v>
      </c>
      <c r="J386" t="s">
        <v>92</v>
      </c>
      <c r="K386">
        <v>4550</v>
      </c>
      <c r="L386" t="s">
        <v>1133</v>
      </c>
      <c r="M386" t="s">
        <v>1133</v>
      </c>
      <c r="N386" t="s">
        <v>1111</v>
      </c>
      <c r="O386" t="s">
        <v>1111</v>
      </c>
      <c r="P386" t="s">
        <v>1112</v>
      </c>
      <c r="Q386" t="s">
        <v>1113</v>
      </c>
      <c r="R386" t="s">
        <v>515</v>
      </c>
      <c r="S386" t="s">
        <v>122</v>
      </c>
      <c r="T386" t="s">
        <v>97</v>
      </c>
      <c r="U386" t="s">
        <v>98</v>
      </c>
      <c r="V386" t="s">
        <v>99</v>
      </c>
      <c r="W386" t="s">
        <v>98</v>
      </c>
      <c r="X386" t="s">
        <v>100</v>
      </c>
    </row>
    <row r="387" spans="1:24" x14ac:dyDescent="0.2">
      <c r="A387" t="s">
        <v>1134</v>
      </c>
      <c r="B387">
        <v>828</v>
      </c>
      <c r="C387" t="s">
        <v>60</v>
      </c>
      <c r="D387" t="s">
        <v>61</v>
      </c>
      <c r="E387" t="s">
        <v>512</v>
      </c>
      <c r="F387" t="s">
        <v>513</v>
      </c>
      <c r="G387" t="s">
        <v>111</v>
      </c>
      <c r="H387" t="s">
        <v>112</v>
      </c>
      <c r="I387" t="s">
        <v>102</v>
      </c>
      <c r="J387" t="s">
        <v>103</v>
      </c>
      <c r="K387">
        <v>4450</v>
      </c>
      <c r="L387" t="s">
        <v>1135</v>
      </c>
      <c r="M387" t="s">
        <v>1135</v>
      </c>
      <c r="N387" t="s">
        <v>1111</v>
      </c>
      <c r="O387" t="s">
        <v>1111</v>
      </c>
      <c r="P387" t="s">
        <v>1112</v>
      </c>
      <c r="Q387" t="s">
        <v>1113</v>
      </c>
      <c r="R387" t="s">
        <v>515</v>
      </c>
      <c r="S387" t="s">
        <v>126</v>
      </c>
      <c r="T387" t="s">
        <v>127</v>
      </c>
      <c r="U387" t="s">
        <v>128</v>
      </c>
      <c r="V387" t="s">
        <v>77</v>
      </c>
      <c r="W387" t="s">
        <v>128</v>
      </c>
      <c r="X387" t="s">
        <v>129</v>
      </c>
    </row>
    <row r="388" spans="1:24" x14ac:dyDescent="0.2">
      <c r="A388" t="s">
        <v>1136</v>
      </c>
      <c r="B388">
        <v>828</v>
      </c>
      <c r="C388" t="s">
        <v>60</v>
      </c>
      <c r="D388" t="s">
        <v>61</v>
      </c>
      <c r="E388" t="s">
        <v>512</v>
      </c>
      <c r="F388" t="s">
        <v>513</v>
      </c>
      <c r="G388" t="s">
        <v>111</v>
      </c>
      <c r="H388" t="s">
        <v>112</v>
      </c>
      <c r="I388" t="s">
        <v>131</v>
      </c>
      <c r="J388" t="s">
        <v>132</v>
      </c>
      <c r="K388">
        <v>4950</v>
      </c>
      <c r="L388" t="s">
        <v>1137</v>
      </c>
      <c r="M388" t="s">
        <v>1137</v>
      </c>
      <c r="N388" t="s">
        <v>1111</v>
      </c>
      <c r="O388" t="s">
        <v>1111</v>
      </c>
      <c r="P388" t="s">
        <v>1112</v>
      </c>
      <c r="Q388" t="s">
        <v>1113</v>
      </c>
      <c r="R388" t="s">
        <v>515</v>
      </c>
      <c r="S388" t="s">
        <v>135</v>
      </c>
      <c r="T388" t="s">
        <v>136</v>
      </c>
      <c r="U388" t="s">
        <v>131</v>
      </c>
      <c r="V388" t="s">
        <v>77</v>
      </c>
      <c r="W388" t="s">
        <v>131</v>
      </c>
      <c r="X388" t="s">
        <v>137</v>
      </c>
    </row>
    <row r="389" spans="1:24" x14ac:dyDescent="0.2">
      <c r="A389" t="s">
        <v>1138</v>
      </c>
      <c r="B389">
        <v>828</v>
      </c>
      <c r="C389" t="s">
        <v>60</v>
      </c>
      <c r="D389" t="s">
        <v>61</v>
      </c>
      <c r="E389" t="s">
        <v>512</v>
      </c>
      <c r="F389" t="s">
        <v>513</v>
      </c>
      <c r="G389" t="s">
        <v>111</v>
      </c>
      <c r="H389" t="s">
        <v>112</v>
      </c>
      <c r="I389" t="s">
        <v>139</v>
      </c>
      <c r="J389" t="s">
        <v>140</v>
      </c>
      <c r="K389">
        <v>4950</v>
      </c>
      <c r="L389" t="s">
        <v>1139</v>
      </c>
      <c r="M389" t="s">
        <v>1139</v>
      </c>
      <c r="N389" t="s">
        <v>1111</v>
      </c>
      <c r="O389" t="s">
        <v>1111</v>
      </c>
      <c r="P389" t="s">
        <v>1112</v>
      </c>
      <c r="Q389" t="s">
        <v>1113</v>
      </c>
      <c r="R389" t="s">
        <v>515</v>
      </c>
      <c r="S389" t="s">
        <v>143</v>
      </c>
      <c r="T389" t="s">
        <v>144</v>
      </c>
      <c r="U389" t="s">
        <v>139</v>
      </c>
      <c r="V389" t="s">
        <v>99</v>
      </c>
      <c r="W389" t="s">
        <v>139</v>
      </c>
      <c r="X389" t="s">
        <v>145</v>
      </c>
    </row>
    <row r="390" spans="1:24" x14ac:dyDescent="0.2">
      <c r="A390" t="s">
        <v>1140</v>
      </c>
      <c r="B390">
        <v>828</v>
      </c>
      <c r="C390" t="s">
        <v>60</v>
      </c>
      <c r="D390" t="s">
        <v>61</v>
      </c>
      <c r="E390" t="s">
        <v>512</v>
      </c>
      <c r="F390" t="s">
        <v>513</v>
      </c>
      <c r="G390" t="s">
        <v>306</v>
      </c>
      <c r="H390" t="s">
        <v>307</v>
      </c>
      <c r="I390" t="s">
        <v>91</v>
      </c>
      <c r="J390" t="s">
        <v>92</v>
      </c>
      <c r="K390">
        <v>5250</v>
      </c>
      <c r="L390" t="s">
        <v>1141</v>
      </c>
      <c r="M390" t="s">
        <v>1141</v>
      </c>
      <c r="N390" t="s">
        <v>1111</v>
      </c>
      <c r="O390" t="s">
        <v>1111</v>
      </c>
      <c r="P390" t="s">
        <v>1112</v>
      </c>
      <c r="Q390" t="s">
        <v>1113</v>
      </c>
      <c r="R390" t="s">
        <v>515</v>
      </c>
      <c r="S390" t="s">
        <v>309</v>
      </c>
      <c r="T390" t="s">
        <v>97</v>
      </c>
      <c r="U390" t="s">
        <v>98</v>
      </c>
      <c r="V390" t="s">
        <v>99</v>
      </c>
      <c r="W390" t="s">
        <v>98</v>
      </c>
      <c r="X390" t="s">
        <v>100</v>
      </c>
    </row>
    <row r="391" spans="1:24" x14ac:dyDescent="0.2">
      <c r="A391" t="s">
        <v>1142</v>
      </c>
      <c r="B391">
        <v>828</v>
      </c>
      <c r="C391" t="s">
        <v>60</v>
      </c>
      <c r="D391" t="s">
        <v>61</v>
      </c>
      <c r="E391" t="s">
        <v>512</v>
      </c>
      <c r="F391" t="s">
        <v>513</v>
      </c>
      <c r="G391" t="s">
        <v>306</v>
      </c>
      <c r="H391" t="s">
        <v>307</v>
      </c>
      <c r="I391" t="s">
        <v>102</v>
      </c>
      <c r="J391" t="s">
        <v>103</v>
      </c>
      <c r="K391">
        <v>5150</v>
      </c>
      <c r="L391" t="s">
        <v>1143</v>
      </c>
      <c r="M391" t="s">
        <v>1143</v>
      </c>
      <c r="N391" t="s">
        <v>1111</v>
      </c>
      <c r="O391" t="s">
        <v>1111</v>
      </c>
      <c r="P391" t="s">
        <v>1112</v>
      </c>
      <c r="Q391" t="s">
        <v>1113</v>
      </c>
      <c r="R391" t="s">
        <v>515</v>
      </c>
      <c r="S391" t="s">
        <v>312</v>
      </c>
      <c r="T391" t="s">
        <v>313</v>
      </c>
      <c r="U391" t="s">
        <v>314</v>
      </c>
      <c r="V391" t="s">
        <v>77</v>
      </c>
      <c r="W391" t="s">
        <v>314</v>
      </c>
      <c r="X391" t="s">
        <v>315</v>
      </c>
    </row>
    <row r="392" spans="1:24" x14ac:dyDescent="0.2">
      <c r="A392" t="s">
        <v>1144</v>
      </c>
      <c r="B392">
        <v>828</v>
      </c>
      <c r="C392" t="s">
        <v>60</v>
      </c>
      <c r="D392" t="s">
        <v>61</v>
      </c>
      <c r="E392" t="s">
        <v>512</v>
      </c>
      <c r="F392" t="s">
        <v>513</v>
      </c>
      <c r="G392" t="s">
        <v>306</v>
      </c>
      <c r="H392" t="s">
        <v>307</v>
      </c>
      <c r="I392" t="s">
        <v>131</v>
      </c>
      <c r="J392" t="s">
        <v>132</v>
      </c>
      <c r="K392">
        <v>5650</v>
      </c>
      <c r="L392" t="s">
        <v>1145</v>
      </c>
      <c r="M392" t="s">
        <v>1145</v>
      </c>
      <c r="N392" t="s">
        <v>1111</v>
      </c>
      <c r="O392" t="s">
        <v>1111</v>
      </c>
      <c r="P392" t="s">
        <v>1112</v>
      </c>
      <c r="Q392" t="s">
        <v>1113</v>
      </c>
      <c r="R392" t="s">
        <v>515</v>
      </c>
      <c r="S392" t="s">
        <v>318</v>
      </c>
      <c r="T392" t="s">
        <v>136</v>
      </c>
      <c r="U392" t="s">
        <v>131</v>
      </c>
      <c r="V392" t="s">
        <v>77</v>
      </c>
      <c r="W392" t="s">
        <v>131</v>
      </c>
      <c r="X392" t="s">
        <v>137</v>
      </c>
    </row>
    <row r="393" spans="1:24" x14ac:dyDescent="0.2">
      <c r="A393" t="s">
        <v>1146</v>
      </c>
      <c r="B393">
        <v>828</v>
      </c>
      <c r="C393" t="s">
        <v>60</v>
      </c>
      <c r="D393" t="s">
        <v>61</v>
      </c>
      <c r="E393" t="s">
        <v>512</v>
      </c>
      <c r="F393" t="s">
        <v>513</v>
      </c>
      <c r="G393" t="s">
        <v>306</v>
      </c>
      <c r="H393" t="s">
        <v>307</v>
      </c>
      <c r="I393" t="s">
        <v>139</v>
      </c>
      <c r="J393" t="s">
        <v>140</v>
      </c>
      <c r="K393">
        <v>5650</v>
      </c>
      <c r="L393" t="s">
        <v>1147</v>
      </c>
      <c r="M393" t="s">
        <v>1147</v>
      </c>
      <c r="N393" t="s">
        <v>1111</v>
      </c>
      <c r="O393" t="s">
        <v>1111</v>
      </c>
      <c r="P393" t="s">
        <v>1112</v>
      </c>
      <c r="Q393" t="s">
        <v>1113</v>
      </c>
      <c r="R393" t="s">
        <v>515</v>
      </c>
      <c r="S393" t="s">
        <v>321</v>
      </c>
      <c r="T393" t="s">
        <v>144</v>
      </c>
      <c r="U393" t="s">
        <v>139</v>
      </c>
      <c r="V393" t="s">
        <v>99</v>
      </c>
      <c r="W393" t="s">
        <v>139</v>
      </c>
      <c r="X393" t="s">
        <v>145</v>
      </c>
    </row>
    <row r="394" spans="1:24" x14ac:dyDescent="0.2">
      <c r="A394" t="s">
        <v>1148</v>
      </c>
      <c r="B394">
        <v>828</v>
      </c>
      <c r="C394" t="s">
        <v>60</v>
      </c>
      <c r="D394" t="s">
        <v>61</v>
      </c>
      <c r="E394" t="s">
        <v>512</v>
      </c>
      <c r="F394" t="s">
        <v>513</v>
      </c>
      <c r="H394" t="s">
        <v>64</v>
      </c>
      <c r="I394" t="s">
        <v>131</v>
      </c>
      <c r="J394" t="s">
        <v>132</v>
      </c>
      <c r="K394">
        <v>4250</v>
      </c>
      <c r="L394" t="s">
        <v>1149</v>
      </c>
      <c r="M394" t="s">
        <v>1149</v>
      </c>
      <c r="N394" t="s">
        <v>1111</v>
      </c>
      <c r="O394" t="s">
        <v>1111</v>
      </c>
      <c r="P394" t="s">
        <v>1112</v>
      </c>
      <c r="Q394" t="s">
        <v>1113</v>
      </c>
      <c r="R394" t="s">
        <v>515</v>
      </c>
      <c r="S394" t="s">
        <v>149</v>
      </c>
      <c r="T394" t="s">
        <v>136</v>
      </c>
      <c r="U394" t="s">
        <v>131</v>
      </c>
      <c r="V394" t="s">
        <v>77</v>
      </c>
      <c r="W394" t="s">
        <v>131</v>
      </c>
      <c r="X394" t="s">
        <v>137</v>
      </c>
    </row>
    <row r="395" spans="1:24" x14ac:dyDescent="0.2">
      <c r="A395" t="s">
        <v>1150</v>
      </c>
      <c r="B395">
        <v>828</v>
      </c>
      <c r="C395" t="s">
        <v>60</v>
      </c>
      <c r="D395" t="s">
        <v>61</v>
      </c>
      <c r="E395" t="s">
        <v>512</v>
      </c>
      <c r="F395" t="s">
        <v>513</v>
      </c>
      <c r="H395" t="s">
        <v>64</v>
      </c>
      <c r="I395" t="s">
        <v>139</v>
      </c>
      <c r="J395" t="s">
        <v>140</v>
      </c>
      <c r="K395">
        <v>4250</v>
      </c>
      <c r="L395" t="s">
        <v>1151</v>
      </c>
      <c r="M395" t="s">
        <v>1151</v>
      </c>
      <c r="N395" t="s">
        <v>1111</v>
      </c>
      <c r="O395" t="s">
        <v>1111</v>
      </c>
      <c r="P395" t="s">
        <v>1112</v>
      </c>
      <c r="Q395" t="s">
        <v>1113</v>
      </c>
      <c r="R395" t="s">
        <v>515</v>
      </c>
      <c r="S395" t="s">
        <v>153</v>
      </c>
      <c r="T395" t="s">
        <v>144</v>
      </c>
      <c r="U395" t="s">
        <v>139</v>
      </c>
      <c r="V395" t="s">
        <v>99</v>
      </c>
      <c r="W395" t="s">
        <v>139</v>
      </c>
      <c r="X395" t="s">
        <v>145</v>
      </c>
    </row>
    <row r="396" spans="1:24" x14ac:dyDescent="0.2">
      <c r="A396" t="s">
        <v>1152</v>
      </c>
      <c r="B396" t="s">
        <v>1153</v>
      </c>
      <c r="C396" t="s">
        <v>60</v>
      </c>
      <c r="D396" t="s">
        <v>61</v>
      </c>
      <c r="E396" t="s">
        <v>512</v>
      </c>
      <c r="F396" t="s">
        <v>513</v>
      </c>
      <c r="G396" t="s">
        <v>159</v>
      </c>
      <c r="H396" t="s">
        <v>160</v>
      </c>
      <c r="I396" t="s">
        <v>102</v>
      </c>
      <c r="J396" t="s">
        <v>103</v>
      </c>
      <c r="K396">
        <v>3850</v>
      </c>
      <c r="L396" t="s">
        <v>1154</v>
      </c>
      <c r="M396" t="s">
        <v>1155</v>
      </c>
      <c r="N396" t="s">
        <v>385</v>
      </c>
      <c r="O396" t="s">
        <v>385</v>
      </c>
      <c r="P396" t="s">
        <v>1156</v>
      </c>
      <c r="Q396" t="s">
        <v>822</v>
      </c>
      <c r="R396" t="s">
        <v>515</v>
      </c>
      <c r="S396" t="s">
        <v>166</v>
      </c>
      <c r="T396" t="s">
        <v>107</v>
      </c>
      <c r="U396" t="s">
        <v>108</v>
      </c>
      <c r="V396" t="s">
        <v>77</v>
      </c>
      <c r="W396" t="s">
        <v>108</v>
      </c>
      <c r="X396" t="s">
        <v>109</v>
      </c>
    </row>
    <row r="397" spans="1:24" x14ac:dyDescent="0.2">
      <c r="A397" t="s">
        <v>1157</v>
      </c>
      <c r="B397">
        <v>830</v>
      </c>
      <c r="C397" t="s">
        <v>60</v>
      </c>
      <c r="D397" t="s">
        <v>61</v>
      </c>
      <c r="E397" t="s">
        <v>89</v>
      </c>
      <c r="F397" t="s">
        <v>341</v>
      </c>
      <c r="H397" t="s">
        <v>64</v>
      </c>
      <c r="I397" t="s">
        <v>65</v>
      </c>
      <c r="J397" t="s">
        <v>66</v>
      </c>
      <c r="K397">
        <v>6250</v>
      </c>
      <c r="L397" t="s">
        <v>1158</v>
      </c>
      <c r="M397" t="s">
        <v>1158</v>
      </c>
      <c r="N397" t="s">
        <v>1111</v>
      </c>
      <c r="O397" t="s">
        <v>1111</v>
      </c>
      <c r="P397" t="s">
        <v>1159</v>
      </c>
      <c r="Q397" t="s">
        <v>1160</v>
      </c>
      <c r="R397" t="s">
        <v>95</v>
      </c>
      <c r="S397" t="s">
        <v>74</v>
      </c>
      <c r="T397" t="s">
        <v>75</v>
      </c>
      <c r="U397" t="s">
        <v>76</v>
      </c>
      <c r="V397" t="s">
        <v>77</v>
      </c>
      <c r="W397" t="s">
        <v>76</v>
      </c>
      <c r="X397" t="s">
        <v>78</v>
      </c>
    </row>
    <row r="398" spans="1:24" x14ac:dyDescent="0.2">
      <c r="A398" t="s">
        <v>1161</v>
      </c>
      <c r="B398">
        <v>830</v>
      </c>
      <c r="C398" t="s">
        <v>60</v>
      </c>
      <c r="D398" t="s">
        <v>61</v>
      </c>
      <c r="E398" t="s">
        <v>336</v>
      </c>
      <c r="F398" t="s">
        <v>337</v>
      </c>
      <c r="H398" t="s">
        <v>64</v>
      </c>
      <c r="I398" t="s">
        <v>82</v>
      </c>
      <c r="J398" t="s">
        <v>83</v>
      </c>
      <c r="K398">
        <v>6750</v>
      </c>
      <c r="L398" t="s">
        <v>1162</v>
      </c>
      <c r="M398" t="s">
        <v>1162</v>
      </c>
      <c r="N398" t="s">
        <v>1111</v>
      </c>
      <c r="O398" t="s">
        <v>1111</v>
      </c>
      <c r="P398" t="s">
        <v>1159</v>
      </c>
      <c r="Q398" t="s">
        <v>1160</v>
      </c>
      <c r="R398" t="s">
        <v>339</v>
      </c>
      <c r="S398" t="s">
        <v>87</v>
      </c>
      <c r="T398" t="s">
        <v>75</v>
      </c>
      <c r="U398" t="s">
        <v>76</v>
      </c>
      <c r="V398" t="s">
        <v>77</v>
      </c>
      <c r="W398" t="s">
        <v>76</v>
      </c>
      <c r="X398" t="s">
        <v>78</v>
      </c>
    </row>
    <row r="399" spans="1:24" x14ac:dyDescent="0.2">
      <c r="A399" t="s">
        <v>1163</v>
      </c>
      <c r="B399">
        <v>830</v>
      </c>
      <c r="C399" t="s">
        <v>60</v>
      </c>
      <c r="D399" t="s">
        <v>61</v>
      </c>
      <c r="E399" t="s">
        <v>512</v>
      </c>
      <c r="F399" t="s">
        <v>513</v>
      </c>
      <c r="H399" t="s">
        <v>64</v>
      </c>
      <c r="I399" t="s">
        <v>91</v>
      </c>
      <c r="J399" t="s">
        <v>92</v>
      </c>
      <c r="K399">
        <v>3850</v>
      </c>
      <c r="L399" t="s">
        <v>1164</v>
      </c>
      <c r="M399" t="s">
        <v>1164</v>
      </c>
      <c r="N399" t="s">
        <v>1111</v>
      </c>
      <c r="O399" t="s">
        <v>1111</v>
      </c>
      <c r="P399" t="s">
        <v>1159</v>
      </c>
      <c r="Q399" t="s">
        <v>1160</v>
      </c>
      <c r="R399" t="s">
        <v>515</v>
      </c>
      <c r="S399" t="s">
        <v>96</v>
      </c>
      <c r="T399" t="s">
        <v>97</v>
      </c>
      <c r="U399" t="s">
        <v>98</v>
      </c>
      <c r="V399" t="s">
        <v>99</v>
      </c>
      <c r="W399" t="s">
        <v>98</v>
      </c>
      <c r="X399" t="s">
        <v>100</v>
      </c>
    </row>
    <row r="400" spans="1:24" x14ac:dyDescent="0.2">
      <c r="A400" t="s">
        <v>1165</v>
      </c>
      <c r="B400">
        <v>830</v>
      </c>
      <c r="C400" t="s">
        <v>60</v>
      </c>
      <c r="D400" t="s">
        <v>61</v>
      </c>
      <c r="E400" t="s">
        <v>512</v>
      </c>
      <c r="F400" t="s">
        <v>513</v>
      </c>
      <c r="H400" t="s">
        <v>64</v>
      </c>
      <c r="I400" t="s">
        <v>102</v>
      </c>
      <c r="J400" t="s">
        <v>103</v>
      </c>
      <c r="K400">
        <v>3750</v>
      </c>
      <c r="L400" t="s">
        <v>1166</v>
      </c>
      <c r="M400" t="s">
        <v>1166</v>
      </c>
      <c r="N400" t="s">
        <v>1111</v>
      </c>
      <c r="O400" t="s">
        <v>1111</v>
      </c>
      <c r="P400" t="s">
        <v>1159</v>
      </c>
      <c r="Q400" t="s">
        <v>1160</v>
      </c>
      <c r="R400" t="s">
        <v>515</v>
      </c>
      <c r="S400" t="s">
        <v>106</v>
      </c>
      <c r="T400" t="s">
        <v>107</v>
      </c>
      <c r="U400" t="s">
        <v>108</v>
      </c>
      <c r="V400" t="s">
        <v>77</v>
      </c>
      <c r="W400" t="s">
        <v>108</v>
      </c>
      <c r="X400" t="s">
        <v>109</v>
      </c>
    </row>
    <row r="401" spans="1:24" x14ac:dyDescent="0.2">
      <c r="A401" t="s">
        <v>1167</v>
      </c>
      <c r="B401">
        <v>830</v>
      </c>
      <c r="C401" t="s">
        <v>60</v>
      </c>
      <c r="D401" t="s">
        <v>61</v>
      </c>
      <c r="E401" t="s">
        <v>512</v>
      </c>
      <c r="F401" t="s">
        <v>513</v>
      </c>
      <c r="G401" t="s">
        <v>156</v>
      </c>
      <c r="H401" t="s">
        <v>278</v>
      </c>
      <c r="I401" t="s">
        <v>91</v>
      </c>
      <c r="J401" t="s">
        <v>92</v>
      </c>
      <c r="K401">
        <v>4550</v>
      </c>
      <c r="L401" t="s">
        <v>1168</v>
      </c>
      <c r="M401" t="s">
        <v>1168</v>
      </c>
      <c r="N401" t="s">
        <v>1111</v>
      </c>
      <c r="O401" t="s">
        <v>1111</v>
      </c>
      <c r="P401" t="s">
        <v>1159</v>
      </c>
      <c r="Q401" t="s">
        <v>1160</v>
      </c>
      <c r="R401" t="s">
        <v>515</v>
      </c>
      <c r="S401" t="s">
        <v>280</v>
      </c>
      <c r="T401" t="s">
        <v>97</v>
      </c>
      <c r="U401" t="s">
        <v>98</v>
      </c>
      <c r="V401" t="s">
        <v>99</v>
      </c>
      <c r="W401" t="s">
        <v>98</v>
      </c>
      <c r="X401" t="s">
        <v>100</v>
      </c>
    </row>
    <row r="402" spans="1:24" x14ac:dyDescent="0.2">
      <c r="A402" t="s">
        <v>1169</v>
      </c>
      <c r="B402">
        <v>830</v>
      </c>
      <c r="C402" t="s">
        <v>60</v>
      </c>
      <c r="D402" t="s">
        <v>61</v>
      </c>
      <c r="E402" t="s">
        <v>512</v>
      </c>
      <c r="F402" t="s">
        <v>513</v>
      </c>
      <c r="G402" t="s">
        <v>156</v>
      </c>
      <c r="H402" t="s">
        <v>278</v>
      </c>
      <c r="I402" t="s">
        <v>102</v>
      </c>
      <c r="J402" t="s">
        <v>103</v>
      </c>
      <c r="K402">
        <v>4450</v>
      </c>
      <c r="L402" t="s">
        <v>1170</v>
      </c>
      <c r="M402" t="s">
        <v>1170</v>
      </c>
      <c r="N402" t="s">
        <v>1111</v>
      </c>
      <c r="O402" t="s">
        <v>1111</v>
      </c>
      <c r="P402" t="s">
        <v>1159</v>
      </c>
      <c r="Q402" t="s">
        <v>1160</v>
      </c>
      <c r="R402" t="s">
        <v>515</v>
      </c>
      <c r="S402" t="s">
        <v>283</v>
      </c>
      <c r="T402" t="s">
        <v>284</v>
      </c>
      <c r="U402" t="s">
        <v>285</v>
      </c>
      <c r="V402" t="s">
        <v>77</v>
      </c>
      <c r="W402" t="s">
        <v>285</v>
      </c>
      <c r="X402" t="s">
        <v>286</v>
      </c>
    </row>
    <row r="403" spans="1:24" x14ac:dyDescent="0.2">
      <c r="A403" t="s">
        <v>1171</v>
      </c>
      <c r="B403">
        <v>830</v>
      </c>
      <c r="C403" t="s">
        <v>60</v>
      </c>
      <c r="D403" t="s">
        <v>61</v>
      </c>
      <c r="E403" t="s">
        <v>512</v>
      </c>
      <c r="F403" t="s">
        <v>513</v>
      </c>
      <c r="G403" t="s">
        <v>156</v>
      </c>
      <c r="H403" t="s">
        <v>278</v>
      </c>
      <c r="I403" t="s">
        <v>131</v>
      </c>
      <c r="J403" t="s">
        <v>132</v>
      </c>
      <c r="K403">
        <v>4950</v>
      </c>
      <c r="L403" t="s">
        <v>1172</v>
      </c>
      <c r="M403" t="s">
        <v>1172</v>
      </c>
      <c r="N403" t="s">
        <v>1111</v>
      </c>
      <c r="O403" t="s">
        <v>1111</v>
      </c>
      <c r="P403" t="s">
        <v>1159</v>
      </c>
      <c r="Q403" t="s">
        <v>1160</v>
      </c>
      <c r="R403" t="s">
        <v>515</v>
      </c>
      <c r="S403" t="s">
        <v>289</v>
      </c>
      <c r="T403" t="s">
        <v>136</v>
      </c>
      <c r="U403" t="s">
        <v>131</v>
      </c>
      <c r="V403" t="s">
        <v>77</v>
      </c>
      <c r="W403" t="s">
        <v>131</v>
      </c>
      <c r="X403" t="s">
        <v>137</v>
      </c>
    </row>
    <row r="404" spans="1:24" x14ac:dyDescent="0.2">
      <c r="A404" t="s">
        <v>1173</v>
      </c>
      <c r="B404">
        <v>830</v>
      </c>
      <c r="C404" t="s">
        <v>60</v>
      </c>
      <c r="D404" t="s">
        <v>61</v>
      </c>
      <c r="E404" t="s">
        <v>512</v>
      </c>
      <c r="F404" t="s">
        <v>513</v>
      </c>
      <c r="G404" t="s">
        <v>156</v>
      </c>
      <c r="H404" t="s">
        <v>278</v>
      </c>
      <c r="I404" t="s">
        <v>139</v>
      </c>
      <c r="J404" t="s">
        <v>140</v>
      </c>
      <c r="K404">
        <v>4950</v>
      </c>
      <c r="L404" t="s">
        <v>1174</v>
      </c>
      <c r="M404" t="s">
        <v>1174</v>
      </c>
      <c r="N404" t="s">
        <v>1111</v>
      </c>
      <c r="O404" t="s">
        <v>1111</v>
      </c>
      <c r="P404" t="s">
        <v>1159</v>
      </c>
      <c r="Q404" t="s">
        <v>1160</v>
      </c>
      <c r="R404" t="s">
        <v>515</v>
      </c>
      <c r="S404" t="s">
        <v>292</v>
      </c>
      <c r="T404" t="s">
        <v>144</v>
      </c>
      <c r="U404" t="s">
        <v>139</v>
      </c>
      <c r="V404" t="s">
        <v>99</v>
      </c>
      <c r="W404" t="s">
        <v>139</v>
      </c>
      <c r="X404" t="s">
        <v>145</v>
      </c>
    </row>
    <row r="405" spans="1:24" x14ac:dyDescent="0.2">
      <c r="A405" t="s">
        <v>1175</v>
      </c>
      <c r="B405">
        <v>830</v>
      </c>
      <c r="C405" t="s">
        <v>60</v>
      </c>
      <c r="D405" t="s">
        <v>61</v>
      </c>
      <c r="E405" t="s">
        <v>89</v>
      </c>
      <c r="F405" t="s">
        <v>341</v>
      </c>
      <c r="G405" t="s">
        <v>111</v>
      </c>
      <c r="H405" t="s">
        <v>112</v>
      </c>
      <c r="I405" t="s">
        <v>65</v>
      </c>
      <c r="J405" t="s">
        <v>66</v>
      </c>
      <c r="K405">
        <v>6950</v>
      </c>
      <c r="L405" t="s">
        <v>1176</v>
      </c>
      <c r="M405" t="s">
        <v>1176</v>
      </c>
      <c r="N405" t="s">
        <v>1111</v>
      </c>
      <c r="O405" t="s">
        <v>1111</v>
      </c>
      <c r="P405" t="s">
        <v>1159</v>
      </c>
      <c r="Q405" t="s">
        <v>1160</v>
      </c>
      <c r="R405" t="s">
        <v>95</v>
      </c>
      <c r="S405" t="s">
        <v>114</v>
      </c>
      <c r="T405" t="s">
        <v>75</v>
      </c>
      <c r="U405" t="s">
        <v>76</v>
      </c>
      <c r="V405" t="s">
        <v>77</v>
      </c>
      <c r="W405" t="s">
        <v>76</v>
      </c>
      <c r="X405" t="s">
        <v>78</v>
      </c>
    </row>
    <row r="406" spans="1:24" x14ac:dyDescent="0.2">
      <c r="A406" t="s">
        <v>1177</v>
      </c>
      <c r="B406">
        <v>830</v>
      </c>
      <c r="C406" t="s">
        <v>60</v>
      </c>
      <c r="D406" t="s">
        <v>61</v>
      </c>
      <c r="E406" t="s">
        <v>336</v>
      </c>
      <c r="F406" t="s">
        <v>337</v>
      </c>
      <c r="G406" t="s">
        <v>111</v>
      </c>
      <c r="H406" t="s">
        <v>112</v>
      </c>
      <c r="I406" t="s">
        <v>82</v>
      </c>
      <c r="J406" t="s">
        <v>83</v>
      </c>
      <c r="K406">
        <v>7450</v>
      </c>
      <c r="L406" t="s">
        <v>1178</v>
      </c>
      <c r="M406" t="s">
        <v>1178</v>
      </c>
      <c r="N406" t="s">
        <v>1111</v>
      </c>
      <c r="O406" t="s">
        <v>1111</v>
      </c>
      <c r="P406" t="s">
        <v>1159</v>
      </c>
      <c r="Q406" t="s">
        <v>1160</v>
      </c>
      <c r="R406" t="s">
        <v>339</v>
      </c>
      <c r="S406" t="s">
        <v>118</v>
      </c>
      <c r="T406" t="s">
        <v>75</v>
      </c>
      <c r="U406" t="s">
        <v>76</v>
      </c>
      <c r="V406" t="s">
        <v>77</v>
      </c>
      <c r="W406" t="s">
        <v>76</v>
      </c>
      <c r="X406" t="s">
        <v>78</v>
      </c>
    </row>
    <row r="407" spans="1:24" x14ac:dyDescent="0.2">
      <c r="A407" t="s">
        <v>1179</v>
      </c>
      <c r="B407">
        <v>830</v>
      </c>
      <c r="C407" t="s">
        <v>60</v>
      </c>
      <c r="D407" t="s">
        <v>61</v>
      </c>
      <c r="E407" t="s">
        <v>512</v>
      </c>
      <c r="F407" t="s">
        <v>513</v>
      </c>
      <c r="G407" t="s">
        <v>111</v>
      </c>
      <c r="H407" t="s">
        <v>112</v>
      </c>
      <c r="I407" t="s">
        <v>91</v>
      </c>
      <c r="J407" t="s">
        <v>92</v>
      </c>
      <c r="K407">
        <v>4550</v>
      </c>
      <c r="L407" t="s">
        <v>1180</v>
      </c>
      <c r="M407" t="s">
        <v>1180</v>
      </c>
      <c r="N407" t="s">
        <v>1111</v>
      </c>
      <c r="O407" t="s">
        <v>1111</v>
      </c>
      <c r="P407" t="s">
        <v>1159</v>
      </c>
      <c r="Q407" t="s">
        <v>1160</v>
      </c>
      <c r="R407" t="s">
        <v>515</v>
      </c>
      <c r="S407" t="s">
        <v>122</v>
      </c>
      <c r="T407" t="s">
        <v>97</v>
      </c>
      <c r="U407" t="s">
        <v>98</v>
      </c>
      <c r="V407" t="s">
        <v>99</v>
      </c>
      <c r="W407" t="s">
        <v>98</v>
      </c>
      <c r="X407" t="s">
        <v>100</v>
      </c>
    </row>
    <row r="408" spans="1:24" x14ac:dyDescent="0.2">
      <c r="A408" t="s">
        <v>1181</v>
      </c>
      <c r="B408">
        <v>830</v>
      </c>
      <c r="C408" t="s">
        <v>60</v>
      </c>
      <c r="D408" t="s">
        <v>61</v>
      </c>
      <c r="E408" t="s">
        <v>512</v>
      </c>
      <c r="F408" t="s">
        <v>513</v>
      </c>
      <c r="G408" t="s">
        <v>111</v>
      </c>
      <c r="H408" t="s">
        <v>112</v>
      </c>
      <c r="I408" t="s">
        <v>102</v>
      </c>
      <c r="J408" t="s">
        <v>103</v>
      </c>
      <c r="K408">
        <v>4450</v>
      </c>
      <c r="L408" t="s">
        <v>1182</v>
      </c>
      <c r="M408" t="s">
        <v>1182</v>
      </c>
      <c r="N408" t="s">
        <v>1111</v>
      </c>
      <c r="O408" t="s">
        <v>1111</v>
      </c>
      <c r="P408" t="s">
        <v>1159</v>
      </c>
      <c r="Q408" t="s">
        <v>1160</v>
      </c>
      <c r="R408" t="s">
        <v>515</v>
      </c>
      <c r="S408" t="s">
        <v>126</v>
      </c>
      <c r="T408" t="s">
        <v>127</v>
      </c>
      <c r="U408" t="s">
        <v>128</v>
      </c>
      <c r="V408" t="s">
        <v>77</v>
      </c>
      <c r="W408" t="s">
        <v>128</v>
      </c>
      <c r="X408" t="s">
        <v>129</v>
      </c>
    </row>
    <row r="409" spans="1:24" x14ac:dyDescent="0.2">
      <c r="A409" t="s">
        <v>1183</v>
      </c>
      <c r="B409">
        <v>830</v>
      </c>
      <c r="C409" t="s">
        <v>60</v>
      </c>
      <c r="D409" t="s">
        <v>61</v>
      </c>
      <c r="E409" t="s">
        <v>512</v>
      </c>
      <c r="F409" t="s">
        <v>513</v>
      </c>
      <c r="G409" t="s">
        <v>111</v>
      </c>
      <c r="H409" t="s">
        <v>112</v>
      </c>
      <c r="I409" t="s">
        <v>131</v>
      </c>
      <c r="J409" t="s">
        <v>132</v>
      </c>
      <c r="K409">
        <v>4950</v>
      </c>
      <c r="L409" t="s">
        <v>1184</v>
      </c>
      <c r="M409" t="s">
        <v>1184</v>
      </c>
      <c r="N409" t="s">
        <v>1111</v>
      </c>
      <c r="O409" t="s">
        <v>1111</v>
      </c>
      <c r="P409" t="s">
        <v>1159</v>
      </c>
      <c r="Q409" t="s">
        <v>1160</v>
      </c>
      <c r="R409" t="s">
        <v>515</v>
      </c>
      <c r="S409" t="s">
        <v>135</v>
      </c>
      <c r="T409" t="s">
        <v>136</v>
      </c>
      <c r="U409" t="s">
        <v>131</v>
      </c>
      <c r="V409" t="s">
        <v>77</v>
      </c>
      <c r="W409" t="s">
        <v>131</v>
      </c>
      <c r="X409" t="s">
        <v>137</v>
      </c>
    </row>
    <row r="410" spans="1:24" x14ac:dyDescent="0.2">
      <c r="A410" t="s">
        <v>1185</v>
      </c>
      <c r="B410">
        <v>830</v>
      </c>
      <c r="C410" t="s">
        <v>60</v>
      </c>
      <c r="D410" t="s">
        <v>61</v>
      </c>
      <c r="E410" t="s">
        <v>512</v>
      </c>
      <c r="F410" t="s">
        <v>513</v>
      </c>
      <c r="G410" t="s">
        <v>111</v>
      </c>
      <c r="H410" t="s">
        <v>112</v>
      </c>
      <c r="I410" t="s">
        <v>139</v>
      </c>
      <c r="J410" t="s">
        <v>140</v>
      </c>
      <c r="K410">
        <v>4950</v>
      </c>
      <c r="L410" t="s">
        <v>1186</v>
      </c>
      <c r="M410" t="s">
        <v>1186</v>
      </c>
      <c r="N410" t="s">
        <v>1111</v>
      </c>
      <c r="O410" t="s">
        <v>1111</v>
      </c>
      <c r="P410" t="s">
        <v>1159</v>
      </c>
      <c r="Q410" t="s">
        <v>1160</v>
      </c>
      <c r="R410" t="s">
        <v>515</v>
      </c>
      <c r="S410" t="s">
        <v>143</v>
      </c>
      <c r="T410" t="s">
        <v>144</v>
      </c>
      <c r="U410" t="s">
        <v>139</v>
      </c>
      <c r="V410" t="s">
        <v>99</v>
      </c>
      <c r="W410" t="s">
        <v>139</v>
      </c>
      <c r="X410" t="s">
        <v>145</v>
      </c>
    </row>
    <row r="411" spans="1:24" x14ac:dyDescent="0.2">
      <c r="A411" t="s">
        <v>1187</v>
      </c>
      <c r="B411">
        <v>830</v>
      </c>
      <c r="C411" t="s">
        <v>60</v>
      </c>
      <c r="D411" t="s">
        <v>61</v>
      </c>
      <c r="E411" t="s">
        <v>512</v>
      </c>
      <c r="F411" t="s">
        <v>513</v>
      </c>
      <c r="G411" t="s">
        <v>306</v>
      </c>
      <c r="H411" t="s">
        <v>307</v>
      </c>
      <c r="I411" t="s">
        <v>91</v>
      </c>
      <c r="J411" t="s">
        <v>92</v>
      </c>
      <c r="K411">
        <v>5250</v>
      </c>
      <c r="L411" t="s">
        <v>1188</v>
      </c>
      <c r="M411" t="s">
        <v>1188</v>
      </c>
      <c r="N411" t="s">
        <v>1111</v>
      </c>
      <c r="O411" t="s">
        <v>1111</v>
      </c>
      <c r="P411" t="s">
        <v>1159</v>
      </c>
      <c r="Q411" t="s">
        <v>1160</v>
      </c>
      <c r="R411" t="s">
        <v>515</v>
      </c>
      <c r="S411" t="s">
        <v>309</v>
      </c>
      <c r="T411" t="s">
        <v>97</v>
      </c>
      <c r="U411" t="s">
        <v>98</v>
      </c>
      <c r="V411" t="s">
        <v>99</v>
      </c>
      <c r="W411" t="s">
        <v>98</v>
      </c>
      <c r="X411" t="s">
        <v>100</v>
      </c>
    </row>
    <row r="412" spans="1:24" x14ac:dyDescent="0.2">
      <c r="A412" t="s">
        <v>1189</v>
      </c>
      <c r="B412">
        <v>830</v>
      </c>
      <c r="C412" t="s">
        <v>60</v>
      </c>
      <c r="D412" t="s">
        <v>61</v>
      </c>
      <c r="E412" t="s">
        <v>512</v>
      </c>
      <c r="F412" t="s">
        <v>513</v>
      </c>
      <c r="G412" t="s">
        <v>306</v>
      </c>
      <c r="H412" t="s">
        <v>307</v>
      </c>
      <c r="I412" t="s">
        <v>102</v>
      </c>
      <c r="J412" t="s">
        <v>103</v>
      </c>
      <c r="K412">
        <v>5150</v>
      </c>
      <c r="L412" t="s">
        <v>1190</v>
      </c>
      <c r="M412" t="s">
        <v>1190</v>
      </c>
      <c r="N412" t="s">
        <v>1111</v>
      </c>
      <c r="O412" t="s">
        <v>1111</v>
      </c>
      <c r="P412" t="s">
        <v>1159</v>
      </c>
      <c r="Q412" t="s">
        <v>1160</v>
      </c>
      <c r="R412" t="s">
        <v>515</v>
      </c>
      <c r="S412" t="s">
        <v>312</v>
      </c>
      <c r="T412" t="s">
        <v>313</v>
      </c>
      <c r="U412" t="s">
        <v>314</v>
      </c>
      <c r="V412" t="s">
        <v>77</v>
      </c>
      <c r="W412" t="s">
        <v>314</v>
      </c>
      <c r="X412" t="s">
        <v>315</v>
      </c>
    </row>
    <row r="413" spans="1:24" x14ac:dyDescent="0.2">
      <c r="A413" t="s">
        <v>1191</v>
      </c>
      <c r="B413">
        <v>830</v>
      </c>
      <c r="C413" t="s">
        <v>60</v>
      </c>
      <c r="D413" t="s">
        <v>61</v>
      </c>
      <c r="E413" t="s">
        <v>512</v>
      </c>
      <c r="F413" t="s">
        <v>513</v>
      </c>
      <c r="G413" t="s">
        <v>306</v>
      </c>
      <c r="H413" t="s">
        <v>307</v>
      </c>
      <c r="I413" t="s">
        <v>131</v>
      </c>
      <c r="J413" t="s">
        <v>132</v>
      </c>
      <c r="K413">
        <v>5650</v>
      </c>
      <c r="L413" t="s">
        <v>1192</v>
      </c>
      <c r="M413" t="s">
        <v>1192</v>
      </c>
      <c r="N413" t="s">
        <v>1111</v>
      </c>
      <c r="O413" t="s">
        <v>1111</v>
      </c>
      <c r="P413" t="s">
        <v>1159</v>
      </c>
      <c r="Q413" t="s">
        <v>1160</v>
      </c>
      <c r="R413" t="s">
        <v>515</v>
      </c>
      <c r="S413" t="s">
        <v>318</v>
      </c>
      <c r="T413" t="s">
        <v>136</v>
      </c>
      <c r="U413" t="s">
        <v>131</v>
      </c>
      <c r="V413" t="s">
        <v>77</v>
      </c>
      <c r="W413" t="s">
        <v>131</v>
      </c>
      <c r="X413" t="s">
        <v>137</v>
      </c>
    </row>
    <row r="414" spans="1:24" x14ac:dyDescent="0.2">
      <c r="A414" t="s">
        <v>1193</v>
      </c>
      <c r="B414">
        <v>830</v>
      </c>
      <c r="C414" t="s">
        <v>60</v>
      </c>
      <c r="D414" t="s">
        <v>61</v>
      </c>
      <c r="E414" t="s">
        <v>512</v>
      </c>
      <c r="F414" t="s">
        <v>513</v>
      </c>
      <c r="G414" t="s">
        <v>306</v>
      </c>
      <c r="H414" t="s">
        <v>307</v>
      </c>
      <c r="I414" t="s">
        <v>139</v>
      </c>
      <c r="J414" t="s">
        <v>140</v>
      </c>
      <c r="K414">
        <v>5650</v>
      </c>
      <c r="L414" t="s">
        <v>1194</v>
      </c>
      <c r="M414" t="s">
        <v>1194</v>
      </c>
      <c r="N414" t="s">
        <v>1111</v>
      </c>
      <c r="O414" t="s">
        <v>1111</v>
      </c>
      <c r="P414" t="s">
        <v>1159</v>
      </c>
      <c r="Q414" t="s">
        <v>1160</v>
      </c>
      <c r="R414" t="s">
        <v>515</v>
      </c>
      <c r="S414" t="s">
        <v>321</v>
      </c>
      <c r="T414" t="s">
        <v>144</v>
      </c>
      <c r="U414" t="s">
        <v>139</v>
      </c>
      <c r="V414" t="s">
        <v>99</v>
      </c>
      <c r="W414" t="s">
        <v>139</v>
      </c>
      <c r="X414" t="s">
        <v>145</v>
      </c>
    </row>
    <row r="415" spans="1:24" x14ac:dyDescent="0.2">
      <c r="A415" t="s">
        <v>1195</v>
      </c>
      <c r="B415">
        <v>830</v>
      </c>
      <c r="C415" t="s">
        <v>60</v>
      </c>
      <c r="D415" t="s">
        <v>61</v>
      </c>
      <c r="E415" t="s">
        <v>512</v>
      </c>
      <c r="F415" t="s">
        <v>513</v>
      </c>
      <c r="H415" t="s">
        <v>64</v>
      </c>
      <c r="I415" t="s">
        <v>131</v>
      </c>
      <c r="J415" t="s">
        <v>132</v>
      </c>
      <c r="K415">
        <v>4250</v>
      </c>
      <c r="L415" t="s">
        <v>1196</v>
      </c>
      <c r="M415" t="s">
        <v>1196</v>
      </c>
      <c r="N415" t="s">
        <v>1111</v>
      </c>
      <c r="O415" t="s">
        <v>1111</v>
      </c>
      <c r="P415" t="s">
        <v>1159</v>
      </c>
      <c r="Q415" t="s">
        <v>1160</v>
      </c>
      <c r="R415" t="s">
        <v>515</v>
      </c>
      <c r="S415" t="s">
        <v>149</v>
      </c>
      <c r="T415" t="s">
        <v>136</v>
      </c>
      <c r="U415" t="s">
        <v>131</v>
      </c>
      <c r="V415" t="s">
        <v>77</v>
      </c>
      <c r="W415" t="s">
        <v>131</v>
      </c>
      <c r="X415" t="s">
        <v>137</v>
      </c>
    </row>
    <row r="416" spans="1:24" x14ac:dyDescent="0.2">
      <c r="A416" t="s">
        <v>1197</v>
      </c>
      <c r="B416">
        <v>830</v>
      </c>
      <c r="C416" t="s">
        <v>60</v>
      </c>
      <c r="D416" t="s">
        <v>61</v>
      </c>
      <c r="E416" t="s">
        <v>512</v>
      </c>
      <c r="F416" t="s">
        <v>513</v>
      </c>
      <c r="H416" t="s">
        <v>64</v>
      </c>
      <c r="I416" t="s">
        <v>139</v>
      </c>
      <c r="J416" t="s">
        <v>140</v>
      </c>
      <c r="K416">
        <v>4250</v>
      </c>
      <c r="L416" t="s">
        <v>1198</v>
      </c>
      <c r="M416" t="s">
        <v>1198</v>
      </c>
      <c r="N416" t="s">
        <v>1111</v>
      </c>
      <c r="O416" t="s">
        <v>1111</v>
      </c>
      <c r="P416" t="s">
        <v>1159</v>
      </c>
      <c r="Q416" t="s">
        <v>1160</v>
      </c>
      <c r="R416" t="s">
        <v>515</v>
      </c>
      <c r="S416" t="s">
        <v>153</v>
      </c>
      <c r="T416" t="s">
        <v>144</v>
      </c>
      <c r="U416" t="s">
        <v>139</v>
      </c>
      <c r="V416" t="s">
        <v>99</v>
      </c>
      <c r="W416" t="s">
        <v>139</v>
      </c>
      <c r="X416" t="s">
        <v>145</v>
      </c>
    </row>
    <row r="417" spans="1:24" x14ac:dyDescent="0.2">
      <c r="A417" t="s">
        <v>1199</v>
      </c>
      <c r="B417" t="s">
        <v>1153</v>
      </c>
      <c r="C417" t="s">
        <v>60</v>
      </c>
      <c r="D417" t="s">
        <v>612</v>
      </c>
      <c r="E417" t="s">
        <v>613</v>
      </c>
      <c r="F417" t="s">
        <v>614</v>
      </c>
      <c r="G417" t="s">
        <v>159</v>
      </c>
      <c r="H417" t="s">
        <v>160</v>
      </c>
      <c r="I417" t="s">
        <v>102</v>
      </c>
      <c r="J417" t="s">
        <v>103</v>
      </c>
      <c r="K417">
        <v>4350</v>
      </c>
      <c r="L417" t="s">
        <v>1200</v>
      </c>
      <c r="M417" t="s">
        <v>1201</v>
      </c>
      <c r="N417" t="s">
        <v>385</v>
      </c>
      <c r="O417" t="s">
        <v>385</v>
      </c>
      <c r="P417" t="s">
        <v>1156</v>
      </c>
      <c r="Q417" t="s">
        <v>822</v>
      </c>
      <c r="R417" t="s">
        <v>616</v>
      </c>
      <c r="S417" t="s">
        <v>166</v>
      </c>
      <c r="T417" t="s">
        <v>107</v>
      </c>
      <c r="U417" t="s">
        <v>108</v>
      </c>
      <c r="V417" t="s">
        <v>77</v>
      </c>
      <c r="W417" t="s">
        <v>108</v>
      </c>
      <c r="X417" t="s">
        <v>109</v>
      </c>
    </row>
    <row r="418" spans="1:24" x14ac:dyDescent="0.2">
      <c r="A418" t="s">
        <v>1202</v>
      </c>
      <c r="B418">
        <v>845.58399999999995</v>
      </c>
      <c r="C418" t="s">
        <v>60</v>
      </c>
      <c r="D418" t="s">
        <v>61</v>
      </c>
      <c r="E418" t="s">
        <v>445</v>
      </c>
      <c r="F418" t="s">
        <v>928</v>
      </c>
      <c r="H418" t="s">
        <v>64</v>
      </c>
      <c r="I418" t="s">
        <v>65</v>
      </c>
      <c r="J418" t="s">
        <v>66</v>
      </c>
      <c r="K418">
        <v>6250</v>
      </c>
      <c r="L418" t="s">
        <v>1203</v>
      </c>
      <c r="M418" t="s">
        <v>1203</v>
      </c>
      <c r="N418" t="s">
        <v>170</v>
      </c>
      <c r="O418" t="s">
        <v>170</v>
      </c>
      <c r="P418" t="s">
        <v>1204</v>
      </c>
      <c r="Q418" t="s">
        <v>1205</v>
      </c>
      <c r="R418" t="s">
        <v>449</v>
      </c>
      <c r="S418" t="s">
        <v>74</v>
      </c>
      <c r="T418" t="s">
        <v>75</v>
      </c>
      <c r="U418" t="s">
        <v>76</v>
      </c>
      <c r="V418" t="s">
        <v>77</v>
      </c>
      <c r="W418" t="s">
        <v>76</v>
      </c>
      <c r="X418" t="s">
        <v>78</v>
      </c>
    </row>
    <row r="419" spans="1:24" x14ac:dyDescent="0.2">
      <c r="A419" t="s">
        <v>1206</v>
      </c>
      <c r="B419">
        <v>845.58399999999995</v>
      </c>
      <c r="C419" t="s">
        <v>60</v>
      </c>
      <c r="D419" t="s">
        <v>61</v>
      </c>
      <c r="E419" t="s">
        <v>1207</v>
      </c>
      <c r="F419" t="s">
        <v>1208</v>
      </c>
      <c r="H419" t="s">
        <v>64</v>
      </c>
      <c r="I419" t="s">
        <v>82</v>
      </c>
      <c r="J419" t="s">
        <v>83</v>
      </c>
      <c r="K419">
        <v>6750</v>
      </c>
      <c r="L419" t="s">
        <v>1209</v>
      </c>
      <c r="M419" t="s">
        <v>1209</v>
      </c>
      <c r="N419" t="s">
        <v>170</v>
      </c>
      <c r="O419" t="s">
        <v>170</v>
      </c>
      <c r="P419" t="s">
        <v>1204</v>
      </c>
      <c r="Q419" t="s">
        <v>1205</v>
      </c>
      <c r="R419" t="s">
        <v>1210</v>
      </c>
      <c r="S419" t="s">
        <v>87</v>
      </c>
      <c r="T419" t="s">
        <v>75</v>
      </c>
      <c r="U419" t="s">
        <v>76</v>
      </c>
      <c r="V419" t="s">
        <v>77</v>
      </c>
      <c r="W419" t="s">
        <v>76</v>
      </c>
      <c r="X419" t="s">
        <v>78</v>
      </c>
    </row>
    <row r="420" spans="1:24" x14ac:dyDescent="0.2">
      <c r="A420" t="s">
        <v>1211</v>
      </c>
      <c r="B420">
        <v>845.58399999999995</v>
      </c>
      <c r="C420" t="s">
        <v>60</v>
      </c>
      <c r="D420" t="s">
        <v>61</v>
      </c>
      <c r="E420" t="s">
        <v>1212</v>
      </c>
      <c r="F420" t="s">
        <v>1213</v>
      </c>
      <c r="H420" t="s">
        <v>64</v>
      </c>
      <c r="I420" t="s">
        <v>91</v>
      </c>
      <c r="J420" t="s">
        <v>92</v>
      </c>
      <c r="K420">
        <v>3850</v>
      </c>
      <c r="L420" t="s">
        <v>1214</v>
      </c>
      <c r="M420" t="s">
        <v>1214</v>
      </c>
      <c r="N420" t="s">
        <v>170</v>
      </c>
      <c r="O420" t="s">
        <v>170</v>
      </c>
      <c r="P420" t="s">
        <v>1204</v>
      </c>
      <c r="Q420" t="s">
        <v>1205</v>
      </c>
      <c r="R420" t="s">
        <v>1215</v>
      </c>
      <c r="S420" t="s">
        <v>96</v>
      </c>
      <c r="T420" t="s">
        <v>97</v>
      </c>
      <c r="U420" t="s">
        <v>98</v>
      </c>
      <c r="V420" t="s">
        <v>99</v>
      </c>
      <c r="W420" t="s">
        <v>98</v>
      </c>
      <c r="X420" t="s">
        <v>100</v>
      </c>
    </row>
    <row r="421" spans="1:24" x14ac:dyDescent="0.2">
      <c r="A421" t="s">
        <v>1216</v>
      </c>
      <c r="B421">
        <v>845.58399999999995</v>
      </c>
      <c r="C421" t="s">
        <v>60</v>
      </c>
      <c r="D421" t="s">
        <v>61</v>
      </c>
      <c r="E421" t="s">
        <v>1212</v>
      </c>
      <c r="F421" t="s">
        <v>1213</v>
      </c>
      <c r="H421" t="s">
        <v>64</v>
      </c>
      <c r="I421" t="s">
        <v>102</v>
      </c>
      <c r="J421" t="s">
        <v>103</v>
      </c>
      <c r="K421">
        <v>3750</v>
      </c>
      <c r="L421" t="s">
        <v>1217</v>
      </c>
      <c r="M421" t="s">
        <v>1217</v>
      </c>
      <c r="N421" t="s">
        <v>170</v>
      </c>
      <c r="O421" t="s">
        <v>170</v>
      </c>
      <c r="P421" t="s">
        <v>1204</v>
      </c>
      <c r="Q421" t="s">
        <v>1205</v>
      </c>
      <c r="R421" t="s">
        <v>1215</v>
      </c>
      <c r="S421" t="s">
        <v>106</v>
      </c>
      <c r="T421" t="s">
        <v>107</v>
      </c>
      <c r="U421" t="s">
        <v>108</v>
      </c>
      <c r="V421" t="s">
        <v>77</v>
      </c>
      <c r="W421" t="s">
        <v>108</v>
      </c>
      <c r="X421" t="s">
        <v>109</v>
      </c>
    </row>
    <row r="422" spans="1:24" x14ac:dyDescent="0.2">
      <c r="A422" t="s">
        <v>1218</v>
      </c>
      <c r="B422">
        <v>845.58399999999995</v>
      </c>
      <c r="C422" t="s">
        <v>60</v>
      </c>
      <c r="D422" t="s">
        <v>61</v>
      </c>
      <c r="E422" t="s">
        <v>1212</v>
      </c>
      <c r="F422" t="s">
        <v>1213</v>
      </c>
      <c r="G422" t="s">
        <v>156</v>
      </c>
      <c r="H422" t="s">
        <v>278</v>
      </c>
      <c r="I422" t="s">
        <v>91</v>
      </c>
      <c r="J422" t="s">
        <v>92</v>
      </c>
      <c r="K422">
        <v>4550</v>
      </c>
      <c r="L422" t="s">
        <v>1219</v>
      </c>
      <c r="M422" t="s">
        <v>1219</v>
      </c>
      <c r="N422" t="s">
        <v>170</v>
      </c>
      <c r="O422" t="s">
        <v>170</v>
      </c>
      <c r="P422" t="s">
        <v>1204</v>
      </c>
      <c r="Q422" t="s">
        <v>1205</v>
      </c>
      <c r="R422" t="s">
        <v>1215</v>
      </c>
      <c r="S422" t="s">
        <v>280</v>
      </c>
      <c r="T422" t="s">
        <v>97</v>
      </c>
      <c r="U422" t="s">
        <v>98</v>
      </c>
      <c r="V422" t="s">
        <v>99</v>
      </c>
      <c r="W422" t="s">
        <v>98</v>
      </c>
      <c r="X422" t="s">
        <v>100</v>
      </c>
    </row>
    <row r="423" spans="1:24" x14ac:dyDescent="0.2">
      <c r="A423" t="s">
        <v>1220</v>
      </c>
      <c r="B423">
        <v>845.58399999999995</v>
      </c>
      <c r="C423" t="s">
        <v>60</v>
      </c>
      <c r="D423" t="s">
        <v>61</v>
      </c>
      <c r="E423" t="s">
        <v>1212</v>
      </c>
      <c r="F423" t="s">
        <v>1213</v>
      </c>
      <c r="G423" t="s">
        <v>156</v>
      </c>
      <c r="H423" t="s">
        <v>278</v>
      </c>
      <c r="I423" t="s">
        <v>102</v>
      </c>
      <c r="J423" t="s">
        <v>103</v>
      </c>
      <c r="K423">
        <v>4450</v>
      </c>
      <c r="L423" t="s">
        <v>1221</v>
      </c>
      <c r="M423" t="s">
        <v>1221</v>
      </c>
      <c r="N423" t="s">
        <v>170</v>
      </c>
      <c r="O423" t="s">
        <v>170</v>
      </c>
      <c r="P423" t="s">
        <v>1204</v>
      </c>
      <c r="Q423" t="s">
        <v>1205</v>
      </c>
      <c r="R423" t="s">
        <v>1215</v>
      </c>
      <c r="S423" t="s">
        <v>283</v>
      </c>
      <c r="T423" t="s">
        <v>284</v>
      </c>
      <c r="U423" t="s">
        <v>285</v>
      </c>
      <c r="V423" t="s">
        <v>77</v>
      </c>
      <c r="W423" t="s">
        <v>285</v>
      </c>
      <c r="X423" t="s">
        <v>286</v>
      </c>
    </row>
    <row r="424" spans="1:24" x14ac:dyDescent="0.2">
      <c r="A424" t="s">
        <v>1222</v>
      </c>
      <c r="B424">
        <v>845.58399999999995</v>
      </c>
      <c r="C424" t="s">
        <v>60</v>
      </c>
      <c r="D424" t="s">
        <v>61</v>
      </c>
      <c r="E424" t="s">
        <v>1212</v>
      </c>
      <c r="F424" t="s">
        <v>1213</v>
      </c>
      <c r="G424" t="s">
        <v>156</v>
      </c>
      <c r="H424" t="s">
        <v>278</v>
      </c>
      <c r="I424" t="s">
        <v>131</v>
      </c>
      <c r="J424" t="s">
        <v>132</v>
      </c>
      <c r="K424">
        <v>4950</v>
      </c>
      <c r="L424" t="s">
        <v>1223</v>
      </c>
      <c r="M424" t="s">
        <v>1223</v>
      </c>
      <c r="N424" t="s">
        <v>170</v>
      </c>
      <c r="O424" t="s">
        <v>170</v>
      </c>
      <c r="P424" t="s">
        <v>1204</v>
      </c>
      <c r="Q424" t="s">
        <v>1205</v>
      </c>
      <c r="R424" t="s">
        <v>1215</v>
      </c>
      <c r="S424" t="s">
        <v>289</v>
      </c>
      <c r="T424" t="s">
        <v>136</v>
      </c>
      <c r="U424" t="s">
        <v>131</v>
      </c>
      <c r="V424" t="s">
        <v>77</v>
      </c>
      <c r="W424" t="s">
        <v>131</v>
      </c>
      <c r="X424" t="s">
        <v>137</v>
      </c>
    </row>
    <row r="425" spans="1:24" x14ac:dyDescent="0.2">
      <c r="A425" t="s">
        <v>1224</v>
      </c>
      <c r="B425">
        <v>845.58399999999995</v>
      </c>
      <c r="C425" t="s">
        <v>60</v>
      </c>
      <c r="D425" t="s">
        <v>61</v>
      </c>
      <c r="E425" t="s">
        <v>1212</v>
      </c>
      <c r="F425" t="s">
        <v>1213</v>
      </c>
      <c r="G425" t="s">
        <v>156</v>
      </c>
      <c r="H425" t="s">
        <v>278</v>
      </c>
      <c r="I425" t="s">
        <v>139</v>
      </c>
      <c r="J425" t="s">
        <v>140</v>
      </c>
      <c r="K425">
        <v>4950</v>
      </c>
      <c r="L425" t="s">
        <v>1225</v>
      </c>
      <c r="M425" t="s">
        <v>1225</v>
      </c>
      <c r="N425" t="s">
        <v>170</v>
      </c>
      <c r="O425" t="s">
        <v>170</v>
      </c>
      <c r="P425" t="s">
        <v>1204</v>
      </c>
      <c r="Q425" t="s">
        <v>1205</v>
      </c>
      <c r="R425" t="s">
        <v>1215</v>
      </c>
      <c r="S425" t="s">
        <v>292</v>
      </c>
      <c r="T425" t="s">
        <v>144</v>
      </c>
      <c r="U425" t="s">
        <v>139</v>
      </c>
      <c r="V425" t="s">
        <v>99</v>
      </c>
      <c r="W425" t="s">
        <v>139</v>
      </c>
      <c r="X425" t="s">
        <v>145</v>
      </c>
    </row>
    <row r="426" spans="1:24" x14ac:dyDescent="0.2">
      <c r="A426" t="s">
        <v>1226</v>
      </c>
      <c r="B426">
        <v>845.58399999999995</v>
      </c>
      <c r="C426" t="s">
        <v>60</v>
      </c>
      <c r="D426" t="s">
        <v>61</v>
      </c>
      <c r="E426" t="s">
        <v>445</v>
      </c>
      <c r="F426" t="s">
        <v>928</v>
      </c>
      <c r="G426" t="s">
        <v>111</v>
      </c>
      <c r="H426" t="s">
        <v>112</v>
      </c>
      <c r="I426" t="s">
        <v>65</v>
      </c>
      <c r="J426" t="s">
        <v>66</v>
      </c>
      <c r="K426">
        <v>6950</v>
      </c>
      <c r="L426" t="s">
        <v>1227</v>
      </c>
      <c r="M426" t="s">
        <v>1227</v>
      </c>
      <c r="N426" t="s">
        <v>170</v>
      </c>
      <c r="O426" t="s">
        <v>170</v>
      </c>
      <c r="P426" t="s">
        <v>1204</v>
      </c>
      <c r="Q426" t="s">
        <v>1205</v>
      </c>
      <c r="R426" t="s">
        <v>449</v>
      </c>
      <c r="S426" t="s">
        <v>114</v>
      </c>
      <c r="T426" t="s">
        <v>75</v>
      </c>
      <c r="U426" t="s">
        <v>76</v>
      </c>
      <c r="V426" t="s">
        <v>77</v>
      </c>
      <c r="W426" t="s">
        <v>76</v>
      </c>
      <c r="X426" t="s">
        <v>78</v>
      </c>
    </row>
    <row r="427" spans="1:24" x14ac:dyDescent="0.2">
      <c r="A427" t="s">
        <v>1228</v>
      </c>
      <c r="B427">
        <v>845.58399999999995</v>
      </c>
      <c r="C427" t="s">
        <v>60</v>
      </c>
      <c r="D427" t="s">
        <v>61</v>
      </c>
      <c r="E427" t="s">
        <v>1207</v>
      </c>
      <c r="F427" t="s">
        <v>1208</v>
      </c>
      <c r="G427" t="s">
        <v>111</v>
      </c>
      <c r="H427" t="s">
        <v>112</v>
      </c>
      <c r="I427" t="s">
        <v>82</v>
      </c>
      <c r="J427" t="s">
        <v>83</v>
      </c>
      <c r="K427">
        <v>7450</v>
      </c>
      <c r="L427" t="s">
        <v>1229</v>
      </c>
      <c r="M427" t="s">
        <v>1229</v>
      </c>
      <c r="N427" t="s">
        <v>170</v>
      </c>
      <c r="O427" t="s">
        <v>170</v>
      </c>
      <c r="P427" t="s">
        <v>1204</v>
      </c>
      <c r="Q427" t="s">
        <v>1205</v>
      </c>
      <c r="R427" t="s">
        <v>1210</v>
      </c>
      <c r="S427" t="s">
        <v>118</v>
      </c>
      <c r="T427" t="s">
        <v>75</v>
      </c>
      <c r="U427" t="s">
        <v>76</v>
      </c>
      <c r="V427" t="s">
        <v>77</v>
      </c>
      <c r="W427" t="s">
        <v>76</v>
      </c>
      <c r="X427" t="s">
        <v>78</v>
      </c>
    </row>
    <row r="428" spans="1:24" x14ac:dyDescent="0.2">
      <c r="A428" t="s">
        <v>1230</v>
      </c>
      <c r="B428">
        <v>845.58399999999995</v>
      </c>
      <c r="C428" t="s">
        <v>60</v>
      </c>
      <c r="D428" t="s">
        <v>61</v>
      </c>
      <c r="E428" t="s">
        <v>1212</v>
      </c>
      <c r="F428" t="s">
        <v>1213</v>
      </c>
      <c r="G428" t="s">
        <v>111</v>
      </c>
      <c r="H428" t="s">
        <v>112</v>
      </c>
      <c r="I428" t="s">
        <v>91</v>
      </c>
      <c r="J428" t="s">
        <v>92</v>
      </c>
      <c r="K428">
        <v>4550</v>
      </c>
      <c r="L428" t="s">
        <v>1231</v>
      </c>
      <c r="M428" t="s">
        <v>1231</v>
      </c>
      <c r="N428" t="s">
        <v>170</v>
      </c>
      <c r="O428" t="s">
        <v>170</v>
      </c>
      <c r="P428" t="s">
        <v>1204</v>
      </c>
      <c r="Q428" t="s">
        <v>1205</v>
      </c>
      <c r="R428" t="s">
        <v>1215</v>
      </c>
      <c r="S428" t="s">
        <v>122</v>
      </c>
      <c r="T428" t="s">
        <v>97</v>
      </c>
      <c r="U428" t="s">
        <v>98</v>
      </c>
      <c r="V428" t="s">
        <v>99</v>
      </c>
      <c r="W428" t="s">
        <v>98</v>
      </c>
      <c r="X428" t="s">
        <v>100</v>
      </c>
    </row>
    <row r="429" spans="1:24" x14ac:dyDescent="0.2">
      <c r="A429" t="s">
        <v>1232</v>
      </c>
      <c r="B429">
        <v>845.58399999999995</v>
      </c>
      <c r="C429" t="s">
        <v>60</v>
      </c>
      <c r="D429" t="s">
        <v>61</v>
      </c>
      <c r="E429" t="s">
        <v>1212</v>
      </c>
      <c r="F429" t="s">
        <v>1213</v>
      </c>
      <c r="G429" t="s">
        <v>111</v>
      </c>
      <c r="H429" t="s">
        <v>112</v>
      </c>
      <c r="I429" t="s">
        <v>102</v>
      </c>
      <c r="J429" t="s">
        <v>103</v>
      </c>
      <c r="K429">
        <v>4450</v>
      </c>
      <c r="L429" t="s">
        <v>1233</v>
      </c>
      <c r="M429" t="s">
        <v>1233</v>
      </c>
      <c r="N429" t="s">
        <v>170</v>
      </c>
      <c r="O429" t="s">
        <v>170</v>
      </c>
      <c r="P429" t="s">
        <v>1204</v>
      </c>
      <c r="Q429" t="s">
        <v>1205</v>
      </c>
      <c r="R429" t="s">
        <v>1215</v>
      </c>
      <c r="S429" t="s">
        <v>126</v>
      </c>
      <c r="T429" t="s">
        <v>127</v>
      </c>
      <c r="U429" t="s">
        <v>128</v>
      </c>
      <c r="V429" t="s">
        <v>77</v>
      </c>
      <c r="W429" t="s">
        <v>128</v>
      </c>
      <c r="X429" t="s">
        <v>129</v>
      </c>
    </row>
    <row r="430" spans="1:24" x14ac:dyDescent="0.2">
      <c r="A430" t="s">
        <v>1234</v>
      </c>
      <c r="B430">
        <v>845.58399999999995</v>
      </c>
      <c r="C430" t="s">
        <v>60</v>
      </c>
      <c r="D430" t="s">
        <v>61</v>
      </c>
      <c r="E430" t="s">
        <v>1212</v>
      </c>
      <c r="F430" t="s">
        <v>1213</v>
      </c>
      <c r="G430" t="s">
        <v>111</v>
      </c>
      <c r="H430" t="s">
        <v>112</v>
      </c>
      <c r="I430" t="s">
        <v>131</v>
      </c>
      <c r="J430" t="s">
        <v>132</v>
      </c>
      <c r="K430">
        <v>4950</v>
      </c>
      <c r="L430" t="s">
        <v>1235</v>
      </c>
      <c r="M430" t="s">
        <v>1235</v>
      </c>
      <c r="N430" t="s">
        <v>170</v>
      </c>
      <c r="O430" t="s">
        <v>170</v>
      </c>
      <c r="P430" t="s">
        <v>1204</v>
      </c>
      <c r="Q430" t="s">
        <v>1205</v>
      </c>
      <c r="R430" t="s">
        <v>1215</v>
      </c>
      <c r="S430" t="s">
        <v>135</v>
      </c>
      <c r="T430" t="s">
        <v>136</v>
      </c>
      <c r="U430" t="s">
        <v>131</v>
      </c>
      <c r="V430" t="s">
        <v>77</v>
      </c>
      <c r="W430" t="s">
        <v>131</v>
      </c>
      <c r="X430" t="s">
        <v>137</v>
      </c>
    </row>
    <row r="431" spans="1:24" x14ac:dyDescent="0.2">
      <c r="A431" t="s">
        <v>1236</v>
      </c>
      <c r="B431">
        <v>845.58399999999995</v>
      </c>
      <c r="C431" t="s">
        <v>60</v>
      </c>
      <c r="D431" t="s">
        <v>61</v>
      </c>
      <c r="E431" t="s">
        <v>1212</v>
      </c>
      <c r="F431" t="s">
        <v>1213</v>
      </c>
      <c r="G431" t="s">
        <v>111</v>
      </c>
      <c r="H431" t="s">
        <v>112</v>
      </c>
      <c r="I431" t="s">
        <v>139</v>
      </c>
      <c r="J431" t="s">
        <v>140</v>
      </c>
      <c r="K431">
        <v>4950</v>
      </c>
      <c r="L431" t="s">
        <v>1237</v>
      </c>
      <c r="M431" t="s">
        <v>1237</v>
      </c>
      <c r="N431" t="s">
        <v>170</v>
      </c>
      <c r="O431" t="s">
        <v>170</v>
      </c>
      <c r="P431" t="s">
        <v>1204</v>
      </c>
      <c r="Q431" t="s">
        <v>1205</v>
      </c>
      <c r="R431" t="s">
        <v>1215</v>
      </c>
      <c r="S431" t="s">
        <v>143</v>
      </c>
      <c r="T431" t="s">
        <v>144</v>
      </c>
      <c r="U431" t="s">
        <v>139</v>
      </c>
      <c r="V431" t="s">
        <v>99</v>
      </c>
      <c r="W431" t="s">
        <v>139</v>
      </c>
      <c r="X431" t="s">
        <v>145</v>
      </c>
    </row>
    <row r="432" spans="1:24" x14ac:dyDescent="0.2">
      <c r="A432" t="s">
        <v>1238</v>
      </c>
      <c r="B432">
        <v>845.58399999999995</v>
      </c>
      <c r="C432" t="s">
        <v>60</v>
      </c>
      <c r="D432" t="s">
        <v>61</v>
      </c>
      <c r="E432" t="s">
        <v>1212</v>
      </c>
      <c r="F432" t="s">
        <v>1213</v>
      </c>
      <c r="G432" t="s">
        <v>306</v>
      </c>
      <c r="H432" t="s">
        <v>307</v>
      </c>
      <c r="I432" t="s">
        <v>91</v>
      </c>
      <c r="J432" t="s">
        <v>92</v>
      </c>
      <c r="K432">
        <v>5250</v>
      </c>
      <c r="L432" t="s">
        <v>1239</v>
      </c>
      <c r="M432" t="s">
        <v>1239</v>
      </c>
      <c r="N432" t="s">
        <v>170</v>
      </c>
      <c r="O432" t="s">
        <v>170</v>
      </c>
      <c r="P432" t="s">
        <v>1204</v>
      </c>
      <c r="Q432" t="s">
        <v>1205</v>
      </c>
      <c r="R432" t="s">
        <v>1215</v>
      </c>
      <c r="S432" t="s">
        <v>309</v>
      </c>
      <c r="T432" t="s">
        <v>97</v>
      </c>
      <c r="U432" t="s">
        <v>98</v>
      </c>
      <c r="V432" t="s">
        <v>99</v>
      </c>
      <c r="W432" t="s">
        <v>98</v>
      </c>
      <c r="X432" t="s">
        <v>100</v>
      </c>
    </row>
    <row r="433" spans="1:24" x14ac:dyDescent="0.2">
      <c r="A433" t="s">
        <v>1240</v>
      </c>
      <c r="B433">
        <v>845.58399999999995</v>
      </c>
      <c r="C433" t="s">
        <v>60</v>
      </c>
      <c r="D433" t="s">
        <v>61</v>
      </c>
      <c r="E433" t="s">
        <v>1212</v>
      </c>
      <c r="F433" t="s">
        <v>1213</v>
      </c>
      <c r="G433" t="s">
        <v>306</v>
      </c>
      <c r="H433" t="s">
        <v>307</v>
      </c>
      <c r="I433" t="s">
        <v>102</v>
      </c>
      <c r="J433" t="s">
        <v>103</v>
      </c>
      <c r="K433">
        <v>5150</v>
      </c>
      <c r="L433" t="s">
        <v>1241</v>
      </c>
      <c r="M433" t="s">
        <v>1241</v>
      </c>
      <c r="N433" t="s">
        <v>170</v>
      </c>
      <c r="O433" t="s">
        <v>170</v>
      </c>
      <c r="P433" t="s">
        <v>1204</v>
      </c>
      <c r="Q433" t="s">
        <v>1205</v>
      </c>
      <c r="R433" t="s">
        <v>1215</v>
      </c>
      <c r="S433" t="s">
        <v>312</v>
      </c>
      <c r="T433" t="s">
        <v>313</v>
      </c>
      <c r="U433" t="s">
        <v>314</v>
      </c>
      <c r="V433" t="s">
        <v>77</v>
      </c>
      <c r="W433" t="s">
        <v>314</v>
      </c>
      <c r="X433" t="s">
        <v>315</v>
      </c>
    </row>
    <row r="434" spans="1:24" x14ac:dyDescent="0.2">
      <c r="A434" t="s">
        <v>1242</v>
      </c>
      <c r="B434">
        <v>845.58399999999995</v>
      </c>
      <c r="C434" t="s">
        <v>60</v>
      </c>
      <c r="D434" t="s">
        <v>61</v>
      </c>
      <c r="E434" t="s">
        <v>1212</v>
      </c>
      <c r="F434" t="s">
        <v>1213</v>
      </c>
      <c r="G434" t="s">
        <v>306</v>
      </c>
      <c r="H434" t="s">
        <v>307</v>
      </c>
      <c r="I434" t="s">
        <v>131</v>
      </c>
      <c r="J434" t="s">
        <v>132</v>
      </c>
      <c r="K434">
        <v>5650</v>
      </c>
      <c r="L434" t="s">
        <v>1243</v>
      </c>
      <c r="M434" t="s">
        <v>1243</v>
      </c>
      <c r="N434" t="s">
        <v>170</v>
      </c>
      <c r="O434" t="s">
        <v>170</v>
      </c>
      <c r="P434" t="s">
        <v>1204</v>
      </c>
      <c r="Q434" t="s">
        <v>1205</v>
      </c>
      <c r="R434" t="s">
        <v>1215</v>
      </c>
      <c r="S434" t="s">
        <v>318</v>
      </c>
      <c r="T434" t="s">
        <v>136</v>
      </c>
      <c r="U434" t="s">
        <v>131</v>
      </c>
      <c r="V434" t="s">
        <v>77</v>
      </c>
      <c r="W434" t="s">
        <v>131</v>
      </c>
      <c r="X434" t="s">
        <v>137</v>
      </c>
    </row>
    <row r="435" spans="1:24" x14ac:dyDescent="0.2">
      <c r="A435" t="s">
        <v>1244</v>
      </c>
      <c r="B435">
        <v>845.58399999999995</v>
      </c>
      <c r="C435" t="s">
        <v>60</v>
      </c>
      <c r="D435" t="s">
        <v>61</v>
      </c>
      <c r="E435" t="s">
        <v>1212</v>
      </c>
      <c r="F435" t="s">
        <v>1213</v>
      </c>
      <c r="G435" t="s">
        <v>306</v>
      </c>
      <c r="H435" t="s">
        <v>307</v>
      </c>
      <c r="I435" t="s">
        <v>139</v>
      </c>
      <c r="J435" t="s">
        <v>140</v>
      </c>
      <c r="K435">
        <v>5650</v>
      </c>
      <c r="L435" t="s">
        <v>1245</v>
      </c>
      <c r="M435" t="s">
        <v>1245</v>
      </c>
      <c r="N435" t="s">
        <v>170</v>
      </c>
      <c r="O435" t="s">
        <v>170</v>
      </c>
      <c r="P435" t="s">
        <v>1204</v>
      </c>
      <c r="Q435" t="s">
        <v>1205</v>
      </c>
      <c r="R435" t="s">
        <v>1215</v>
      </c>
      <c r="S435" t="s">
        <v>321</v>
      </c>
      <c r="T435" t="s">
        <v>144</v>
      </c>
      <c r="U435" t="s">
        <v>139</v>
      </c>
      <c r="V435" t="s">
        <v>99</v>
      </c>
      <c r="W435" t="s">
        <v>139</v>
      </c>
      <c r="X435" t="s">
        <v>145</v>
      </c>
    </row>
    <row r="436" spans="1:24" x14ac:dyDescent="0.2">
      <c r="A436" t="s">
        <v>1246</v>
      </c>
      <c r="B436">
        <v>845.58399999999995</v>
      </c>
      <c r="C436" t="s">
        <v>60</v>
      </c>
      <c r="D436" t="s">
        <v>61</v>
      </c>
      <c r="E436" t="s">
        <v>1212</v>
      </c>
      <c r="F436" t="s">
        <v>1213</v>
      </c>
      <c r="H436" t="s">
        <v>64</v>
      </c>
      <c r="I436" t="s">
        <v>131</v>
      </c>
      <c r="J436" t="s">
        <v>132</v>
      </c>
      <c r="K436">
        <v>4250</v>
      </c>
      <c r="L436" t="s">
        <v>1247</v>
      </c>
      <c r="M436" t="s">
        <v>1247</v>
      </c>
      <c r="N436" t="s">
        <v>170</v>
      </c>
      <c r="O436" t="s">
        <v>170</v>
      </c>
      <c r="P436" t="s">
        <v>1204</v>
      </c>
      <c r="Q436" t="s">
        <v>1205</v>
      </c>
      <c r="R436" t="s">
        <v>1215</v>
      </c>
      <c r="S436" t="s">
        <v>149</v>
      </c>
      <c r="T436" t="s">
        <v>136</v>
      </c>
      <c r="U436" t="s">
        <v>131</v>
      </c>
      <c r="V436" t="s">
        <v>77</v>
      </c>
      <c r="W436" t="s">
        <v>131</v>
      </c>
      <c r="X436" t="s">
        <v>137</v>
      </c>
    </row>
    <row r="437" spans="1:24" x14ac:dyDescent="0.2">
      <c r="A437" t="s">
        <v>1248</v>
      </c>
      <c r="B437" t="s">
        <v>1153</v>
      </c>
      <c r="C437" t="s">
        <v>60</v>
      </c>
      <c r="D437" t="s">
        <v>156</v>
      </c>
      <c r="E437" t="s">
        <v>89</v>
      </c>
      <c r="F437" t="s">
        <v>606</v>
      </c>
      <c r="G437" t="s">
        <v>159</v>
      </c>
      <c r="H437" t="s">
        <v>160</v>
      </c>
      <c r="I437" t="s">
        <v>102</v>
      </c>
      <c r="J437" t="s">
        <v>103</v>
      </c>
      <c r="K437">
        <v>2850</v>
      </c>
      <c r="L437" t="s">
        <v>1249</v>
      </c>
      <c r="M437" t="s">
        <v>1250</v>
      </c>
      <c r="N437" t="s">
        <v>385</v>
      </c>
      <c r="O437" t="s">
        <v>385</v>
      </c>
      <c r="P437" t="s">
        <v>1156</v>
      </c>
      <c r="Q437" t="s">
        <v>822</v>
      </c>
      <c r="R437" t="s">
        <v>608</v>
      </c>
      <c r="S437" t="s">
        <v>166</v>
      </c>
      <c r="T437" t="s">
        <v>107</v>
      </c>
      <c r="U437" t="s">
        <v>108</v>
      </c>
      <c r="V437" t="s">
        <v>77</v>
      </c>
      <c r="W437" t="s">
        <v>108</v>
      </c>
      <c r="X437" t="s">
        <v>109</v>
      </c>
    </row>
    <row r="438" spans="1:24" x14ac:dyDescent="0.2">
      <c r="A438" t="s">
        <v>1251</v>
      </c>
      <c r="B438">
        <v>845.58399999999995</v>
      </c>
      <c r="C438" t="s">
        <v>60</v>
      </c>
      <c r="D438" t="s">
        <v>61</v>
      </c>
      <c r="E438" t="s">
        <v>1212</v>
      </c>
      <c r="F438" t="s">
        <v>1213</v>
      </c>
      <c r="H438" t="s">
        <v>64</v>
      </c>
      <c r="I438" t="s">
        <v>139</v>
      </c>
      <c r="J438" t="s">
        <v>140</v>
      </c>
      <c r="K438">
        <v>4250</v>
      </c>
      <c r="L438" t="s">
        <v>1252</v>
      </c>
      <c r="M438" t="s">
        <v>1252</v>
      </c>
      <c r="N438" t="s">
        <v>170</v>
      </c>
      <c r="O438" t="s">
        <v>170</v>
      </c>
      <c r="P438" t="s">
        <v>1204</v>
      </c>
      <c r="Q438" t="s">
        <v>1205</v>
      </c>
      <c r="R438" t="s">
        <v>1215</v>
      </c>
      <c r="S438" t="s">
        <v>153</v>
      </c>
      <c r="T438" t="s">
        <v>144</v>
      </c>
      <c r="U438" t="s">
        <v>139</v>
      </c>
      <c r="V438" t="s">
        <v>99</v>
      </c>
      <c r="W438" t="s">
        <v>139</v>
      </c>
      <c r="X438" t="s">
        <v>145</v>
      </c>
    </row>
    <row r="439" spans="1:24" x14ac:dyDescent="0.2">
      <c r="A439" t="s">
        <v>1253</v>
      </c>
      <c r="B439" t="s">
        <v>1254</v>
      </c>
      <c r="C439" t="s">
        <v>558</v>
      </c>
      <c r="D439" t="s">
        <v>559</v>
      </c>
      <c r="E439" t="s">
        <v>560</v>
      </c>
      <c r="F439" t="s">
        <v>561</v>
      </c>
      <c r="H439" t="s">
        <v>64</v>
      </c>
      <c r="I439" t="s">
        <v>102</v>
      </c>
      <c r="J439" t="s">
        <v>103</v>
      </c>
      <c r="K439">
        <v>800</v>
      </c>
      <c r="L439" t="s">
        <v>1255</v>
      </c>
      <c r="M439" t="s">
        <v>1255</v>
      </c>
      <c r="N439" t="s">
        <v>563</v>
      </c>
      <c r="O439" t="s">
        <v>563</v>
      </c>
      <c r="P439" t="s">
        <v>1256</v>
      </c>
      <c r="Q439" t="s">
        <v>1257</v>
      </c>
      <c r="R439" t="s">
        <v>566</v>
      </c>
      <c r="S439" t="s">
        <v>567</v>
      </c>
      <c r="T439" t="s">
        <v>107</v>
      </c>
      <c r="U439" t="s">
        <v>568</v>
      </c>
      <c r="V439" t="s">
        <v>77</v>
      </c>
      <c r="W439" t="s">
        <v>569</v>
      </c>
      <c r="X439" t="s">
        <v>570</v>
      </c>
    </row>
    <row r="440" spans="1:24" x14ac:dyDescent="0.2">
      <c r="A440" t="s">
        <v>1258</v>
      </c>
      <c r="B440" t="s">
        <v>1254</v>
      </c>
      <c r="C440" t="s">
        <v>558</v>
      </c>
      <c r="D440" t="s">
        <v>572</v>
      </c>
      <c r="E440" t="s">
        <v>560</v>
      </c>
      <c r="F440" t="s">
        <v>573</v>
      </c>
      <c r="G440" t="s">
        <v>159</v>
      </c>
      <c r="H440" t="s">
        <v>160</v>
      </c>
      <c r="I440" t="s">
        <v>102</v>
      </c>
      <c r="J440" t="s">
        <v>103</v>
      </c>
      <c r="K440">
        <v>900</v>
      </c>
      <c r="L440" t="s">
        <v>1259</v>
      </c>
      <c r="M440" t="s">
        <v>1259</v>
      </c>
      <c r="N440" t="s">
        <v>563</v>
      </c>
      <c r="O440" t="s">
        <v>563</v>
      </c>
      <c r="P440" t="s">
        <v>1260</v>
      </c>
      <c r="Q440" t="s">
        <v>1261</v>
      </c>
      <c r="R440" t="s">
        <v>577</v>
      </c>
      <c r="S440" t="s">
        <v>578</v>
      </c>
      <c r="T440" t="s">
        <v>107</v>
      </c>
      <c r="U440" t="s">
        <v>579</v>
      </c>
      <c r="V440" t="s">
        <v>77</v>
      </c>
      <c r="W440" t="s">
        <v>580</v>
      </c>
      <c r="X440" t="s">
        <v>581</v>
      </c>
    </row>
    <row r="441" spans="1:24" x14ac:dyDescent="0.2">
      <c r="A441" t="s">
        <v>1262</v>
      </c>
      <c r="B441" t="s">
        <v>1254</v>
      </c>
      <c r="C441" t="s">
        <v>558</v>
      </c>
      <c r="D441" t="s">
        <v>572</v>
      </c>
      <c r="E441" t="s">
        <v>560</v>
      </c>
      <c r="F441" t="s">
        <v>583</v>
      </c>
      <c r="H441" t="s">
        <v>64</v>
      </c>
      <c r="I441" t="s">
        <v>102</v>
      </c>
      <c r="J441" t="s">
        <v>103</v>
      </c>
      <c r="K441">
        <v>800</v>
      </c>
      <c r="L441" t="s">
        <v>1263</v>
      </c>
      <c r="M441" t="s">
        <v>1263</v>
      </c>
      <c r="N441" t="s">
        <v>563</v>
      </c>
      <c r="O441" t="s">
        <v>563</v>
      </c>
      <c r="P441" t="s">
        <v>1260</v>
      </c>
      <c r="Q441" t="s">
        <v>1261</v>
      </c>
      <c r="R441" t="s">
        <v>577</v>
      </c>
      <c r="S441" t="s">
        <v>585</v>
      </c>
      <c r="T441" t="s">
        <v>107</v>
      </c>
      <c r="U441" t="s">
        <v>586</v>
      </c>
      <c r="V441" t="s">
        <v>77</v>
      </c>
      <c r="W441" t="s">
        <v>587</v>
      </c>
      <c r="X441" t="s">
        <v>588</v>
      </c>
    </row>
    <row r="442" spans="1:24" x14ac:dyDescent="0.2">
      <c r="A442" t="s">
        <v>1264</v>
      </c>
      <c r="B442">
        <v>852.34699999999998</v>
      </c>
      <c r="C442" t="s">
        <v>60</v>
      </c>
      <c r="D442" t="s">
        <v>61</v>
      </c>
      <c r="E442" t="s">
        <v>445</v>
      </c>
      <c r="F442" t="s">
        <v>928</v>
      </c>
      <c r="H442" t="s">
        <v>64</v>
      </c>
      <c r="I442" t="s">
        <v>65</v>
      </c>
      <c r="J442" t="s">
        <v>66</v>
      </c>
      <c r="K442">
        <v>6250</v>
      </c>
      <c r="L442" t="s">
        <v>1265</v>
      </c>
      <c r="M442" t="s">
        <v>1265</v>
      </c>
      <c r="N442" t="s">
        <v>385</v>
      </c>
      <c r="O442" t="s">
        <v>385</v>
      </c>
      <c r="P442" t="s">
        <v>1266</v>
      </c>
      <c r="Q442" t="s">
        <v>1267</v>
      </c>
      <c r="R442" t="s">
        <v>449</v>
      </c>
      <c r="S442" t="s">
        <v>74</v>
      </c>
      <c r="T442" t="s">
        <v>75</v>
      </c>
      <c r="U442" t="s">
        <v>76</v>
      </c>
      <c r="V442" t="s">
        <v>77</v>
      </c>
      <c r="W442" t="s">
        <v>76</v>
      </c>
      <c r="X442" t="s">
        <v>78</v>
      </c>
    </row>
    <row r="443" spans="1:24" x14ac:dyDescent="0.2">
      <c r="A443" t="s">
        <v>1268</v>
      </c>
      <c r="B443">
        <v>852.34699999999998</v>
      </c>
      <c r="C443" t="s">
        <v>60</v>
      </c>
      <c r="D443" t="s">
        <v>61</v>
      </c>
      <c r="E443" t="s">
        <v>1207</v>
      </c>
      <c r="F443" t="s">
        <v>1208</v>
      </c>
      <c r="H443" t="s">
        <v>64</v>
      </c>
      <c r="I443" t="s">
        <v>82</v>
      </c>
      <c r="J443" t="s">
        <v>83</v>
      </c>
      <c r="K443">
        <v>6750</v>
      </c>
      <c r="L443" t="s">
        <v>1269</v>
      </c>
      <c r="M443" t="s">
        <v>1269</v>
      </c>
      <c r="N443" t="s">
        <v>385</v>
      </c>
      <c r="O443" t="s">
        <v>385</v>
      </c>
      <c r="P443" t="s">
        <v>1266</v>
      </c>
      <c r="Q443" t="s">
        <v>1267</v>
      </c>
      <c r="R443" t="s">
        <v>1210</v>
      </c>
      <c r="S443" t="s">
        <v>87</v>
      </c>
      <c r="T443" t="s">
        <v>75</v>
      </c>
      <c r="U443" t="s">
        <v>76</v>
      </c>
      <c r="V443" t="s">
        <v>77</v>
      </c>
      <c r="W443" t="s">
        <v>76</v>
      </c>
      <c r="X443" t="s">
        <v>78</v>
      </c>
    </row>
    <row r="444" spans="1:24" x14ac:dyDescent="0.2">
      <c r="A444" t="s">
        <v>1270</v>
      </c>
      <c r="B444">
        <v>852.34699999999998</v>
      </c>
      <c r="C444" t="s">
        <v>60</v>
      </c>
      <c r="D444" t="s">
        <v>61</v>
      </c>
      <c r="E444" t="s">
        <v>1212</v>
      </c>
      <c r="F444" t="s">
        <v>1213</v>
      </c>
      <c r="H444" t="s">
        <v>64</v>
      </c>
      <c r="I444" t="s">
        <v>91</v>
      </c>
      <c r="J444" t="s">
        <v>92</v>
      </c>
      <c r="K444">
        <v>3850</v>
      </c>
      <c r="L444" t="s">
        <v>1271</v>
      </c>
      <c r="M444" t="s">
        <v>1271</v>
      </c>
      <c r="N444" t="s">
        <v>385</v>
      </c>
      <c r="O444" t="s">
        <v>385</v>
      </c>
      <c r="P444" t="s">
        <v>1266</v>
      </c>
      <c r="Q444" t="s">
        <v>1267</v>
      </c>
      <c r="R444" t="s">
        <v>1215</v>
      </c>
      <c r="S444" t="s">
        <v>96</v>
      </c>
      <c r="T444" t="s">
        <v>97</v>
      </c>
      <c r="U444" t="s">
        <v>98</v>
      </c>
      <c r="V444" t="s">
        <v>99</v>
      </c>
      <c r="W444" t="s">
        <v>98</v>
      </c>
      <c r="X444" t="s">
        <v>100</v>
      </c>
    </row>
    <row r="445" spans="1:24" x14ac:dyDescent="0.2">
      <c r="A445" t="s">
        <v>1272</v>
      </c>
      <c r="B445">
        <v>852.34699999999998</v>
      </c>
      <c r="C445" t="s">
        <v>60</v>
      </c>
      <c r="D445" t="s">
        <v>61</v>
      </c>
      <c r="E445" t="s">
        <v>1212</v>
      </c>
      <c r="F445" t="s">
        <v>1213</v>
      </c>
      <c r="H445" t="s">
        <v>64</v>
      </c>
      <c r="I445" t="s">
        <v>102</v>
      </c>
      <c r="J445" t="s">
        <v>103</v>
      </c>
      <c r="K445">
        <v>3750</v>
      </c>
      <c r="L445" t="s">
        <v>1273</v>
      </c>
      <c r="M445" t="s">
        <v>1273</v>
      </c>
      <c r="N445" t="s">
        <v>385</v>
      </c>
      <c r="O445" t="s">
        <v>385</v>
      </c>
      <c r="P445" t="s">
        <v>1266</v>
      </c>
      <c r="Q445" t="s">
        <v>1267</v>
      </c>
      <c r="R445" t="s">
        <v>1215</v>
      </c>
      <c r="S445" t="s">
        <v>106</v>
      </c>
      <c r="T445" t="s">
        <v>107</v>
      </c>
      <c r="U445" t="s">
        <v>108</v>
      </c>
      <c r="V445" t="s">
        <v>77</v>
      </c>
      <c r="W445" t="s">
        <v>108</v>
      </c>
      <c r="X445" t="s">
        <v>109</v>
      </c>
    </row>
    <row r="446" spans="1:24" x14ac:dyDescent="0.2">
      <c r="A446" t="s">
        <v>1274</v>
      </c>
      <c r="B446">
        <v>852.34699999999998</v>
      </c>
      <c r="C446" t="s">
        <v>60</v>
      </c>
      <c r="D446" t="s">
        <v>61</v>
      </c>
      <c r="E446" t="s">
        <v>1212</v>
      </c>
      <c r="F446" t="s">
        <v>1213</v>
      </c>
      <c r="G446" t="s">
        <v>156</v>
      </c>
      <c r="H446" t="s">
        <v>278</v>
      </c>
      <c r="I446" t="s">
        <v>91</v>
      </c>
      <c r="J446" t="s">
        <v>92</v>
      </c>
      <c r="K446">
        <v>4550</v>
      </c>
      <c r="L446" t="s">
        <v>1275</v>
      </c>
      <c r="M446" t="s">
        <v>1275</v>
      </c>
      <c r="N446" t="s">
        <v>385</v>
      </c>
      <c r="O446" t="s">
        <v>385</v>
      </c>
      <c r="P446" t="s">
        <v>1266</v>
      </c>
      <c r="Q446" t="s">
        <v>1267</v>
      </c>
      <c r="R446" t="s">
        <v>1215</v>
      </c>
      <c r="S446" t="s">
        <v>280</v>
      </c>
      <c r="T446" t="s">
        <v>97</v>
      </c>
      <c r="U446" t="s">
        <v>98</v>
      </c>
      <c r="V446" t="s">
        <v>99</v>
      </c>
      <c r="W446" t="s">
        <v>98</v>
      </c>
      <c r="X446" t="s">
        <v>100</v>
      </c>
    </row>
    <row r="447" spans="1:24" x14ac:dyDescent="0.2">
      <c r="A447" t="s">
        <v>1276</v>
      </c>
      <c r="B447">
        <v>852.34699999999998</v>
      </c>
      <c r="C447" t="s">
        <v>60</v>
      </c>
      <c r="D447" t="s">
        <v>61</v>
      </c>
      <c r="E447" t="s">
        <v>1212</v>
      </c>
      <c r="F447" t="s">
        <v>1213</v>
      </c>
      <c r="G447" t="s">
        <v>156</v>
      </c>
      <c r="H447" t="s">
        <v>278</v>
      </c>
      <c r="I447" t="s">
        <v>102</v>
      </c>
      <c r="J447" t="s">
        <v>103</v>
      </c>
      <c r="K447">
        <v>4450</v>
      </c>
      <c r="L447" t="s">
        <v>1277</v>
      </c>
      <c r="M447" t="s">
        <v>1277</v>
      </c>
      <c r="N447" t="s">
        <v>385</v>
      </c>
      <c r="O447" t="s">
        <v>385</v>
      </c>
      <c r="P447" t="s">
        <v>1266</v>
      </c>
      <c r="Q447" t="s">
        <v>1267</v>
      </c>
      <c r="R447" t="s">
        <v>1215</v>
      </c>
      <c r="S447" t="s">
        <v>283</v>
      </c>
      <c r="T447" t="s">
        <v>284</v>
      </c>
      <c r="U447" t="s">
        <v>285</v>
      </c>
      <c r="V447" t="s">
        <v>77</v>
      </c>
      <c r="W447" t="s">
        <v>285</v>
      </c>
      <c r="X447" t="s">
        <v>286</v>
      </c>
    </row>
    <row r="448" spans="1:24" x14ac:dyDescent="0.2">
      <c r="A448" t="s">
        <v>1278</v>
      </c>
      <c r="B448">
        <v>852.34699999999998</v>
      </c>
      <c r="C448" t="s">
        <v>60</v>
      </c>
      <c r="D448" t="s">
        <v>61</v>
      </c>
      <c r="E448" t="s">
        <v>1212</v>
      </c>
      <c r="F448" t="s">
        <v>1213</v>
      </c>
      <c r="G448" t="s">
        <v>156</v>
      </c>
      <c r="H448" t="s">
        <v>278</v>
      </c>
      <c r="I448" t="s">
        <v>131</v>
      </c>
      <c r="J448" t="s">
        <v>132</v>
      </c>
      <c r="K448">
        <v>4950</v>
      </c>
      <c r="L448" t="s">
        <v>1279</v>
      </c>
      <c r="M448" t="s">
        <v>1279</v>
      </c>
      <c r="N448" t="s">
        <v>385</v>
      </c>
      <c r="O448" t="s">
        <v>385</v>
      </c>
      <c r="P448" t="s">
        <v>1266</v>
      </c>
      <c r="Q448" t="s">
        <v>1267</v>
      </c>
      <c r="R448" t="s">
        <v>1215</v>
      </c>
      <c r="S448" t="s">
        <v>289</v>
      </c>
      <c r="T448" t="s">
        <v>136</v>
      </c>
      <c r="U448" t="s">
        <v>131</v>
      </c>
      <c r="V448" t="s">
        <v>77</v>
      </c>
      <c r="W448" t="s">
        <v>131</v>
      </c>
      <c r="X448" t="s">
        <v>137</v>
      </c>
    </row>
    <row r="449" spans="1:24" x14ac:dyDescent="0.2">
      <c r="A449" t="s">
        <v>1280</v>
      </c>
      <c r="B449">
        <v>852.34699999999998</v>
      </c>
      <c r="C449" t="s">
        <v>60</v>
      </c>
      <c r="D449" t="s">
        <v>156</v>
      </c>
      <c r="E449" t="s">
        <v>89</v>
      </c>
      <c r="F449" t="s">
        <v>606</v>
      </c>
      <c r="G449" t="s">
        <v>156</v>
      </c>
      <c r="H449" t="s">
        <v>278</v>
      </c>
      <c r="I449" t="s">
        <v>139</v>
      </c>
      <c r="J449" t="s">
        <v>140</v>
      </c>
      <c r="K449">
        <v>3950</v>
      </c>
      <c r="L449" t="s">
        <v>1281</v>
      </c>
      <c r="M449" t="s">
        <v>1281</v>
      </c>
      <c r="N449" t="s">
        <v>385</v>
      </c>
      <c r="O449" t="s">
        <v>385</v>
      </c>
      <c r="P449" t="s">
        <v>1266</v>
      </c>
      <c r="Q449" t="s">
        <v>1267</v>
      </c>
      <c r="R449" t="s">
        <v>608</v>
      </c>
      <c r="S449" t="s">
        <v>292</v>
      </c>
      <c r="T449" t="s">
        <v>144</v>
      </c>
      <c r="U449" t="s">
        <v>139</v>
      </c>
      <c r="V449" t="s">
        <v>99</v>
      </c>
      <c r="W449" t="s">
        <v>139</v>
      </c>
      <c r="X449" t="s">
        <v>145</v>
      </c>
    </row>
    <row r="450" spans="1:24" x14ac:dyDescent="0.2">
      <c r="A450" t="s">
        <v>1282</v>
      </c>
      <c r="B450">
        <v>852.34699999999998</v>
      </c>
      <c r="C450" t="s">
        <v>60</v>
      </c>
      <c r="D450" t="s">
        <v>61</v>
      </c>
      <c r="E450" t="s">
        <v>1212</v>
      </c>
      <c r="F450" t="s">
        <v>1213</v>
      </c>
      <c r="G450" t="s">
        <v>156</v>
      </c>
      <c r="H450" t="s">
        <v>278</v>
      </c>
      <c r="I450" t="s">
        <v>139</v>
      </c>
      <c r="J450" t="s">
        <v>140</v>
      </c>
      <c r="K450">
        <v>4950</v>
      </c>
      <c r="L450" t="s">
        <v>1283</v>
      </c>
      <c r="M450" t="s">
        <v>1283</v>
      </c>
      <c r="N450" t="s">
        <v>385</v>
      </c>
      <c r="O450" t="s">
        <v>385</v>
      </c>
      <c r="P450" t="s">
        <v>1266</v>
      </c>
      <c r="Q450" t="s">
        <v>1267</v>
      </c>
      <c r="R450" t="s">
        <v>1215</v>
      </c>
      <c r="S450" t="s">
        <v>292</v>
      </c>
      <c r="T450" t="s">
        <v>144</v>
      </c>
      <c r="U450" t="s">
        <v>139</v>
      </c>
      <c r="V450" t="s">
        <v>99</v>
      </c>
      <c r="W450" t="s">
        <v>139</v>
      </c>
      <c r="X450" t="s">
        <v>145</v>
      </c>
    </row>
    <row r="451" spans="1:24" x14ac:dyDescent="0.2">
      <c r="A451" t="s">
        <v>1284</v>
      </c>
      <c r="B451">
        <v>852.34699999999998</v>
      </c>
      <c r="C451" t="s">
        <v>60</v>
      </c>
      <c r="D451" t="s">
        <v>612</v>
      </c>
      <c r="E451" t="s">
        <v>613</v>
      </c>
      <c r="F451" t="s">
        <v>614</v>
      </c>
      <c r="G451" t="s">
        <v>156</v>
      </c>
      <c r="H451" t="s">
        <v>278</v>
      </c>
      <c r="I451" t="s">
        <v>139</v>
      </c>
      <c r="J451" t="s">
        <v>140</v>
      </c>
      <c r="K451">
        <v>5450</v>
      </c>
      <c r="L451" t="s">
        <v>1285</v>
      </c>
      <c r="M451" t="s">
        <v>1285</v>
      </c>
      <c r="N451" t="s">
        <v>385</v>
      </c>
      <c r="O451" t="s">
        <v>385</v>
      </c>
      <c r="P451" t="s">
        <v>1266</v>
      </c>
      <c r="Q451" t="s">
        <v>1267</v>
      </c>
      <c r="R451" t="s">
        <v>616</v>
      </c>
      <c r="S451" t="s">
        <v>292</v>
      </c>
      <c r="T451" t="s">
        <v>144</v>
      </c>
      <c r="U451" t="s">
        <v>139</v>
      </c>
      <c r="V451" t="s">
        <v>99</v>
      </c>
      <c r="W451" t="s">
        <v>139</v>
      </c>
      <c r="X451" t="s">
        <v>145</v>
      </c>
    </row>
    <row r="452" spans="1:24" x14ac:dyDescent="0.2">
      <c r="A452" t="s">
        <v>1286</v>
      </c>
      <c r="B452">
        <v>852.34699999999998</v>
      </c>
      <c r="C452" t="s">
        <v>60</v>
      </c>
      <c r="D452" t="s">
        <v>61</v>
      </c>
      <c r="E452" t="s">
        <v>445</v>
      </c>
      <c r="F452" t="s">
        <v>928</v>
      </c>
      <c r="G452" t="s">
        <v>111</v>
      </c>
      <c r="H452" t="s">
        <v>112</v>
      </c>
      <c r="I452" t="s">
        <v>65</v>
      </c>
      <c r="J452" t="s">
        <v>66</v>
      </c>
      <c r="K452">
        <v>6950</v>
      </c>
      <c r="L452" t="s">
        <v>1287</v>
      </c>
      <c r="M452" t="s">
        <v>1287</v>
      </c>
      <c r="N452" t="s">
        <v>385</v>
      </c>
      <c r="O452" t="s">
        <v>385</v>
      </c>
      <c r="P452" t="s">
        <v>1266</v>
      </c>
      <c r="Q452" t="s">
        <v>1267</v>
      </c>
      <c r="R452" t="s">
        <v>449</v>
      </c>
      <c r="S452" t="s">
        <v>114</v>
      </c>
      <c r="T452" t="s">
        <v>75</v>
      </c>
      <c r="U452" t="s">
        <v>76</v>
      </c>
      <c r="V452" t="s">
        <v>77</v>
      </c>
      <c r="W452" t="s">
        <v>76</v>
      </c>
      <c r="X452" t="s">
        <v>78</v>
      </c>
    </row>
    <row r="453" spans="1:24" x14ac:dyDescent="0.2">
      <c r="A453" t="s">
        <v>1288</v>
      </c>
      <c r="B453">
        <v>852.34699999999998</v>
      </c>
      <c r="C453" t="s">
        <v>60</v>
      </c>
      <c r="D453" t="s">
        <v>61</v>
      </c>
      <c r="E453" t="s">
        <v>1207</v>
      </c>
      <c r="F453" t="s">
        <v>1208</v>
      </c>
      <c r="G453" t="s">
        <v>111</v>
      </c>
      <c r="H453" t="s">
        <v>112</v>
      </c>
      <c r="I453" t="s">
        <v>82</v>
      </c>
      <c r="J453" t="s">
        <v>83</v>
      </c>
      <c r="K453">
        <v>7450</v>
      </c>
      <c r="L453" t="s">
        <v>1289</v>
      </c>
      <c r="M453" t="s">
        <v>1289</v>
      </c>
      <c r="N453" t="s">
        <v>385</v>
      </c>
      <c r="O453" t="s">
        <v>385</v>
      </c>
      <c r="P453" t="s">
        <v>1266</v>
      </c>
      <c r="Q453" t="s">
        <v>1267</v>
      </c>
      <c r="R453" t="s">
        <v>1210</v>
      </c>
      <c r="S453" t="s">
        <v>118</v>
      </c>
      <c r="T453" t="s">
        <v>75</v>
      </c>
      <c r="U453" t="s">
        <v>76</v>
      </c>
      <c r="V453" t="s">
        <v>77</v>
      </c>
      <c r="W453" t="s">
        <v>76</v>
      </c>
      <c r="X453" t="s">
        <v>78</v>
      </c>
    </row>
    <row r="454" spans="1:24" x14ac:dyDescent="0.2">
      <c r="A454" t="s">
        <v>1290</v>
      </c>
      <c r="B454">
        <v>852.34699999999998</v>
      </c>
      <c r="C454" t="s">
        <v>60</v>
      </c>
      <c r="D454" t="s">
        <v>61</v>
      </c>
      <c r="E454" t="s">
        <v>1212</v>
      </c>
      <c r="F454" t="s">
        <v>1213</v>
      </c>
      <c r="G454" t="s">
        <v>111</v>
      </c>
      <c r="H454" t="s">
        <v>112</v>
      </c>
      <c r="I454" t="s">
        <v>91</v>
      </c>
      <c r="J454" t="s">
        <v>92</v>
      </c>
      <c r="K454">
        <v>4550</v>
      </c>
      <c r="L454" t="s">
        <v>1291</v>
      </c>
      <c r="M454" t="s">
        <v>1291</v>
      </c>
      <c r="N454" t="s">
        <v>385</v>
      </c>
      <c r="O454" t="s">
        <v>385</v>
      </c>
      <c r="P454" t="s">
        <v>1266</v>
      </c>
      <c r="Q454" t="s">
        <v>1267</v>
      </c>
      <c r="R454" t="s">
        <v>1215</v>
      </c>
      <c r="S454" t="s">
        <v>122</v>
      </c>
      <c r="T454" t="s">
        <v>97</v>
      </c>
      <c r="U454" t="s">
        <v>98</v>
      </c>
      <c r="V454" t="s">
        <v>99</v>
      </c>
      <c r="W454" t="s">
        <v>98</v>
      </c>
      <c r="X454" t="s">
        <v>100</v>
      </c>
    </row>
    <row r="455" spans="1:24" x14ac:dyDescent="0.2">
      <c r="A455" t="s">
        <v>1292</v>
      </c>
      <c r="B455">
        <v>852.34699999999998</v>
      </c>
      <c r="C455" t="s">
        <v>60</v>
      </c>
      <c r="D455" t="s">
        <v>61</v>
      </c>
      <c r="E455" t="s">
        <v>1212</v>
      </c>
      <c r="F455" t="s">
        <v>1213</v>
      </c>
      <c r="G455" t="s">
        <v>111</v>
      </c>
      <c r="H455" t="s">
        <v>112</v>
      </c>
      <c r="I455" t="s">
        <v>102</v>
      </c>
      <c r="J455" t="s">
        <v>103</v>
      </c>
      <c r="K455">
        <v>4450</v>
      </c>
      <c r="L455" t="s">
        <v>1293</v>
      </c>
      <c r="M455" t="s">
        <v>1293</v>
      </c>
      <c r="N455" t="s">
        <v>385</v>
      </c>
      <c r="O455" t="s">
        <v>385</v>
      </c>
      <c r="P455" t="s">
        <v>1266</v>
      </c>
      <c r="Q455" t="s">
        <v>1267</v>
      </c>
      <c r="R455" t="s">
        <v>1215</v>
      </c>
      <c r="S455" t="s">
        <v>126</v>
      </c>
      <c r="T455" t="s">
        <v>127</v>
      </c>
      <c r="U455" t="s">
        <v>128</v>
      </c>
      <c r="V455" t="s">
        <v>77</v>
      </c>
      <c r="W455" t="s">
        <v>128</v>
      </c>
      <c r="X455" t="s">
        <v>129</v>
      </c>
    </row>
    <row r="456" spans="1:24" x14ac:dyDescent="0.2">
      <c r="A456" t="s">
        <v>1294</v>
      </c>
      <c r="B456">
        <v>852.34699999999998</v>
      </c>
      <c r="C456" t="s">
        <v>60</v>
      </c>
      <c r="D456" t="s">
        <v>61</v>
      </c>
      <c r="E456" t="s">
        <v>1212</v>
      </c>
      <c r="F456" t="s">
        <v>1213</v>
      </c>
      <c r="G456" t="s">
        <v>111</v>
      </c>
      <c r="H456" t="s">
        <v>112</v>
      </c>
      <c r="I456" t="s">
        <v>131</v>
      </c>
      <c r="J456" t="s">
        <v>132</v>
      </c>
      <c r="K456">
        <v>4950</v>
      </c>
      <c r="L456" t="s">
        <v>1295</v>
      </c>
      <c r="M456" t="s">
        <v>1295</v>
      </c>
      <c r="N456" t="s">
        <v>385</v>
      </c>
      <c r="O456" t="s">
        <v>385</v>
      </c>
      <c r="P456" t="s">
        <v>1266</v>
      </c>
      <c r="Q456" t="s">
        <v>1267</v>
      </c>
      <c r="R456" t="s">
        <v>1215</v>
      </c>
      <c r="S456" t="s">
        <v>135</v>
      </c>
      <c r="T456" t="s">
        <v>136</v>
      </c>
      <c r="U456" t="s">
        <v>131</v>
      </c>
      <c r="V456" t="s">
        <v>77</v>
      </c>
      <c r="W456" t="s">
        <v>131</v>
      </c>
      <c r="X456" t="s">
        <v>137</v>
      </c>
    </row>
    <row r="457" spans="1:24" x14ac:dyDescent="0.2">
      <c r="A457" t="s">
        <v>1296</v>
      </c>
      <c r="B457">
        <v>852.34699999999998</v>
      </c>
      <c r="C457" t="s">
        <v>60</v>
      </c>
      <c r="D457" t="s">
        <v>156</v>
      </c>
      <c r="E457" t="s">
        <v>89</v>
      </c>
      <c r="F457" t="s">
        <v>606</v>
      </c>
      <c r="G457" t="s">
        <v>111</v>
      </c>
      <c r="H457" t="s">
        <v>112</v>
      </c>
      <c r="I457" t="s">
        <v>139</v>
      </c>
      <c r="J457" t="s">
        <v>140</v>
      </c>
      <c r="K457">
        <v>3950</v>
      </c>
      <c r="L457" t="s">
        <v>1297</v>
      </c>
      <c r="M457" t="s">
        <v>1297</v>
      </c>
      <c r="N457" t="s">
        <v>385</v>
      </c>
      <c r="O457" t="s">
        <v>385</v>
      </c>
      <c r="P457" t="s">
        <v>1266</v>
      </c>
      <c r="Q457" t="s">
        <v>1267</v>
      </c>
      <c r="R457" t="s">
        <v>608</v>
      </c>
      <c r="S457" t="s">
        <v>143</v>
      </c>
      <c r="T457" t="s">
        <v>144</v>
      </c>
      <c r="U457" t="s">
        <v>139</v>
      </c>
      <c r="V457" t="s">
        <v>99</v>
      </c>
      <c r="W457" t="s">
        <v>139</v>
      </c>
      <c r="X457" t="s">
        <v>145</v>
      </c>
    </row>
    <row r="458" spans="1:24" x14ac:dyDescent="0.2">
      <c r="A458" t="s">
        <v>1298</v>
      </c>
      <c r="B458">
        <v>852.34699999999998</v>
      </c>
      <c r="C458" t="s">
        <v>60</v>
      </c>
      <c r="D458" t="s">
        <v>61</v>
      </c>
      <c r="E458" t="s">
        <v>1212</v>
      </c>
      <c r="F458" t="s">
        <v>1213</v>
      </c>
      <c r="G458" t="s">
        <v>111</v>
      </c>
      <c r="H458" t="s">
        <v>112</v>
      </c>
      <c r="I458" t="s">
        <v>139</v>
      </c>
      <c r="J458" t="s">
        <v>140</v>
      </c>
      <c r="K458">
        <v>4950</v>
      </c>
      <c r="L458" t="s">
        <v>1299</v>
      </c>
      <c r="M458" t="s">
        <v>1299</v>
      </c>
      <c r="N458" t="s">
        <v>385</v>
      </c>
      <c r="O458" t="s">
        <v>385</v>
      </c>
      <c r="P458" t="s">
        <v>1266</v>
      </c>
      <c r="Q458" t="s">
        <v>1267</v>
      </c>
      <c r="R458" t="s">
        <v>1215</v>
      </c>
      <c r="S458" t="s">
        <v>143</v>
      </c>
      <c r="T458" t="s">
        <v>144</v>
      </c>
      <c r="U458" t="s">
        <v>139</v>
      </c>
      <c r="V458" t="s">
        <v>99</v>
      </c>
      <c r="W458" t="s">
        <v>139</v>
      </c>
      <c r="X458" t="s">
        <v>145</v>
      </c>
    </row>
    <row r="459" spans="1:24" x14ac:dyDescent="0.2">
      <c r="A459" t="s">
        <v>1300</v>
      </c>
      <c r="B459">
        <v>852.34699999999998</v>
      </c>
      <c r="C459" t="s">
        <v>60</v>
      </c>
      <c r="D459" t="s">
        <v>61</v>
      </c>
      <c r="E459" t="s">
        <v>1212</v>
      </c>
      <c r="F459" t="s">
        <v>1213</v>
      </c>
      <c r="G459" t="s">
        <v>306</v>
      </c>
      <c r="H459" t="s">
        <v>307</v>
      </c>
      <c r="I459" t="s">
        <v>91</v>
      </c>
      <c r="J459" t="s">
        <v>92</v>
      </c>
      <c r="K459">
        <v>5250</v>
      </c>
      <c r="L459" t="s">
        <v>1301</v>
      </c>
      <c r="M459" t="s">
        <v>1301</v>
      </c>
      <c r="N459" t="s">
        <v>385</v>
      </c>
      <c r="O459" t="s">
        <v>385</v>
      </c>
      <c r="P459" t="s">
        <v>1266</v>
      </c>
      <c r="Q459" t="s">
        <v>1267</v>
      </c>
      <c r="R459" t="s">
        <v>1215</v>
      </c>
      <c r="S459" t="s">
        <v>309</v>
      </c>
      <c r="T459" t="s">
        <v>97</v>
      </c>
      <c r="U459" t="s">
        <v>98</v>
      </c>
      <c r="V459" t="s">
        <v>99</v>
      </c>
      <c r="W459" t="s">
        <v>98</v>
      </c>
      <c r="X459" t="s">
        <v>100</v>
      </c>
    </row>
    <row r="460" spans="1:24" x14ac:dyDescent="0.2">
      <c r="A460" t="s">
        <v>1302</v>
      </c>
      <c r="B460">
        <v>852.34699999999998</v>
      </c>
      <c r="C460" t="s">
        <v>60</v>
      </c>
      <c r="D460" t="s">
        <v>61</v>
      </c>
      <c r="E460" t="s">
        <v>1212</v>
      </c>
      <c r="F460" t="s">
        <v>1213</v>
      </c>
      <c r="G460" t="s">
        <v>306</v>
      </c>
      <c r="H460" t="s">
        <v>307</v>
      </c>
      <c r="I460" t="s">
        <v>102</v>
      </c>
      <c r="J460" t="s">
        <v>103</v>
      </c>
      <c r="K460">
        <v>5150</v>
      </c>
      <c r="L460" t="s">
        <v>1303</v>
      </c>
      <c r="M460" t="s">
        <v>1303</v>
      </c>
      <c r="N460" t="s">
        <v>385</v>
      </c>
      <c r="O460" t="s">
        <v>385</v>
      </c>
      <c r="P460" t="s">
        <v>1266</v>
      </c>
      <c r="Q460" t="s">
        <v>1267</v>
      </c>
      <c r="R460" t="s">
        <v>1215</v>
      </c>
      <c r="S460" t="s">
        <v>312</v>
      </c>
      <c r="T460" t="s">
        <v>313</v>
      </c>
      <c r="U460" t="s">
        <v>314</v>
      </c>
      <c r="V460" t="s">
        <v>77</v>
      </c>
      <c r="W460" t="s">
        <v>314</v>
      </c>
      <c r="X460" t="s">
        <v>315</v>
      </c>
    </row>
    <row r="461" spans="1:24" x14ac:dyDescent="0.2">
      <c r="A461" t="s">
        <v>1304</v>
      </c>
      <c r="B461">
        <v>852.34699999999998</v>
      </c>
      <c r="C461" t="s">
        <v>60</v>
      </c>
      <c r="D461" t="s">
        <v>61</v>
      </c>
      <c r="E461" t="s">
        <v>1212</v>
      </c>
      <c r="F461" t="s">
        <v>1213</v>
      </c>
      <c r="G461" t="s">
        <v>306</v>
      </c>
      <c r="H461" t="s">
        <v>307</v>
      </c>
      <c r="I461" t="s">
        <v>131</v>
      </c>
      <c r="J461" t="s">
        <v>132</v>
      </c>
      <c r="K461">
        <v>5650</v>
      </c>
      <c r="L461" t="s">
        <v>1305</v>
      </c>
      <c r="M461" t="s">
        <v>1305</v>
      </c>
      <c r="N461" t="s">
        <v>385</v>
      </c>
      <c r="O461" t="s">
        <v>385</v>
      </c>
      <c r="P461" t="s">
        <v>1266</v>
      </c>
      <c r="Q461" t="s">
        <v>1267</v>
      </c>
      <c r="R461" t="s">
        <v>1215</v>
      </c>
      <c r="S461" t="s">
        <v>318</v>
      </c>
      <c r="T461" t="s">
        <v>136</v>
      </c>
      <c r="U461" t="s">
        <v>131</v>
      </c>
      <c r="V461" t="s">
        <v>77</v>
      </c>
      <c r="W461" t="s">
        <v>131</v>
      </c>
      <c r="X461" t="s">
        <v>137</v>
      </c>
    </row>
    <row r="462" spans="1:24" x14ac:dyDescent="0.2">
      <c r="A462" t="s">
        <v>1306</v>
      </c>
      <c r="B462">
        <v>852.34699999999998</v>
      </c>
      <c r="C462" t="s">
        <v>60</v>
      </c>
      <c r="D462" t="s">
        <v>156</v>
      </c>
      <c r="E462" t="s">
        <v>89</v>
      </c>
      <c r="F462" t="s">
        <v>606</v>
      </c>
      <c r="G462" t="s">
        <v>306</v>
      </c>
      <c r="H462" t="s">
        <v>307</v>
      </c>
      <c r="I462" t="s">
        <v>139</v>
      </c>
      <c r="J462" t="s">
        <v>140</v>
      </c>
      <c r="K462">
        <v>4650</v>
      </c>
      <c r="L462" t="s">
        <v>1307</v>
      </c>
      <c r="M462" t="s">
        <v>1307</v>
      </c>
      <c r="N462" t="s">
        <v>385</v>
      </c>
      <c r="O462" t="s">
        <v>385</v>
      </c>
      <c r="P462" t="s">
        <v>1266</v>
      </c>
      <c r="Q462" t="s">
        <v>1267</v>
      </c>
      <c r="R462" t="s">
        <v>608</v>
      </c>
      <c r="S462" t="s">
        <v>321</v>
      </c>
      <c r="T462" t="s">
        <v>144</v>
      </c>
      <c r="U462" t="s">
        <v>139</v>
      </c>
      <c r="V462" t="s">
        <v>99</v>
      </c>
      <c r="W462" t="s">
        <v>139</v>
      </c>
      <c r="X462" t="s">
        <v>145</v>
      </c>
    </row>
    <row r="463" spans="1:24" x14ac:dyDescent="0.2">
      <c r="A463" t="s">
        <v>1308</v>
      </c>
      <c r="B463">
        <v>852.34699999999998</v>
      </c>
      <c r="C463" t="s">
        <v>60</v>
      </c>
      <c r="D463" t="s">
        <v>61</v>
      </c>
      <c r="E463" t="s">
        <v>1212</v>
      </c>
      <c r="F463" t="s">
        <v>1213</v>
      </c>
      <c r="G463" t="s">
        <v>306</v>
      </c>
      <c r="H463" t="s">
        <v>307</v>
      </c>
      <c r="I463" t="s">
        <v>139</v>
      </c>
      <c r="J463" t="s">
        <v>140</v>
      </c>
      <c r="K463">
        <v>5650</v>
      </c>
      <c r="L463" t="s">
        <v>1309</v>
      </c>
      <c r="M463" t="s">
        <v>1309</v>
      </c>
      <c r="N463" t="s">
        <v>385</v>
      </c>
      <c r="O463" t="s">
        <v>385</v>
      </c>
      <c r="P463" t="s">
        <v>1266</v>
      </c>
      <c r="Q463" t="s">
        <v>1267</v>
      </c>
      <c r="R463" t="s">
        <v>1215</v>
      </c>
      <c r="S463" t="s">
        <v>321</v>
      </c>
      <c r="T463" t="s">
        <v>144</v>
      </c>
      <c r="U463" t="s">
        <v>139</v>
      </c>
      <c r="V463" t="s">
        <v>99</v>
      </c>
      <c r="W463" t="s">
        <v>139</v>
      </c>
      <c r="X463" t="s">
        <v>145</v>
      </c>
    </row>
    <row r="464" spans="1:24" x14ac:dyDescent="0.2">
      <c r="A464" t="s">
        <v>1310</v>
      </c>
      <c r="B464">
        <v>852.34699999999998</v>
      </c>
      <c r="C464" t="s">
        <v>60</v>
      </c>
      <c r="D464" t="s">
        <v>612</v>
      </c>
      <c r="E464" t="s">
        <v>613</v>
      </c>
      <c r="F464" t="s">
        <v>614</v>
      </c>
      <c r="H464" t="s">
        <v>64</v>
      </c>
      <c r="I464" t="s">
        <v>642</v>
      </c>
      <c r="J464" t="s">
        <v>643</v>
      </c>
      <c r="K464">
        <v>4400</v>
      </c>
      <c r="L464" t="s">
        <v>1311</v>
      </c>
      <c r="M464" t="s">
        <v>1311</v>
      </c>
      <c r="N464" t="s">
        <v>385</v>
      </c>
      <c r="O464" t="s">
        <v>385</v>
      </c>
      <c r="P464" t="s">
        <v>1266</v>
      </c>
      <c r="Q464" t="s">
        <v>1267</v>
      </c>
      <c r="R464" t="s">
        <v>616</v>
      </c>
      <c r="S464" t="s">
        <v>645</v>
      </c>
      <c r="T464" t="s">
        <v>646</v>
      </c>
      <c r="U464" t="s">
        <v>647</v>
      </c>
      <c r="V464" t="s">
        <v>77</v>
      </c>
      <c r="W464" t="s">
        <v>647</v>
      </c>
      <c r="X464" t="s">
        <v>648</v>
      </c>
    </row>
    <row r="465" spans="1:24" x14ac:dyDescent="0.2">
      <c r="A465" t="s">
        <v>1312</v>
      </c>
      <c r="B465">
        <v>852.34699999999998</v>
      </c>
      <c r="C465" t="s">
        <v>60</v>
      </c>
      <c r="D465" t="s">
        <v>612</v>
      </c>
      <c r="E465" t="s">
        <v>650</v>
      </c>
      <c r="F465" t="s">
        <v>651</v>
      </c>
      <c r="H465" t="s">
        <v>64</v>
      </c>
      <c r="I465" t="s">
        <v>65</v>
      </c>
      <c r="J465" t="s">
        <v>66</v>
      </c>
      <c r="K465">
        <v>6750</v>
      </c>
      <c r="L465" t="s">
        <v>1313</v>
      </c>
      <c r="M465" t="s">
        <v>1313</v>
      </c>
      <c r="N465" t="s">
        <v>385</v>
      </c>
      <c r="O465" t="s">
        <v>385</v>
      </c>
      <c r="P465" t="s">
        <v>1266</v>
      </c>
      <c r="Q465" t="s">
        <v>1267</v>
      </c>
      <c r="R465" t="s">
        <v>653</v>
      </c>
      <c r="S465" t="s">
        <v>74</v>
      </c>
      <c r="T465" t="s">
        <v>75</v>
      </c>
      <c r="U465" t="s">
        <v>76</v>
      </c>
      <c r="V465" t="s">
        <v>77</v>
      </c>
      <c r="W465" t="s">
        <v>76</v>
      </c>
      <c r="X465" t="s">
        <v>78</v>
      </c>
    </row>
    <row r="466" spans="1:24" x14ac:dyDescent="0.2">
      <c r="A466" t="s">
        <v>1314</v>
      </c>
      <c r="B466">
        <v>852.34699999999998</v>
      </c>
      <c r="C466" t="s">
        <v>60</v>
      </c>
      <c r="D466" t="s">
        <v>612</v>
      </c>
      <c r="E466" t="s">
        <v>613</v>
      </c>
      <c r="F466" t="s">
        <v>614</v>
      </c>
      <c r="H466" t="s">
        <v>64</v>
      </c>
      <c r="I466" t="s">
        <v>91</v>
      </c>
      <c r="J466" t="s">
        <v>92</v>
      </c>
      <c r="K466">
        <v>4350</v>
      </c>
      <c r="L466" t="s">
        <v>1315</v>
      </c>
      <c r="M466" t="s">
        <v>1315</v>
      </c>
      <c r="N466" t="s">
        <v>385</v>
      </c>
      <c r="O466" t="s">
        <v>385</v>
      </c>
      <c r="P466" t="s">
        <v>1266</v>
      </c>
      <c r="Q466" t="s">
        <v>1267</v>
      </c>
      <c r="R466" t="s">
        <v>616</v>
      </c>
      <c r="S466" t="s">
        <v>96</v>
      </c>
      <c r="T466" t="s">
        <v>97</v>
      </c>
      <c r="U466" t="s">
        <v>98</v>
      </c>
      <c r="V466" t="s">
        <v>99</v>
      </c>
      <c r="W466" t="s">
        <v>98</v>
      </c>
      <c r="X466" t="s">
        <v>100</v>
      </c>
    </row>
    <row r="467" spans="1:24" x14ac:dyDescent="0.2">
      <c r="A467" t="s">
        <v>1316</v>
      </c>
      <c r="B467">
        <v>852.34699999999998</v>
      </c>
      <c r="C467" t="s">
        <v>60</v>
      </c>
      <c r="D467" t="s">
        <v>612</v>
      </c>
      <c r="E467" t="s">
        <v>613</v>
      </c>
      <c r="F467" t="s">
        <v>614</v>
      </c>
      <c r="H467" t="s">
        <v>64</v>
      </c>
      <c r="I467" t="s">
        <v>102</v>
      </c>
      <c r="J467" t="s">
        <v>103</v>
      </c>
      <c r="K467">
        <v>4250</v>
      </c>
      <c r="L467" t="s">
        <v>1317</v>
      </c>
      <c r="M467" t="s">
        <v>1317</v>
      </c>
      <c r="N467" t="s">
        <v>385</v>
      </c>
      <c r="O467" t="s">
        <v>385</v>
      </c>
      <c r="P467" t="s">
        <v>1266</v>
      </c>
      <c r="Q467" t="s">
        <v>1267</v>
      </c>
      <c r="R467" t="s">
        <v>616</v>
      </c>
      <c r="S467" t="s">
        <v>106</v>
      </c>
      <c r="T467" t="s">
        <v>107</v>
      </c>
      <c r="U467" t="s">
        <v>108</v>
      </c>
      <c r="V467" t="s">
        <v>77</v>
      </c>
      <c r="W467" t="s">
        <v>108</v>
      </c>
      <c r="X467" t="s">
        <v>109</v>
      </c>
    </row>
    <row r="468" spans="1:24" x14ac:dyDescent="0.2">
      <c r="A468" t="s">
        <v>1318</v>
      </c>
      <c r="B468">
        <v>852.34699999999998</v>
      </c>
      <c r="C468" t="s">
        <v>60</v>
      </c>
      <c r="D468" t="s">
        <v>612</v>
      </c>
      <c r="E468" t="s">
        <v>613</v>
      </c>
      <c r="F468" t="s">
        <v>614</v>
      </c>
      <c r="H468" t="s">
        <v>64</v>
      </c>
      <c r="I468" t="s">
        <v>131</v>
      </c>
      <c r="J468" t="s">
        <v>132</v>
      </c>
      <c r="K468">
        <v>4750</v>
      </c>
      <c r="L468" t="s">
        <v>1319</v>
      </c>
      <c r="M468" t="s">
        <v>1319</v>
      </c>
      <c r="N468" t="s">
        <v>385</v>
      </c>
      <c r="O468" t="s">
        <v>385</v>
      </c>
      <c r="P468" t="s">
        <v>1266</v>
      </c>
      <c r="Q468" t="s">
        <v>1267</v>
      </c>
      <c r="R468" t="s">
        <v>616</v>
      </c>
      <c r="S468" t="s">
        <v>149</v>
      </c>
      <c r="T468" t="s">
        <v>136</v>
      </c>
      <c r="U468" t="s">
        <v>131</v>
      </c>
      <c r="V468" t="s">
        <v>77</v>
      </c>
      <c r="W468" t="s">
        <v>131</v>
      </c>
      <c r="X468" t="s">
        <v>137</v>
      </c>
    </row>
    <row r="469" spans="1:24" x14ac:dyDescent="0.2">
      <c r="A469" t="s">
        <v>1320</v>
      </c>
      <c r="B469">
        <v>852.34699999999998</v>
      </c>
      <c r="C469" t="s">
        <v>60</v>
      </c>
      <c r="D469" t="s">
        <v>61</v>
      </c>
      <c r="E469" t="s">
        <v>1212</v>
      </c>
      <c r="F469" t="s">
        <v>1213</v>
      </c>
      <c r="H469" t="s">
        <v>64</v>
      </c>
      <c r="I469" t="s">
        <v>131</v>
      </c>
      <c r="J469" t="s">
        <v>132</v>
      </c>
      <c r="K469">
        <v>4250</v>
      </c>
      <c r="L469" t="s">
        <v>1321</v>
      </c>
      <c r="M469" t="s">
        <v>1321</v>
      </c>
      <c r="N469" t="s">
        <v>385</v>
      </c>
      <c r="O469" t="s">
        <v>385</v>
      </c>
      <c r="P469" t="s">
        <v>1266</v>
      </c>
      <c r="Q469" t="s">
        <v>1267</v>
      </c>
      <c r="R469" t="s">
        <v>1215</v>
      </c>
      <c r="S469" t="s">
        <v>149</v>
      </c>
      <c r="T469" t="s">
        <v>136</v>
      </c>
      <c r="U469" t="s">
        <v>131</v>
      </c>
      <c r="V469" t="s">
        <v>77</v>
      </c>
      <c r="W469" t="s">
        <v>131</v>
      </c>
      <c r="X469" t="s">
        <v>137</v>
      </c>
    </row>
    <row r="470" spans="1:24" x14ac:dyDescent="0.2">
      <c r="A470" t="s">
        <v>1322</v>
      </c>
      <c r="B470">
        <v>852.34699999999998</v>
      </c>
      <c r="C470" t="s">
        <v>60</v>
      </c>
      <c r="D470" t="s">
        <v>156</v>
      </c>
      <c r="E470" t="s">
        <v>89</v>
      </c>
      <c r="F470" t="s">
        <v>606</v>
      </c>
      <c r="H470" t="s">
        <v>64</v>
      </c>
      <c r="I470" t="s">
        <v>139</v>
      </c>
      <c r="J470" t="s">
        <v>140</v>
      </c>
      <c r="K470">
        <v>3250</v>
      </c>
      <c r="L470" t="s">
        <v>1323</v>
      </c>
      <c r="M470" t="s">
        <v>1323</v>
      </c>
      <c r="N470" t="s">
        <v>385</v>
      </c>
      <c r="O470" t="s">
        <v>385</v>
      </c>
      <c r="P470" t="s">
        <v>1266</v>
      </c>
      <c r="Q470" t="s">
        <v>1267</v>
      </c>
      <c r="R470" t="s">
        <v>608</v>
      </c>
      <c r="S470" t="s">
        <v>153</v>
      </c>
      <c r="T470" t="s">
        <v>144</v>
      </c>
      <c r="U470" t="s">
        <v>139</v>
      </c>
      <c r="V470" t="s">
        <v>99</v>
      </c>
      <c r="W470" t="s">
        <v>139</v>
      </c>
      <c r="X470" t="s">
        <v>145</v>
      </c>
    </row>
    <row r="471" spans="1:24" x14ac:dyDescent="0.2">
      <c r="A471" t="s">
        <v>1324</v>
      </c>
      <c r="B471">
        <v>852.34699999999998</v>
      </c>
      <c r="C471" t="s">
        <v>60</v>
      </c>
      <c r="D471" t="s">
        <v>61</v>
      </c>
      <c r="E471" t="s">
        <v>1212</v>
      </c>
      <c r="F471" t="s">
        <v>1213</v>
      </c>
      <c r="H471" t="s">
        <v>64</v>
      </c>
      <c r="I471" t="s">
        <v>139</v>
      </c>
      <c r="J471" t="s">
        <v>140</v>
      </c>
      <c r="K471">
        <v>4250</v>
      </c>
      <c r="L471" t="s">
        <v>1325</v>
      </c>
      <c r="M471" t="s">
        <v>1325</v>
      </c>
      <c r="N471" t="s">
        <v>385</v>
      </c>
      <c r="O471" t="s">
        <v>385</v>
      </c>
      <c r="P471" t="s">
        <v>1266</v>
      </c>
      <c r="Q471" t="s">
        <v>1267</v>
      </c>
      <c r="R471" t="s">
        <v>1215</v>
      </c>
      <c r="S471" t="s">
        <v>153</v>
      </c>
      <c r="T471" t="s">
        <v>144</v>
      </c>
      <c r="U471" t="s">
        <v>139</v>
      </c>
      <c r="V471" t="s">
        <v>99</v>
      </c>
      <c r="W471" t="s">
        <v>139</v>
      </c>
      <c r="X471" t="s">
        <v>145</v>
      </c>
    </row>
    <row r="472" spans="1:24" x14ac:dyDescent="0.2">
      <c r="A472" t="s">
        <v>1326</v>
      </c>
      <c r="B472">
        <v>852.34699999999998</v>
      </c>
      <c r="C472" t="s">
        <v>60</v>
      </c>
      <c r="D472" t="s">
        <v>612</v>
      </c>
      <c r="E472" t="s">
        <v>613</v>
      </c>
      <c r="F472" t="s">
        <v>614</v>
      </c>
      <c r="G472" t="s">
        <v>156</v>
      </c>
      <c r="H472" t="s">
        <v>278</v>
      </c>
      <c r="I472" t="s">
        <v>91</v>
      </c>
      <c r="J472" t="s">
        <v>92</v>
      </c>
      <c r="K472">
        <v>5050</v>
      </c>
      <c r="L472" t="s">
        <v>1327</v>
      </c>
      <c r="M472" t="s">
        <v>1327</v>
      </c>
      <c r="N472" t="s">
        <v>385</v>
      </c>
      <c r="O472" t="s">
        <v>385</v>
      </c>
      <c r="P472" t="s">
        <v>1266</v>
      </c>
      <c r="Q472" t="s">
        <v>1267</v>
      </c>
      <c r="R472" t="s">
        <v>616</v>
      </c>
      <c r="S472" t="s">
        <v>280</v>
      </c>
      <c r="T472" t="s">
        <v>97</v>
      </c>
      <c r="U472" t="s">
        <v>98</v>
      </c>
      <c r="V472" t="s">
        <v>99</v>
      </c>
      <c r="W472" t="s">
        <v>98</v>
      </c>
      <c r="X472" t="s">
        <v>100</v>
      </c>
    </row>
    <row r="473" spans="1:24" x14ac:dyDescent="0.2">
      <c r="A473" t="s">
        <v>1328</v>
      </c>
      <c r="B473">
        <v>852.34699999999998</v>
      </c>
      <c r="C473" t="s">
        <v>60</v>
      </c>
      <c r="D473" t="s">
        <v>612</v>
      </c>
      <c r="E473" t="s">
        <v>613</v>
      </c>
      <c r="F473" t="s">
        <v>614</v>
      </c>
      <c r="G473" t="s">
        <v>156</v>
      </c>
      <c r="H473" t="s">
        <v>278</v>
      </c>
      <c r="I473" t="s">
        <v>102</v>
      </c>
      <c r="J473" t="s">
        <v>103</v>
      </c>
      <c r="K473">
        <v>4950</v>
      </c>
      <c r="L473" t="s">
        <v>1329</v>
      </c>
      <c r="M473" t="s">
        <v>1329</v>
      </c>
      <c r="N473" t="s">
        <v>385</v>
      </c>
      <c r="O473" t="s">
        <v>385</v>
      </c>
      <c r="P473" t="s">
        <v>1266</v>
      </c>
      <c r="Q473" t="s">
        <v>1267</v>
      </c>
      <c r="R473" t="s">
        <v>616</v>
      </c>
      <c r="S473" t="s">
        <v>283</v>
      </c>
      <c r="T473" t="s">
        <v>284</v>
      </c>
      <c r="U473" t="s">
        <v>285</v>
      </c>
      <c r="V473" t="s">
        <v>77</v>
      </c>
      <c r="W473" t="s">
        <v>285</v>
      </c>
      <c r="X473" t="s">
        <v>286</v>
      </c>
    </row>
    <row r="474" spans="1:24" x14ac:dyDescent="0.2">
      <c r="A474" t="s">
        <v>1330</v>
      </c>
      <c r="B474">
        <v>852.34699999999998</v>
      </c>
      <c r="C474" t="s">
        <v>60</v>
      </c>
      <c r="D474" t="s">
        <v>612</v>
      </c>
      <c r="E474" t="s">
        <v>613</v>
      </c>
      <c r="F474" t="s">
        <v>614</v>
      </c>
      <c r="G474" t="s">
        <v>156</v>
      </c>
      <c r="H474" t="s">
        <v>278</v>
      </c>
      <c r="I474" t="s">
        <v>131</v>
      </c>
      <c r="J474" t="s">
        <v>132</v>
      </c>
      <c r="K474">
        <v>5450</v>
      </c>
      <c r="L474" t="s">
        <v>1331</v>
      </c>
      <c r="M474" t="s">
        <v>1331</v>
      </c>
      <c r="N474" t="s">
        <v>385</v>
      </c>
      <c r="O474" t="s">
        <v>385</v>
      </c>
      <c r="P474" t="s">
        <v>1266</v>
      </c>
      <c r="Q474" t="s">
        <v>1267</v>
      </c>
      <c r="R474" t="s">
        <v>616</v>
      </c>
      <c r="S474" t="s">
        <v>289</v>
      </c>
      <c r="T474" t="s">
        <v>136</v>
      </c>
      <c r="U474" t="s">
        <v>131</v>
      </c>
      <c r="V474" t="s">
        <v>77</v>
      </c>
      <c r="W474" t="s">
        <v>131</v>
      </c>
      <c r="X474" t="s">
        <v>137</v>
      </c>
    </row>
    <row r="475" spans="1:24" x14ac:dyDescent="0.2">
      <c r="A475" t="s">
        <v>1332</v>
      </c>
      <c r="B475">
        <v>852.34699999999998</v>
      </c>
      <c r="C475" t="s">
        <v>60</v>
      </c>
      <c r="D475" t="s">
        <v>612</v>
      </c>
      <c r="E475" t="s">
        <v>613</v>
      </c>
      <c r="F475" t="s">
        <v>614</v>
      </c>
      <c r="H475" t="s">
        <v>64</v>
      </c>
      <c r="I475" t="s">
        <v>139</v>
      </c>
      <c r="J475" t="s">
        <v>140</v>
      </c>
      <c r="K475">
        <v>4750</v>
      </c>
      <c r="L475" t="s">
        <v>1333</v>
      </c>
      <c r="M475" t="s">
        <v>1333</v>
      </c>
      <c r="N475" t="s">
        <v>385</v>
      </c>
      <c r="O475" t="s">
        <v>385</v>
      </c>
      <c r="P475" t="s">
        <v>1266</v>
      </c>
      <c r="Q475" t="s">
        <v>1267</v>
      </c>
      <c r="R475" t="s">
        <v>616</v>
      </c>
      <c r="S475" t="s">
        <v>153</v>
      </c>
      <c r="T475" t="s">
        <v>144</v>
      </c>
      <c r="U475" t="s">
        <v>139</v>
      </c>
      <c r="V475" t="s">
        <v>99</v>
      </c>
      <c r="W475" t="s">
        <v>139</v>
      </c>
      <c r="X475" t="s">
        <v>145</v>
      </c>
    </row>
    <row r="476" spans="1:24" x14ac:dyDescent="0.2">
      <c r="A476" t="s">
        <v>1334</v>
      </c>
      <c r="B476">
        <v>852.34699999999998</v>
      </c>
      <c r="C476" t="s">
        <v>60</v>
      </c>
      <c r="D476" t="s">
        <v>156</v>
      </c>
      <c r="E476" t="s">
        <v>89</v>
      </c>
      <c r="F476" t="s">
        <v>606</v>
      </c>
      <c r="H476" t="s">
        <v>64</v>
      </c>
      <c r="I476" t="s">
        <v>642</v>
      </c>
      <c r="J476" t="s">
        <v>643</v>
      </c>
      <c r="K476">
        <v>2900</v>
      </c>
      <c r="L476" t="s">
        <v>1335</v>
      </c>
      <c r="M476" t="s">
        <v>1335</v>
      </c>
      <c r="N476" t="s">
        <v>385</v>
      </c>
      <c r="O476" t="s">
        <v>385</v>
      </c>
      <c r="P476" t="s">
        <v>1266</v>
      </c>
      <c r="Q476" t="s">
        <v>1267</v>
      </c>
      <c r="R476" t="s">
        <v>608</v>
      </c>
      <c r="S476" t="s">
        <v>645</v>
      </c>
      <c r="T476" t="s">
        <v>646</v>
      </c>
      <c r="U476" t="s">
        <v>647</v>
      </c>
      <c r="V476" t="s">
        <v>77</v>
      </c>
      <c r="W476" t="s">
        <v>647</v>
      </c>
      <c r="X476" t="s">
        <v>648</v>
      </c>
    </row>
    <row r="477" spans="1:24" x14ac:dyDescent="0.2">
      <c r="A477" t="s">
        <v>1336</v>
      </c>
      <c r="B477">
        <v>852.34699999999998</v>
      </c>
      <c r="C477" t="s">
        <v>60</v>
      </c>
      <c r="D477" t="s">
        <v>156</v>
      </c>
      <c r="E477" t="s">
        <v>62</v>
      </c>
      <c r="F477" t="s">
        <v>681</v>
      </c>
      <c r="H477" t="s">
        <v>64</v>
      </c>
      <c r="I477" t="s">
        <v>65</v>
      </c>
      <c r="J477" t="s">
        <v>66</v>
      </c>
      <c r="K477">
        <v>5250</v>
      </c>
      <c r="L477" t="s">
        <v>1337</v>
      </c>
      <c r="M477" t="s">
        <v>1337</v>
      </c>
      <c r="N477" t="s">
        <v>385</v>
      </c>
      <c r="O477" t="s">
        <v>385</v>
      </c>
      <c r="P477" t="s">
        <v>1266</v>
      </c>
      <c r="Q477" t="s">
        <v>1267</v>
      </c>
      <c r="R477" t="s">
        <v>683</v>
      </c>
      <c r="S477" t="s">
        <v>74</v>
      </c>
      <c r="T477" t="s">
        <v>75</v>
      </c>
      <c r="U477" t="s">
        <v>76</v>
      </c>
      <c r="V477" t="s">
        <v>77</v>
      </c>
      <c r="W477" t="s">
        <v>76</v>
      </c>
      <c r="X477" t="s">
        <v>78</v>
      </c>
    </row>
    <row r="478" spans="1:24" x14ac:dyDescent="0.2">
      <c r="A478" t="s">
        <v>1338</v>
      </c>
      <c r="B478">
        <v>852.34699999999998</v>
      </c>
      <c r="C478" t="s">
        <v>60</v>
      </c>
      <c r="D478" t="s">
        <v>156</v>
      </c>
      <c r="E478" t="s">
        <v>1339</v>
      </c>
      <c r="F478" t="s">
        <v>1340</v>
      </c>
      <c r="H478" t="s">
        <v>64</v>
      </c>
      <c r="I478" t="s">
        <v>82</v>
      </c>
      <c r="J478" t="s">
        <v>83</v>
      </c>
      <c r="K478">
        <v>5750</v>
      </c>
      <c r="L478" t="s">
        <v>1341</v>
      </c>
      <c r="M478" t="s">
        <v>1341</v>
      </c>
      <c r="N478" t="s">
        <v>385</v>
      </c>
      <c r="O478" t="s">
        <v>385</v>
      </c>
      <c r="P478" t="s">
        <v>1266</v>
      </c>
      <c r="Q478" t="s">
        <v>1267</v>
      </c>
      <c r="R478" t="s">
        <v>1342</v>
      </c>
      <c r="S478" t="s">
        <v>87</v>
      </c>
      <c r="T478" t="s">
        <v>75</v>
      </c>
      <c r="U478" t="s">
        <v>76</v>
      </c>
      <c r="V478" t="s">
        <v>77</v>
      </c>
      <c r="W478" t="s">
        <v>76</v>
      </c>
      <c r="X478" t="s">
        <v>78</v>
      </c>
    </row>
    <row r="479" spans="1:24" x14ac:dyDescent="0.2">
      <c r="A479" t="s">
        <v>1343</v>
      </c>
      <c r="B479">
        <v>852.34699999999998</v>
      </c>
      <c r="C479" t="s">
        <v>60</v>
      </c>
      <c r="D479" t="s">
        <v>156</v>
      </c>
      <c r="E479" t="s">
        <v>89</v>
      </c>
      <c r="F479" t="s">
        <v>606</v>
      </c>
      <c r="H479" t="s">
        <v>64</v>
      </c>
      <c r="I479" t="s">
        <v>91</v>
      </c>
      <c r="J479" t="s">
        <v>92</v>
      </c>
      <c r="K479">
        <v>2850</v>
      </c>
      <c r="L479" t="s">
        <v>1344</v>
      </c>
      <c r="M479" t="s">
        <v>1344</v>
      </c>
      <c r="N479" t="s">
        <v>385</v>
      </c>
      <c r="O479" t="s">
        <v>385</v>
      </c>
      <c r="P479" t="s">
        <v>1266</v>
      </c>
      <c r="Q479" t="s">
        <v>1267</v>
      </c>
      <c r="R479" t="s">
        <v>608</v>
      </c>
      <c r="S479" t="s">
        <v>96</v>
      </c>
      <c r="T479" t="s">
        <v>97</v>
      </c>
      <c r="U479" t="s">
        <v>98</v>
      </c>
      <c r="V479" t="s">
        <v>99</v>
      </c>
      <c r="W479" t="s">
        <v>98</v>
      </c>
      <c r="X479" t="s">
        <v>100</v>
      </c>
    </row>
    <row r="480" spans="1:24" x14ac:dyDescent="0.2">
      <c r="A480" t="s">
        <v>1345</v>
      </c>
      <c r="B480">
        <v>852.34699999999998</v>
      </c>
      <c r="C480" t="s">
        <v>60</v>
      </c>
      <c r="D480" t="s">
        <v>156</v>
      </c>
      <c r="E480" t="s">
        <v>89</v>
      </c>
      <c r="F480" t="s">
        <v>606</v>
      </c>
      <c r="H480" t="s">
        <v>64</v>
      </c>
      <c r="I480" t="s">
        <v>102</v>
      </c>
      <c r="J480" t="s">
        <v>103</v>
      </c>
      <c r="K480">
        <v>2750</v>
      </c>
      <c r="L480" t="s">
        <v>1346</v>
      </c>
      <c r="M480" t="s">
        <v>1346</v>
      </c>
      <c r="N480" t="s">
        <v>385</v>
      </c>
      <c r="O480" t="s">
        <v>385</v>
      </c>
      <c r="P480" t="s">
        <v>1266</v>
      </c>
      <c r="Q480" t="s">
        <v>1267</v>
      </c>
      <c r="R480" t="s">
        <v>608</v>
      </c>
      <c r="S480" t="s">
        <v>106</v>
      </c>
      <c r="T480" t="s">
        <v>107</v>
      </c>
      <c r="U480" t="s">
        <v>108</v>
      </c>
      <c r="V480" t="s">
        <v>77</v>
      </c>
      <c r="W480" t="s">
        <v>108</v>
      </c>
      <c r="X480" t="s">
        <v>109</v>
      </c>
    </row>
    <row r="481" spans="1:24" x14ac:dyDescent="0.2">
      <c r="A481" t="s">
        <v>1347</v>
      </c>
      <c r="B481">
        <v>852.34699999999998</v>
      </c>
      <c r="C481" t="s">
        <v>60</v>
      </c>
      <c r="D481" t="s">
        <v>156</v>
      </c>
      <c r="E481" t="s">
        <v>89</v>
      </c>
      <c r="F481" t="s">
        <v>606</v>
      </c>
      <c r="G481" t="s">
        <v>156</v>
      </c>
      <c r="H481" t="s">
        <v>278</v>
      </c>
      <c r="I481" t="s">
        <v>91</v>
      </c>
      <c r="J481" t="s">
        <v>92</v>
      </c>
      <c r="K481">
        <v>3550</v>
      </c>
      <c r="L481" t="s">
        <v>1348</v>
      </c>
      <c r="M481" t="s">
        <v>1348</v>
      </c>
      <c r="N481" t="s">
        <v>385</v>
      </c>
      <c r="O481" t="s">
        <v>385</v>
      </c>
      <c r="P481" t="s">
        <v>1266</v>
      </c>
      <c r="Q481" t="s">
        <v>1267</v>
      </c>
      <c r="R481" t="s">
        <v>608</v>
      </c>
      <c r="S481" t="s">
        <v>280</v>
      </c>
      <c r="T481" t="s">
        <v>97</v>
      </c>
      <c r="U481" t="s">
        <v>98</v>
      </c>
      <c r="V481" t="s">
        <v>99</v>
      </c>
      <c r="W481" t="s">
        <v>98</v>
      </c>
      <c r="X481" t="s">
        <v>100</v>
      </c>
    </row>
    <row r="482" spans="1:24" x14ac:dyDescent="0.2">
      <c r="A482" t="s">
        <v>1349</v>
      </c>
      <c r="B482">
        <v>852.34699999999998</v>
      </c>
      <c r="C482" t="s">
        <v>60</v>
      </c>
      <c r="D482" t="s">
        <v>156</v>
      </c>
      <c r="E482" t="s">
        <v>89</v>
      </c>
      <c r="F482" t="s">
        <v>606</v>
      </c>
      <c r="G482" t="s">
        <v>156</v>
      </c>
      <c r="H482" t="s">
        <v>278</v>
      </c>
      <c r="I482" t="s">
        <v>102</v>
      </c>
      <c r="J482" t="s">
        <v>103</v>
      </c>
      <c r="K482">
        <v>3450</v>
      </c>
      <c r="L482" t="s">
        <v>1350</v>
      </c>
      <c r="M482" t="s">
        <v>1350</v>
      </c>
      <c r="N482" t="s">
        <v>385</v>
      </c>
      <c r="O482" t="s">
        <v>385</v>
      </c>
      <c r="P482" t="s">
        <v>1266</v>
      </c>
      <c r="Q482" t="s">
        <v>1267</v>
      </c>
      <c r="R482" t="s">
        <v>608</v>
      </c>
      <c r="S482" t="s">
        <v>283</v>
      </c>
      <c r="T482" t="s">
        <v>284</v>
      </c>
      <c r="U482" t="s">
        <v>285</v>
      </c>
      <c r="V482" t="s">
        <v>77</v>
      </c>
      <c r="W482" t="s">
        <v>285</v>
      </c>
      <c r="X482" t="s">
        <v>286</v>
      </c>
    </row>
    <row r="483" spans="1:24" x14ac:dyDescent="0.2">
      <c r="A483" t="s">
        <v>1351</v>
      </c>
      <c r="B483">
        <v>852.34699999999998</v>
      </c>
      <c r="C483" t="s">
        <v>60</v>
      </c>
      <c r="D483" t="s">
        <v>156</v>
      </c>
      <c r="E483" t="s">
        <v>89</v>
      </c>
      <c r="F483" t="s">
        <v>606</v>
      </c>
      <c r="G483" t="s">
        <v>156</v>
      </c>
      <c r="H483" t="s">
        <v>278</v>
      </c>
      <c r="I483" t="s">
        <v>131</v>
      </c>
      <c r="J483" t="s">
        <v>132</v>
      </c>
      <c r="K483">
        <v>3950</v>
      </c>
      <c r="L483" t="s">
        <v>1352</v>
      </c>
      <c r="M483" t="s">
        <v>1352</v>
      </c>
      <c r="N483" t="s">
        <v>385</v>
      </c>
      <c r="O483" t="s">
        <v>385</v>
      </c>
      <c r="P483" t="s">
        <v>1266</v>
      </c>
      <c r="Q483" t="s">
        <v>1267</v>
      </c>
      <c r="R483" t="s">
        <v>608</v>
      </c>
      <c r="S483" t="s">
        <v>289</v>
      </c>
      <c r="T483" t="s">
        <v>136</v>
      </c>
      <c r="U483" t="s">
        <v>131</v>
      </c>
      <c r="V483" t="s">
        <v>77</v>
      </c>
      <c r="W483" t="s">
        <v>131</v>
      </c>
      <c r="X483" t="s">
        <v>137</v>
      </c>
    </row>
    <row r="484" spans="1:24" x14ac:dyDescent="0.2">
      <c r="A484" t="s">
        <v>1353</v>
      </c>
      <c r="B484">
        <v>852.34699999999998</v>
      </c>
      <c r="C484" t="s">
        <v>60</v>
      </c>
      <c r="D484" t="s">
        <v>156</v>
      </c>
      <c r="E484" t="s">
        <v>62</v>
      </c>
      <c r="F484" t="s">
        <v>681</v>
      </c>
      <c r="G484" t="s">
        <v>111</v>
      </c>
      <c r="H484" t="s">
        <v>112</v>
      </c>
      <c r="I484" t="s">
        <v>65</v>
      </c>
      <c r="J484" t="s">
        <v>66</v>
      </c>
      <c r="K484">
        <v>5950</v>
      </c>
      <c r="L484" t="s">
        <v>1354</v>
      </c>
      <c r="M484" t="s">
        <v>1354</v>
      </c>
      <c r="N484" t="s">
        <v>385</v>
      </c>
      <c r="O484" t="s">
        <v>385</v>
      </c>
      <c r="P484" t="s">
        <v>1266</v>
      </c>
      <c r="Q484" t="s">
        <v>1267</v>
      </c>
      <c r="R484" t="s">
        <v>683</v>
      </c>
      <c r="S484" t="s">
        <v>114</v>
      </c>
      <c r="T484" t="s">
        <v>75</v>
      </c>
      <c r="U484" t="s">
        <v>76</v>
      </c>
      <c r="V484" t="s">
        <v>77</v>
      </c>
      <c r="W484" t="s">
        <v>76</v>
      </c>
      <c r="X484" t="s">
        <v>78</v>
      </c>
    </row>
    <row r="485" spans="1:24" x14ac:dyDescent="0.2">
      <c r="A485" t="s">
        <v>1355</v>
      </c>
      <c r="B485">
        <v>852.34699999999998</v>
      </c>
      <c r="C485" t="s">
        <v>60</v>
      </c>
      <c r="D485" t="s">
        <v>156</v>
      </c>
      <c r="E485" t="s">
        <v>1339</v>
      </c>
      <c r="F485" t="s">
        <v>1340</v>
      </c>
      <c r="G485" t="s">
        <v>111</v>
      </c>
      <c r="H485" t="s">
        <v>112</v>
      </c>
      <c r="I485" t="s">
        <v>82</v>
      </c>
      <c r="J485" t="s">
        <v>83</v>
      </c>
      <c r="K485">
        <v>6450</v>
      </c>
      <c r="L485" t="s">
        <v>1356</v>
      </c>
      <c r="M485" t="s">
        <v>1356</v>
      </c>
      <c r="N485" t="s">
        <v>385</v>
      </c>
      <c r="O485" t="s">
        <v>385</v>
      </c>
      <c r="P485" t="s">
        <v>1266</v>
      </c>
      <c r="Q485" t="s">
        <v>1267</v>
      </c>
      <c r="R485" t="s">
        <v>1342</v>
      </c>
      <c r="S485" t="s">
        <v>118</v>
      </c>
      <c r="T485" t="s">
        <v>75</v>
      </c>
      <c r="U485" t="s">
        <v>76</v>
      </c>
      <c r="V485" t="s">
        <v>77</v>
      </c>
      <c r="W485" t="s">
        <v>76</v>
      </c>
      <c r="X485" t="s">
        <v>78</v>
      </c>
    </row>
    <row r="486" spans="1:24" x14ac:dyDescent="0.2">
      <c r="A486" t="s">
        <v>1357</v>
      </c>
      <c r="B486">
        <v>852.34699999999998</v>
      </c>
      <c r="C486" t="s">
        <v>60</v>
      </c>
      <c r="D486" t="s">
        <v>156</v>
      </c>
      <c r="E486" t="s">
        <v>89</v>
      </c>
      <c r="F486" t="s">
        <v>606</v>
      </c>
      <c r="G486" t="s">
        <v>111</v>
      </c>
      <c r="H486" t="s">
        <v>112</v>
      </c>
      <c r="I486" t="s">
        <v>91</v>
      </c>
      <c r="J486" t="s">
        <v>92</v>
      </c>
      <c r="K486">
        <v>3550</v>
      </c>
      <c r="L486" t="s">
        <v>1358</v>
      </c>
      <c r="M486" t="s">
        <v>1358</v>
      </c>
      <c r="N486" t="s">
        <v>385</v>
      </c>
      <c r="O486" t="s">
        <v>385</v>
      </c>
      <c r="P486" t="s">
        <v>1266</v>
      </c>
      <c r="Q486" t="s">
        <v>1267</v>
      </c>
      <c r="R486" t="s">
        <v>608</v>
      </c>
      <c r="S486" t="s">
        <v>122</v>
      </c>
      <c r="T486" t="s">
        <v>97</v>
      </c>
      <c r="U486" t="s">
        <v>98</v>
      </c>
      <c r="V486" t="s">
        <v>99</v>
      </c>
      <c r="W486" t="s">
        <v>98</v>
      </c>
      <c r="X486" t="s">
        <v>100</v>
      </c>
    </row>
    <row r="487" spans="1:24" x14ac:dyDescent="0.2">
      <c r="A487" t="s">
        <v>1359</v>
      </c>
      <c r="B487">
        <v>852.34699999999998</v>
      </c>
      <c r="C487" t="s">
        <v>60</v>
      </c>
      <c r="D487" t="s">
        <v>156</v>
      </c>
      <c r="E487" t="s">
        <v>89</v>
      </c>
      <c r="F487" t="s">
        <v>606</v>
      </c>
      <c r="G487" t="s">
        <v>111</v>
      </c>
      <c r="H487" t="s">
        <v>112</v>
      </c>
      <c r="I487" t="s">
        <v>102</v>
      </c>
      <c r="J487" t="s">
        <v>103</v>
      </c>
      <c r="K487">
        <v>3450</v>
      </c>
      <c r="L487" t="s">
        <v>1360</v>
      </c>
      <c r="M487" t="s">
        <v>1360</v>
      </c>
      <c r="N487" t="s">
        <v>385</v>
      </c>
      <c r="O487" t="s">
        <v>385</v>
      </c>
      <c r="P487" t="s">
        <v>1266</v>
      </c>
      <c r="Q487" t="s">
        <v>1267</v>
      </c>
      <c r="R487" t="s">
        <v>608</v>
      </c>
      <c r="S487" t="s">
        <v>126</v>
      </c>
      <c r="T487" t="s">
        <v>127</v>
      </c>
      <c r="U487" t="s">
        <v>128</v>
      </c>
      <c r="V487" t="s">
        <v>77</v>
      </c>
      <c r="W487" t="s">
        <v>128</v>
      </c>
      <c r="X487" t="s">
        <v>129</v>
      </c>
    </row>
    <row r="488" spans="1:24" x14ac:dyDescent="0.2">
      <c r="A488" t="s">
        <v>1361</v>
      </c>
      <c r="B488">
        <v>852.34699999999998</v>
      </c>
      <c r="C488" t="s">
        <v>60</v>
      </c>
      <c r="D488" t="s">
        <v>156</v>
      </c>
      <c r="E488" t="s">
        <v>89</v>
      </c>
      <c r="F488" t="s">
        <v>606</v>
      </c>
      <c r="G488" t="s">
        <v>111</v>
      </c>
      <c r="H488" t="s">
        <v>112</v>
      </c>
      <c r="I488" t="s">
        <v>131</v>
      </c>
      <c r="J488" t="s">
        <v>132</v>
      </c>
      <c r="K488">
        <v>3950</v>
      </c>
      <c r="L488" t="s">
        <v>1362</v>
      </c>
      <c r="M488" t="s">
        <v>1362</v>
      </c>
      <c r="N488" t="s">
        <v>385</v>
      </c>
      <c r="O488" t="s">
        <v>385</v>
      </c>
      <c r="P488" t="s">
        <v>1266</v>
      </c>
      <c r="Q488" t="s">
        <v>1267</v>
      </c>
      <c r="R488" t="s">
        <v>608</v>
      </c>
      <c r="S488" t="s">
        <v>135</v>
      </c>
      <c r="T488" t="s">
        <v>136</v>
      </c>
      <c r="U488" t="s">
        <v>131</v>
      </c>
      <c r="V488" t="s">
        <v>77</v>
      </c>
      <c r="W488" t="s">
        <v>131</v>
      </c>
      <c r="X488" t="s">
        <v>137</v>
      </c>
    </row>
    <row r="489" spans="1:24" x14ac:dyDescent="0.2">
      <c r="A489" t="s">
        <v>1363</v>
      </c>
      <c r="B489">
        <v>852.34699999999998</v>
      </c>
      <c r="C489" t="s">
        <v>60</v>
      </c>
      <c r="D489" t="s">
        <v>156</v>
      </c>
      <c r="E489" t="s">
        <v>89</v>
      </c>
      <c r="F489" t="s">
        <v>606</v>
      </c>
      <c r="G489" t="s">
        <v>306</v>
      </c>
      <c r="H489" t="s">
        <v>307</v>
      </c>
      <c r="I489" t="s">
        <v>91</v>
      </c>
      <c r="J489" t="s">
        <v>92</v>
      </c>
      <c r="K489">
        <v>4250</v>
      </c>
      <c r="L489" t="s">
        <v>1364</v>
      </c>
      <c r="M489" t="s">
        <v>1364</v>
      </c>
      <c r="N489" t="s">
        <v>385</v>
      </c>
      <c r="O489" t="s">
        <v>385</v>
      </c>
      <c r="P489" t="s">
        <v>1266</v>
      </c>
      <c r="Q489" t="s">
        <v>1267</v>
      </c>
      <c r="R489" t="s">
        <v>608</v>
      </c>
      <c r="S489" t="s">
        <v>309</v>
      </c>
      <c r="T489" t="s">
        <v>97</v>
      </c>
      <c r="U489" t="s">
        <v>98</v>
      </c>
      <c r="V489" t="s">
        <v>99</v>
      </c>
      <c r="W489" t="s">
        <v>98</v>
      </c>
      <c r="X489" t="s">
        <v>100</v>
      </c>
    </row>
    <row r="490" spans="1:24" x14ac:dyDescent="0.2">
      <c r="A490" t="s">
        <v>1365</v>
      </c>
      <c r="B490">
        <v>852.34699999999998</v>
      </c>
      <c r="C490" t="s">
        <v>60</v>
      </c>
      <c r="D490" t="s">
        <v>156</v>
      </c>
      <c r="E490" t="s">
        <v>89</v>
      </c>
      <c r="F490" t="s">
        <v>606</v>
      </c>
      <c r="G490" t="s">
        <v>306</v>
      </c>
      <c r="H490" t="s">
        <v>307</v>
      </c>
      <c r="I490" t="s">
        <v>102</v>
      </c>
      <c r="J490" t="s">
        <v>103</v>
      </c>
      <c r="K490">
        <v>4150</v>
      </c>
      <c r="L490" t="s">
        <v>1366</v>
      </c>
      <c r="M490" t="s">
        <v>1366</v>
      </c>
      <c r="N490" t="s">
        <v>385</v>
      </c>
      <c r="O490" t="s">
        <v>385</v>
      </c>
      <c r="P490" t="s">
        <v>1266</v>
      </c>
      <c r="Q490" t="s">
        <v>1267</v>
      </c>
      <c r="R490" t="s">
        <v>608</v>
      </c>
      <c r="S490" t="s">
        <v>312</v>
      </c>
      <c r="T490" t="s">
        <v>313</v>
      </c>
      <c r="U490" t="s">
        <v>314</v>
      </c>
      <c r="V490" t="s">
        <v>77</v>
      </c>
      <c r="W490" t="s">
        <v>314</v>
      </c>
      <c r="X490" t="s">
        <v>315</v>
      </c>
    </row>
    <row r="491" spans="1:24" x14ac:dyDescent="0.2">
      <c r="A491" t="s">
        <v>1367</v>
      </c>
      <c r="B491">
        <v>852.34699999999998</v>
      </c>
      <c r="C491" t="s">
        <v>60</v>
      </c>
      <c r="D491" t="s">
        <v>156</v>
      </c>
      <c r="E491" t="s">
        <v>89</v>
      </c>
      <c r="F491" t="s">
        <v>606</v>
      </c>
      <c r="G491" t="s">
        <v>306</v>
      </c>
      <c r="H491" t="s">
        <v>307</v>
      </c>
      <c r="I491" t="s">
        <v>131</v>
      </c>
      <c r="J491" t="s">
        <v>132</v>
      </c>
      <c r="K491">
        <v>4650</v>
      </c>
      <c r="L491" t="s">
        <v>1368</v>
      </c>
      <c r="M491" t="s">
        <v>1368</v>
      </c>
      <c r="N491" t="s">
        <v>385</v>
      </c>
      <c r="O491" t="s">
        <v>385</v>
      </c>
      <c r="P491" t="s">
        <v>1266</v>
      </c>
      <c r="Q491" t="s">
        <v>1267</v>
      </c>
      <c r="R491" t="s">
        <v>608</v>
      </c>
      <c r="S491" t="s">
        <v>318</v>
      </c>
      <c r="T491" t="s">
        <v>136</v>
      </c>
      <c r="U491" t="s">
        <v>131</v>
      </c>
      <c r="V491" t="s">
        <v>77</v>
      </c>
      <c r="W491" t="s">
        <v>131</v>
      </c>
      <c r="X491" t="s">
        <v>137</v>
      </c>
    </row>
    <row r="492" spans="1:24" x14ac:dyDescent="0.2">
      <c r="A492" t="s">
        <v>1369</v>
      </c>
      <c r="B492">
        <v>852.34699999999998</v>
      </c>
      <c r="C492" t="s">
        <v>60</v>
      </c>
      <c r="D492" t="s">
        <v>156</v>
      </c>
      <c r="E492" t="s">
        <v>89</v>
      </c>
      <c r="F492" t="s">
        <v>606</v>
      </c>
      <c r="H492" t="s">
        <v>64</v>
      </c>
      <c r="I492" t="s">
        <v>131</v>
      </c>
      <c r="J492" t="s">
        <v>132</v>
      </c>
      <c r="K492">
        <v>3250</v>
      </c>
      <c r="L492" t="s">
        <v>1370</v>
      </c>
      <c r="M492" t="s">
        <v>1370</v>
      </c>
      <c r="N492" t="s">
        <v>385</v>
      </c>
      <c r="O492" t="s">
        <v>385</v>
      </c>
      <c r="P492" t="s">
        <v>1266</v>
      </c>
      <c r="Q492" t="s">
        <v>1267</v>
      </c>
      <c r="R492" t="s">
        <v>608</v>
      </c>
      <c r="S492" t="s">
        <v>149</v>
      </c>
      <c r="T492" t="s">
        <v>136</v>
      </c>
      <c r="U492" t="s">
        <v>131</v>
      </c>
      <c r="V492" t="s">
        <v>77</v>
      </c>
      <c r="W492" t="s">
        <v>131</v>
      </c>
      <c r="X492" t="s">
        <v>137</v>
      </c>
    </row>
    <row r="493" spans="1:24" x14ac:dyDescent="0.2">
      <c r="A493" t="s">
        <v>1371</v>
      </c>
      <c r="B493" t="s">
        <v>1372</v>
      </c>
      <c r="C493" t="s">
        <v>60</v>
      </c>
      <c r="D493" t="s">
        <v>61</v>
      </c>
      <c r="E493" t="s">
        <v>512</v>
      </c>
      <c r="F493" t="s">
        <v>513</v>
      </c>
      <c r="G493" t="s">
        <v>159</v>
      </c>
      <c r="H493" t="s">
        <v>160</v>
      </c>
      <c r="I493" t="s">
        <v>102</v>
      </c>
      <c r="J493" t="s">
        <v>103</v>
      </c>
      <c r="K493">
        <v>3850</v>
      </c>
      <c r="L493" t="s">
        <v>1373</v>
      </c>
      <c r="M493" t="s">
        <v>1373</v>
      </c>
      <c r="N493" t="s">
        <v>946</v>
      </c>
      <c r="O493" t="s">
        <v>946</v>
      </c>
      <c r="P493" t="s">
        <v>947</v>
      </c>
      <c r="Q493" t="s">
        <v>948</v>
      </c>
      <c r="R493" t="s">
        <v>515</v>
      </c>
      <c r="S493" t="s">
        <v>166</v>
      </c>
      <c r="T493" t="s">
        <v>107</v>
      </c>
      <c r="U493" t="s">
        <v>108</v>
      </c>
      <c r="V493" t="s">
        <v>77</v>
      </c>
      <c r="W493" t="s">
        <v>108</v>
      </c>
      <c r="X493" t="s">
        <v>109</v>
      </c>
    </row>
    <row r="494" spans="1:24" x14ac:dyDescent="0.2">
      <c r="A494" t="s">
        <v>1374</v>
      </c>
      <c r="B494" t="s">
        <v>1375</v>
      </c>
      <c r="C494" t="s">
        <v>60</v>
      </c>
      <c r="D494" t="s">
        <v>61</v>
      </c>
      <c r="E494" t="s">
        <v>512</v>
      </c>
      <c r="F494" t="s">
        <v>513</v>
      </c>
      <c r="G494" t="s">
        <v>159</v>
      </c>
      <c r="H494" t="s">
        <v>160</v>
      </c>
      <c r="I494" t="s">
        <v>102</v>
      </c>
      <c r="J494" t="s">
        <v>103</v>
      </c>
      <c r="K494">
        <v>3850</v>
      </c>
      <c r="L494" t="s">
        <v>1376</v>
      </c>
      <c r="M494" t="s">
        <v>1376</v>
      </c>
      <c r="N494" t="s">
        <v>946</v>
      </c>
      <c r="O494" t="s">
        <v>946</v>
      </c>
      <c r="P494" t="s">
        <v>992</v>
      </c>
      <c r="Q494" t="s">
        <v>993</v>
      </c>
      <c r="R494" t="s">
        <v>515</v>
      </c>
      <c r="S494" t="s">
        <v>166</v>
      </c>
      <c r="T494" t="s">
        <v>107</v>
      </c>
      <c r="U494" t="s">
        <v>108</v>
      </c>
      <c r="V494" t="s">
        <v>77</v>
      </c>
      <c r="W494" t="s">
        <v>108</v>
      </c>
      <c r="X494" t="s">
        <v>109</v>
      </c>
    </row>
    <row r="495" spans="1:24" x14ac:dyDescent="0.2">
      <c r="A495" t="s">
        <v>1377</v>
      </c>
      <c r="B495" t="s">
        <v>1378</v>
      </c>
      <c r="C495" t="s">
        <v>60</v>
      </c>
      <c r="D495" t="s">
        <v>61</v>
      </c>
      <c r="E495" t="s">
        <v>512</v>
      </c>
      <c r="F495" t="s">
        <v>513</v>
      </c>
      <c r="G495" t="s">
        <v>159</v>
      </c>
      <c r="H495" t="s">
        <v>160</v>
      </c>
      <c r="I495" t="s">
        <v>102</v>
      </c>
      <c r="J495" t="s">
        <v>103</v>
      </c>
      <c r="K495">
        <v>3850</v>
      </c>
      <c r="L495" t="s">
        <v>1379</v>
      </c>
      <c r="M495" t="s">
        <v>1379</v>
      </c>
      <c r="N495" t="s">
        <v>946</v>
      </c>
      <c r="O495" t="s">
        <v>946</v>
      </c>
      <c r="P495" t="s">
        <v>1020</v>
      </c>
      <c r="Q495" t="s">
        <v>1021</v>
      </c>
      <c r="R495" t="s">
        <v>515</v>
      </c>
      <c r="S495" t="s">
        <v>166</v>
      </c>
      <c r="T495" t="s">
        <v>107</v>
      </c>
      <c r="U495" t="s">
        <v>108</v>
      </c>
      <c r="V495" t="s">
        <v>77</v>
      </c>
      <c r="W495" t="s">
        <v>108</v>
      </c>
      <c r="X495" t="s">
        <v>109</v>
      </c>
    </row>
    <row r="496" spans="1:24" x14ac:dyDescent="0.2">
      <c r="A496" t="s">
        <v>1380</v>
      </c>
      <c r="B496">
        <v>854.20899999999995</v>
      </c>
      <c r="C496" t="s">
        <v>60</v>
      </c>
      <c r="D496" t="s">
        <v>61</v>
      </c>
      <c r="E496" t="s">
        <v>445</v>
      </c>
      <c r="F496" t="s">
        <v>928</v>
      </c>
      <c r="H496" t="s">
        <v>64</v>
      </c>
      <c r="I496" t="s">
        <v>65</v>
      </c>
      <c r="J496" t="s">
        <v>66</v>
      </c>
      <c r="K496">
        <v>6250</v>
      </c>
      <c r="L496" t="s">
        <v>1381</v>
      </c>
      <c r="M496" t="s">
        <v>1381</v>
      </c>
      <c r="N496" t="s">
        <v>170</v>
      </c>
      <c r="O496" t="s">
        <v>170</v>
      </c>
      <c r="P496" t="s">
        <v>1382</v>
      </c>
      <c r="Q496" t="s">
        <v>1383</v>
      </c>
      <c r="R496" t="s">
        <v>449</v>
      </c>
      <c r="S496" t="s">
        <v>74</v>
      </c>
      <c r="T496" t="s">
        <v>75</v>
      </c>
      <c r="U496" t="s">
        <v>76</v>
      </c>
      <c r="V496" t="s">
        <v>77</v>
      </c>
      <c r="W496" t="s">
        <v>76</v>
      </c>
      <c r="X496" t="s">
        <v>78</v>
      </c>
    </row>
    <row r="497" spans="1:24" x14ac:dyDescent="0.2">
      <c r="A497" t="s">
        <v>1384</v>
      </c>
      <c r="B497">
        <v>854.20899999999995</v>
      </c>
      <c r="C497" t="s">
        <v>60</v>
      </c>
      <c r="D497" t="s">
        <v>61</v>
      </c>
      <c r="E497" t="s">
        <v>1207</v>
      </c>
      <c r="F497" t="s">
        <v>1208</v>
      </c>
      <c r="H497" t="s">
        <v>64</v>
      </c>
      <c r="I497" t="s">
        <v>82</v>
      </c>
      <c r="J497" t="s">
        <v>83</v>
      </c>
      <c r="K497">
        <v>6750</v>
      </c>
      <c r="L497" t="s">
        <v>1385</v>
      </c>
      <c r="M497" t="s">
        <v>1385</v>
      </c>
      <c r="N497" t="s">
        <v>170</v>
      </c>
      <c r="O497" t="s">
        <v>170</v>
      </c>
      <c r="P497" t="s">
        <v>1382</v>
      </c>
      <c r="Q497" t="s">
        <v>1383</v>
      </c>
      <c r="R497" t="s">
        <v>1210</v>
      </c>
      <c r="S497" t="s">
        <v>87</v>
      </c>
      <c r="T497" t="s">
        <v>75</v>
      </c>
      <c r="U497" t="s">
        <v>76</v>
      </c>
      <c r="V497" t="s">
        <v>77</v>
      </c>
      <c r="W497" t="s">
        <v>76</v>
      </c>
      <c r="X497" t="s">
        <v>78</v>
      </c>
    </row>
    <row r="498" spans="1:24" x14ac:dyDescent="0.2">
      <c r="A498" t="s">
        <v>1386</v>
      </c>
      <c r="B498">
        <v>854.20899999999995</v>
      </c>
      <c r="C498" t="s">
        <v>60</v>
      </c>
      <c r="D498" t="s">
        <v>61</v>
      </c>
      <c r="E498" t="s">
        <v>1212</v>
      </c>
      <c r="F498" t="s">
        <v>1213</v>
      </c>
      <c r="H498" t="s">
        <v>64</v>
      </c>
      <c r="I498" t="s">
        <v>91</v>
      </c>
      <c r="J498" t="s">
        <v>92</v>
      </c>
      <c r="K498">
        <v>3850</v>
      </c>
      <c r="L498" t="s">
        <v>1387</v>
      </c>
      <c r="M498" t="s">
        <v>1387</v>
      </c>
      <c r="N498" t="s">
        <v>170</v>
      </c>
      <c r="O498" t="s">
        <v>170</v>
      </c>
      <c r="P498" t="s">
        <v>1382</v>
      </c>
      <c r="Q498" t="s">
        <v>1383</v>
      </c>
      <c r="R498" t="s">
        <v>1215</v>
      </c>
      <c r="S498" t="s">
        <v>96</v>
      </c>
      <c r="T498" t="s">
        <v>97</v>
      </c>
      <c r="U498" t="s">
        <v>98</v>
      </c>
      <c r="V498" t="s">
        <v>99</v>
      </c>
      <c r="W498" t="s">
        <v>98</v>
      </c>
      <c r="X498" t="s">
        <v>100</v>
      </c>
    </row>
    <row r="499" spans="1:24" x14ac:dyDescent="0.2">
      <c r="A499" t="s">
        <v>1388</v>
      </c>
      <c r="B499">
        <v>854.20899999999995</v>
      </c>
      <c r="C499" t="s">
        <v>60</v>
      </c>
      <c r="D499" t="s">
        <v>61</v>
      </c>
      <c r="E499" t="s">
        <v>1212</v>
      </c>
      <c r="F499" t="s">
        <v>1213</v>
      </c>
      <c r="H499" t="s">
        <v>64</v>
      </c>
      <c r="I499" t="s">
        <v>102</v>
      </c>
      <c r="J499" t="s">
        <v>103</v>
      </c>
      <c r="K499">
        <v>3750</v>
      </c>
      <c r="L499" t="s">
        <v>1389</v>
      </c>
      <c r="M499" t="s">
        <v>1389</v>
      </c>
      <c r="N499" t="s">
        <v>170</v>
      </c>
      <c r="O499" t="s">
        <v>170</v>
      </c>
      <c r="P499" t="s">
        <v>1382</v>
      </c>
      <c r="Q499" t="s">
        <v>1383</v>
      </c>
      <c r="R499" t="s">
        <v>1215</v>
      </c>
      <c r="S499" t="s">
        <v>106</v>
      </c>
      <c r="T499" t="s">
        <v>107</v>
      </c>
      <c r="U499" t="s">
        <v>108</v>
      </c>
      <c r="V499" t="s">
        <v>77</v>
      </c>
      <c r="W499" t="s">
        <v>108</v>
      </c>
      <c r="X499" t="s">
        <v>109</v>
      </c>
    </row>
    <row r="500" spans="1:24" x14ac:dyDescent="0.2">
      <c r="A500" t="s">
        <v>1390</v>
      </c>
      <c r="B500">
        <v>854.20899999999995</v>
      </c>
      <c r="C500" t="s">
        <v>60</v>
      </c>
      <c r="D500" t="s">
        <v>61</v>
      </c>
      <c r="E500" t="s">
        <v>1212</v>
      </c>
      <c r="F500" t="s">
        <v>1213</v>
      </c>
      <c r="G500" t="s">
        <v>156</v>
      </c>
      <c r="H500" t="s">
        <v>278</v>
      </c>
      <c r="I500" t="s">
        <v>91</v>
      </c>
      <c r="J500" t="s">
        <v>92</v>
      </c>
      <c r="K500">
        <v>4550</v>
      </c>
      <c r="L500" t="s">
        <v>1391</v>
      </c>
      <c r="M500" t="s">
        <v>1391</v>
      </c>
      <c r="N500" t="s">
        <v>170</v>
      </c>
      <c r="O500" t="s">
        <v>170</v>
      </c>
      <c r="P500" t="s">
        <v>1382</v>
      </c>
      <c r="Q500" t="s">
        <v>1383</v>
      </c>
      <c r="R500" t="s">
        <v>1215</v>
      </c>
      <c r="S500" t="s">
        <v>280</v>
      </c>
      <c r="T500" t="s">
        <v>97</v>
      </c>
      <c r="U500" t="s">
        <v>98</v>
      </c>
      <c r="V500" t="s">
        <v>99</v>
      </c>
      <c r="W500" t="s">
        <v>98</v>
      </c>
      <c r="X500" t="s">
        <v>100</v>
      </c>
    </row>
    <row r="501" spans="1:24" x14ac:dyDescent="0.2">
      <c r="A501" t="s">
        <v>1392</v>
      </c>
      <c r="B501">
        <v>854.20899999999995</v>
      </c>
      <c r="C501" t="s">
        <v>60</v>
      </c>
      <c r="D501" t="s">
        <v>61</v>
      </c>
      <c r="E501" t="s">
        <v>1212</v>
      </c>
      <c r="F501" t="s">
        <v>1213</v>
      </c>
      <c r="G501" t="s">
        <v>156</v>
      </c>
      <c r="H501" t="s">
        <v>278</v>
      </c>
      <c r="I501" t="s">
        <v>102</v>
      </c>
      <c r="J501" t="s">
        <v>103</v>
      </c>
      <c r="K501">
        <v>4450</v>
      </c>
      <c r="L501" t="s">
        <v>1393</v>
      </c>
      <c r="M501" t="s">
        <v>1393</v>
      </c>
      <c r="N501" t="s">
        <v>170</v>
      </c>
      <c r="O501" t="s">
        <v>170</v>
      </c>
      <c r="P501" t="s">
        <v>1382</v>
      </c>
      <c r="Q501" t="s">
        <v>1383</v>
      </c>
      <c r="R501" t="s">
        <v>1215</v>
      </c>
      <c r="S501" t="s">
        <v>283</v>
      </c>
      <c r="T501" t="s">
        <v>284</v>
      </c>
      <c r="U501" t="s">
        <v>285</v>
      </c>
      <c r="V501" t="s">
        <v>77</v>
      </c>
      <c r="W501" t="s">
        <v>285</v>
      </c>
      <c r="X501" t="s">
        <v>286</v>
      </c>
    </row>
    <row r="502" spans="1:24" x14ac:dyDescent="0.2">
      <c r="A502" t="s">
        <v>1394</v>
      </c>
      <c r="B502">
        <v>854.20899999999995</v>
      </c>
      <c r="C502" t="s">
        <v>60</v>
      </c>
      <c r="D502" t="s">
        <v>61</v>
      </c>
      <c r="E502" t="s">
        <v>1212</v>
      </c>
      <c r="F502" t="s">
        <v>1213</v>
      </c>
      <c r="G502" t="s">
        <v>156</v>
      </c>
      <c r="H502" t="s">
        <v>278</v>
      </c>
      <c r="I502" t="s">
        <v>131</v>
      </c>
      <c r="J502" t="s">
        <v>132</v>
      </c>
      <c r="K502">
        <v>4950</v>
      </c>
      <c r="L502" t="s">
        <v>1395</v>
      </c>
      <c r="M502" t="s">
        <v>1395</v>
      </c>
      <c r="N502" t="s">
        <v>170</v>
      </c>
      <c r="O502" t="s">
        <v>170</v>
      </c>
      <c r="P502" t="s">
        <v>1382</v>
      </c>
      <c r="Q502" t="s">
        <v>1383</v>
      </c>
      <c r="R502" t="s">
        <v>1215</v>
      </c>
      <c r="S502" t="s">
        <v>289</v>
      </c>
      <c r="T502" t="s">
        <v>136</v>
      </c>
      <c r="U502" t="s">
        <v>131</v>
      </c>
      <c r="V502" t="s">
        <v>77</v>
      </c>
      <c r="W502" t="s">
        <v>131</v>
      </c>
      <c r="X502" t="s">
        <v>137</v>
      </c>
    </row>
    <row r="503" spans="1:24" x14ac:dyDescent="0.2">
      <c r="A503" t="s">
        <v>1396</v>
      </c>
      <c r="B503">
        <v>854.20899999999995</v>
      </c>
      <c r="C503" t="s">
        <v>60</v>
      </c>
      <c r="D503" t="s">
        <v>61</v>
      </c>
      <c r="E503" t="s">
        <v>445</v>
      </c>
      <c r="F503" t="s">
        <v>928</v>
      </c>
      <c r="G503" t="s">
        <v>111</v>
      </c>
      <c r="H503" t="s">
        <v>112</v>
      </c>
      <c r="I503" t="s">
        <v>65</v>
      </c>
      <c r="J503" t="s">
        <v>66</v>
      </c>
      <c r="K503">
        <v>6950</v>
      </c>
      <c r="L503" t="s">
        <v>1397</v>
      </c>
      <c r="M503" t="s">
        <v>1397</v>
      </c>
      <c r="N503" t="s">
        <v>170</v>
      </c>
      <c r="O503" t="s">
        <v>170</v>
      </c>
      <c r="P503" t="s">
        <v>1382</v>
      </c>
      <c r="Q503" t="s">
        <v>1383</v>
      </c>
      <c r="R503" t="s">
        <v>449</v>
      </c>
      <c r="S503" t="s">
        <v>114</v>
      </c>
      <c r="T503" t="s">
        <v>75</v>
      </c>
      <c r="U503" t="s">
        <v>76</v>
      </c>
      <c r="V503" t="s">
        <v>77</v>
      </c>
      <c r="W503" t="s">
        <v>76</v>
      </c>
      <c r="X503" t="s">
        <v>78</v>
      </c>
    </row>
    <row r="504" spans="1:24" x14ac:dyDescent="0.2">
      <c r="A504" t="s">
        <v>1398</v>
      </c>
      <c r="B504">
        <v>854.20899999999995</v>
      </c>
      <c r="C504" t="s">
        <v>60</v>
      </c>
      <c r="D504" t="s">
        <v>61</v>
      </c>
      <c r="E504" t="s">
        <v>1207</v>
      </c>
      <c r="F504" t="s">
        <v>1208</v>
      </c>
      <c r="G504" t="s">
        <v>111</v>
      </c>
      <c r="H504" t="s">
        <v>112</v>
      </c>
      <c r="I504" t="s">
        <v>82</v>
      </c>
      <c r="J504" t="s">
        <v>83</v>
      </c>
      <c r="K504">
        <v>7450</v>
      </c>
      <c r="L504" t="s">
        <v>1399</v>
      </c>
      <c r="M504" t="s">
        <v>1399</v>
      </c>
      <c r="N504" t="s">
        <v>170</v>
      </c>
      <c r="O504" t="s">
        <v>170</v>
      </c>
      <c r="P504" t="s">
        <v>1382</v>
      </c>
      <c r="Q504" t="s">
        <v>1383</v>
      </c>
      <c r="R504" t="s">
        <v>1210</v>
      </c>
      <c r="S504" t="s">
        <v>118</v>
      </c>
      <c r="T504" t="s">
        <v>75</v>
      </c>
      <c r="U504" t="s">
        <v>76</v>
      </c>
      <c r="V504" t="s">
        <v>77</v>
      </c>
      <c r="W504" t="s">
        <v>76</v>
      </c>
      <c r="X504" t="s">
        <v>78</v>
      </c>
    </row>
    <row r="505" spans="1:24" x14ac:dyDescent="0.2">
      <c r="A505" t="s">
        <v>1400</v>
      </c>
      <c r="B505">
        <v>854.20899999999995</v>
      </c>
      <c r="C505" t="s">
        <v>60</v>
      </c>
      <c r="D505" t="s">
        <v>61</v>
      </c>
      <c r="E505" t="s">
        <v>1212</v>
      </c>
      <c r="F505" t="s">
        <v>1213</v>
      </c>
      <c r="G505" t="s">
        <v>111</v>
      </c>
      <c r="H505" t="s">
        <v>112</v>
      </c>
      <c r="I505" t="s">
        <v>91</v>
      </c>
      <c r="J505" t="s">
        <v>92</v>
      </c>
      <c r="K505">
        <v>4550</v>
      </c>
      <c r="L505" t="s">
        <v>1401</v>
      </c>
      <c r="M505" t="s">
        <v>1401</v>
      </c>
      <c r="N505" t="s">
        <v>170</v>
      </c>
      <c r="O505" t="s">
        <v>170</v>
      </c>
      <c r="P505" t="s">
        <v>1382</v>
      </c>
      <c r="Q505" t="s">
        <v>1383</v>
      </c>
      <c r="R505" t="s">
        <v>1215</v>
      </c>
      <c r="S505" t="s">
        <v>122</v>
      </c>
      <c r="T505" t="s">
        <v>97</v>
      </c>
      <c r="U505" t="s">
        <v>98</v>
      </c>
      <c r="V505" t="s">
        <v>99</v>
      </c>
      <c r="W505" t="s">
        <v>98</v>
      </c>
      <c r="X505" t="s">
        <v>100</v>
      </c>
    </row>
    <row r="506" spans="1:24" x14ac:dyDescent="0.2">
      <c r="A506" t="s">
        <v>1402</v>
      </c>
      <c r="B506">
        <v>854.20899999999995</v>
      </c>
      <c r="C506" t="s">
        <v>60</v>
      </c>
      <c r="D506" t="s">
        <v>61</v>
      </c>
      <c r="E506" t="s">
        <v>1212</v>
      </c>
      <c r="F506" t="s">
        <v>1213</v>
      </c>
      <c r="G506" t="s">
        <v>111</v>
      </c>
      <c r="H506" t="s">
        <v>112</v>
      </c>
      <c r="I506" t="s">
        <v>102</v>
      </c>
      <c r="J506" t="s">
        <v>103</v>
      </c>
      <c r="K506">
        <v>4450</v>
      </c>
      <c r="L506" t="s">
        <v>1403</v>
      </c>
      <c r="M506" t="s">
        <v>1403</v>
      </c>
      <c r="N506" t="s">
        <v>170</v>
      </c>
      <c r="O506" t="s">
        <v>170</v>
      </c>
      <c r="P506" t="s">
        <v>1382</v>
      </c>
      <c r="Q506" t="s">
        <v>1383</v>
      </c>
      <c r="R506" t="s">
        <v>1215</v>
      </c>
      <c r="S506" t="s">
        <v>126</v>
      </c>
      <c r="T506" t="s">
        <v>127</v>
      </c>
      <c r="U506" t="s">
        <v>128</v>
      </c>
      <c r="V506" t="s">
        <v>77</v>
      </c>
      <c r="W506" t="s">
        <v>128</v>
      </c>
      <c r="X506" t="s">
        <v>129</v>
      </c>
    </row>
    <row r="507" spans="1:24" x14ac:dyDescent="0.2">
      <c r="A507" t="s">
        <v>1404</v>
      </c>
      <c r="B507">
        <v>854.20899999999995</v>
      </c>
      <c r="C507" t="s">
        <v>60</v>
      </c>
      <c r="D507" t="s">
        <v>61</v>
      </c>
      <c r="E507" t="s">
        <v>1212</v>
      </c>
      <c r="F507" t="s">
        <v>1213</v>
      </c>
      <c r="G507" t="s">
        <v>111</v>
      </c>
      <c r="H507" t="s">
        <v>112</v>
      </c>
      <c r="I507" t="s">
        <v>131</v>
      </c>
      <c r="J507" t="s">
        <v>132</v>
      </c>
      <c r="K507">
        <v>4950</v>
      </c>
      <c r="L507" t="s">
        <v>1405</v>
      </c>
      <c r="M507" t="s">
        <v>1405</v>
      </c>
      <c r="N507" t="s">
        <v>170</v>
      </c>
      <c r="O507" t="s">
        <v>170</v>
      </c>
      <c r="P507" t="s">
        <v>1382</v>
      </c>
      <c r="Q507" t="s">
        <v>1383</v>
      </c>
      <c r="R507" t="s">
        <v>1215</v>
      </c>
      <c r="S507" t="s">
        <v>135</v>
      </c>
      <c r="T507" t="s">
        <v>136</v>
      </c>
      <c r="U507" t="s">
        <v>131</v>
      </c>
      <c r="V507" t="s">
        <v>77</v>
      </c>
      <c r="W507" t="s">
        <v>131</v>
      </c>
      <c r="X507" t="s">
        <v>137</v>
      </c>
    </row>
    <row r="508" spans="1:24" x14ac:dyDescent="0.2">
      <c r="A508" t="s">
        <v>1406</v>
      </c>
      <c r="B508">
        <v>854.20899999999995</v>
      </c>
      <c r="C508" t="s">
        <v>60</v>
      </c>
      <c r="D508" t="s">
        <v>61</v>
      </c>
      <c r="E508" t="s">
        <v>1212</v>
      </c>
      <c r="F508" t="s">
        <v>1213</v>
      </c>
      <c r="G508" t="s">
        <v>306</v>
      </c>
      <c r="H508" t="s">
        <v>307</v>
      </c>
      <c r="I508" t="s">
        <v>91</v>
      </c>
      <c r="J508" t="s">
        <v>92</v>
      </c>
      <c r="K508">
        <v>5250</v>
      </c>
      <c r="L508" t="s">
        <v>1407</v>
      </c>
      <c r="M508" t="s">
        <v>1407</v>
      </c>
      <c r="N508" t="s">
        <v>170</v>
      </c>
      <c r="O508" t="s">
        <v>170</v>
      </c>
      <c r="P508" t="s">
        <v>1382</v>
      </c>
      <c r="Q508" t="s">
        <v>1383</v>
      </c>
      <c r="R508" t="s">
        <v>1215</v>
      </c>
      <c r="S508" t="s">
        <v>309</v>
      </c>
      <c r="T508" t="s">
        <v>97</v>
      </c>
      <c r="U508" t="s">
        <v>98</v>
      </c>
      <c r="V508" t="s">
        <v>99</v>
      </c>
      <c r="W508" t="s">
        <v>98</v>
      </c>
      <c r="X508" t="s">
        <v>100</v>
      </c>
    </row>
    <row r="509" spans="1:24" x14ac:dyDescent="0.2">
      <c r="A509" t="s">
        <v>1408</v>
      </c>
      <c r="B509">
        <v>854.20899999999995</v>
      </c>
      <c r="C509" t="s">
        <v>60</v>
      </c>
      <c r="D509" t="s">
        <v>61</v>
      </c>
      <c r="E509" t="s">
        <v>1212</v>
      </c>
      <c r="F509" t="s">
        <v>1213</v>
      </c>
      <c r="G509" t="s">
        <v>306</v>
      </c>
      <c r="H509" t="s">
        <v>307</v>
      </c>
      <c r="I509" t="s">
        <v>102</v>
      </c>
      <c r="J509" t="s">
        <v>103</v>
      </c>
      <c r="K509">
        <v>5150</v>
      </c>
      <c r="L509" t="s">
        <v>1409</v>
      </c>
      <c r="M509" t="s">
        <v>1409</v>
      </c>
      <c r="N509" t="s">
        <v>170</v>
      </c>
      <c r="O509" t="s">
        <v>170</v>
      </c>
      <c r="P509" t="s">
        <v>1382</v>
      </c>
      <c r="Q509" t="s">
        <v>1383</v>
      </c>
      <c r="R509" t="s">
        <v>1215</v>
      </c>
      <c r="S509" t="s">
        <v>312</v>
      </c>
      <c r="T509" t="s">
        <v>313</v>
      </c>
      <c r="U509" t="s">
        <v>314</v>
      </c>
      <c r="V509" t="s">
        <v>77</v>
      </c>
      <c r="W509" t="s">
        <v>314</v>
      </c>
      <c r="X509" t="s">
        <v>315</v>
      </c>
    </row>
    <row r="510" spans="1:24" x14ac:dyDescent="0.2">
      <c r="A510" t="s">
        <v>1410</v>
      </c>
      <c r="B510">
        <v>854.20899999999995</v>
      </c>
      <c r="C510" t="s">
        <v>60</v>
      </c>
      <c r="D510" t="s">
        <v>61</v>
      </c>
      <c r="E510" t="s">
        <v>1212</v>
      </c>
      <c r="F510" t="s">
        <v>1213</v>
      </c>
      <c r="G510" t="s">
        <v>306</v>
      </c>
      <c r="H510" t="s">
        <v>307</v>
      </c>
      <c r="I510" t="s">
        <v>131</v>
      </c>
      <c r="J510" t="s">
        <v>132</v>
      </c>
      <c r="K510">
        <v>5650</v>
      </c>
      <c r="L510" t="s">
        <v>1411</v>
      </c>
      <c r="M510" t="s">
        <v>1411</v>
      </c>
      <c r="N510" t="s">
        <v>170</v>
      </c>
      <c r="O510" t="s">
        <v>170</v>
      </c>
      <c r="P510" t="s">
        <v>1382</v>
      </c>
      <c r="Q510" t="s">
        <v>1383</v>
      </c>
      <c r="R510" t="s">
        <v>1215</v>
      </c>
      <c r="S510" t="s">
        <v>318</v>
      </c>
      <c r="T510" t="s">
        <v>136</v>
      </c>
      <c r="U510" t="s">
        <v>131</v>
      </c>
      <c r="V510" t="s">
        <v>77</v>
      </c>
      <c r="W510" t="s">
        <v>131</v>
      </c>
      <c r="X510" t="s">
        <v>137</v>
      </c>
    </row>
    <row r="511" spans="1:24" x14ac:dyDescent="0.2">
      <c r="A511" t="s">
        <v>1412</v>
      </c>
      <c r="B511">
        <v>854.20899999999995</v>
      </c>
      <c r="C511" t="s">
        <v>60</v>
      </c>
      <c r="D511" t="s">
        <v>61</v>
      </c>
      <c r="E511" t="s">
        <v>1212</v>
      </c>
      <c r="F511" t="s">
        <v>1213</v>
      </c>
      <c r="H511" t="s">
        <v>64</v>
      </c>
      <c r="I511" t="s">
        <v>139</v>
      </c>
      <c r="J511" t="s">
        <v>140</v>
      </c>
      <c r="K511">
        <v>4250</v>
      </c>
      <c r="L511" t="s">
        <v>1413</v>
      </c>
      <c r="M511" t="s">
        <v>1414</v>
      </c>
      <c r="N511" t="s">
        <v>170</v>
      </c>
      <c r="O511" t="s">
        <v>170</v>
      </c>
      <c r="P511" t="s">
        <v>1382</v>
      </c>
      <c r="Q511" t="s">
        <v>1383</v>
      </c>
      <c r="R511" t="s">
        <v>1215</v>
      </c>
      <c r="S511" t="s">
        <v>153</v>
      </c>
      <c r="T511" t="s">
        <v>144</v>
      </c>
      <c r="U511" t="s">
        <v>139</v>
      </c>
      <c r="V511" t="s">
        <v>99</v>
      </c>
      <c r="W511" t="s">
        <v>139</v>
      </c>
      <c r="X511" t="s">
        <v>145</v>
      </c>
    </row>
    <row r="512" spans="1:24" x14ac:dyDescent="0.2">
      <c r="A512" t="s">
        <v>1415</v>
      </c>
      <c r="B512">
        <v>854.20899999999995</v>
      </c>
      <c r="C512" t="s">
        <v>60</v>
      </c>
      <c r="D512" t="s">
        <v>61</v>
      </c>
      <c r="E512" t="s">
        <v>1212</v>
      </c>
      <c r="F512" t="s">
        <v>1213</v>
      </c>
      <c r="G512" t="s">
        <v>156</v>
      </c>
      <c r="H512" t="s">
        <v>278</v>
      </c>
      <c r="I512" t="s">
        <v>139</v>
      </c>
      <c r="J512" t="s">
        <v>140</v>
      </c>
      <c r="K512">
        <v>4950</v>
      </c>
      <c r="L512" t="s">
        <v>1416</v>
      </c>
      <c r="M512" t="s">
        <v>1417</v>
      </c>
      <c r="N512" t="s">
        <v>170</v>
      </c>
      <c r="O512" t="s">
        <v>170</v>
      </c>
      <c r="P512" t="s">
        <v>1382</v>
      </c>
      <c r="Q512" t="s">
        <v>1383</v>
      </c>
      <c r="R512" t="s">
        <v>1215</v>
      </c>
      <c r="S512" t="s">
        <v>292</v>
      </c>
      <c r="T512" t="s">
        <v>144</v>
      </c>
      <c r="U512" t="s">
        <v>139</v>
      </c>
      <c r="V512" t="s">
        <v>99</v>
      </c>
      <c r="W512" t="s">
        <v>139</v>
      </c>
      <c r="X512" t="s">
        <v>145</v>
      </c>
    </row>
    <row r="513" spans="1:24" x14ac:dyDescent="0.2">
      <c r="A513" t="s">
        <v>1418</v>
      </c>
      <c r="B513">
        <v>854.20899999999995</v>
      </c>
      <c r="C513" t="s">
        <v>60</v>
      </c>
      <c r="D513" t="s">
        <v>61</v>
      </c>
      <c r="E513" t="s">
        <v>1212</v>
      </c>
      <c r="F513" t="s">
        <v>1213</v>
      </c>
      <c r="G513" t="s">
        <v>111</v>
      </c>
      <c r="H513" t="s">
        <v>112</v>
      </c>
      <c r="I513" t="s">
        <v>139</v>
      </c>
      <c r="J513" t="s">
        <v>140</v>
      </c>
      <c r="K513">
        <v>4950</v>
      </c>
      <c r="L513" t="s">
        <v>1419</v>
      </c>
      <c r="M513" t="s">
        <v>1420</v>
      </c>
      <c r="N513" t="s">
        <v>170</v>
      </c>
      <c r="O513" t="s">
        <v>170</v>
      </c>
      <c r="P513" t="s">
        <v>1382</v>
      </c>
      <c r="Q513" t="s">
        <v>1383</v>
      </c>
      <c r="R513" t="s">
        <v>1215</v>
      </c>
      <c r="S513" t="s">
        <v>143</v>
      </c>
      <c r="T513" t="s">
        <v>144</v>
      </c>
      <c r="U513" t="s">
        <v>139</v>
      </c>
      <c r="V513" t="s">
        <v>99</v>
      </c>
      <c r="W513" t="s">
        <v>139</v>
      </c>
      <c r="X513" t="s">
        <v>145</v>
      </c>
    </row>
    <row r="514" spans="1:24" x14ac:dyDescent="0.2">
      <c r="A514" t="s">
        <v>1421</v>
      </c>
      <c r="B514">
        <v>854.20899999999995</v>
      </c>
      <c r="C514" t="s">
        <v>60</v>
      </c>
      <c r="D514" t="s">
        <v>61</v>
      </c>
      <c r="E514" t="s">
        <v>1212</v>
      </c>
      <c r="F514" t="s">
        <v>1213</v>
      </c>
      <c r="G514" t="s">
        <v>306</v>
      </c>
      <c r="H514" t="s">
        <v>307</v>
      </c>
      <c r="I514" t="s">
        <v>139</v>
      </c>
      <c r="J514" t="s">
        <v>140</v>
      </c>
      <c r="K514">
        <v>5650</v>
      </c>
      <c r="L514" t="s">
        <v>1422</v>
      </c>
      <c r="M514" t="s">
        <v>1423</v>
      </c>
      <c r="N514" t="s">
        <v>170</v>
      </c>
      <c r="O514" t="s">
        <v>170</v>
      </c>
      <c r="P514" t="s">
        <v>1382</v>
      </c>
      <c r="Q514" t="s">
        <v>1383</v>
      </c>
      <c r="R514" t="s">
        <v>1215</v>
      </c>
      <c r="S514" t="s">
        <v>321</v>
      </c>
      <c r="T514" t="s">
        <v>144</v>
      </c>
      <c r="U514" t="s">
        <v>139</v>
      </c>
      <c r="V514" t="s">
        <v>99</v>
      </c>
      <c r="W514" t="s">
        <v>139</v>
      </c>
      <c r="X514" t="s">
        <v>145</v>
      </c>
    </row>
    <row r="515" spans="1:24" x14ac:dyDescent="0.2">
      <c r="A515" t="s">
        <v>1424</v>
      </c>
      <c r="B515">
        <v>854.20899999999995</v>
      </c>
      <c r="C515" t="s">
        <v>60</v>
      </c>
      <c r="D515" t="s">
        <v>61</v>
      </c>
      <c r="E515" t="s">
        <v>1212</v>
      </c>
      <c r="F515" t="s">
        <v>1213</v>
      </c>
      <c r="H515" t="s">
        <v>64</v>
      </c>
      <c r="I515" t="s">
        <v>131</v>
      </c>
      <c r="J515" t="s">
        <v>132</v>
      </c>
      <c r="K515">
        <v>4250</v>
      </c>
      <c r="L515" t="s">
        <v>1425</v>
      </c>
      <c r="M515" t="s">
        <v>1425</v>
      </c>
      <c r="N515" t="s">
        <v>170</v>
      </c>
      <c r="O515" t="s">
        <v>170</v>
      </c>
      <c r="P515" t="s">
        <v>1382</v>
      </c>
      <c r="Q515" t="s">
        <v>1383</v>
      </c>
      <c r="R515" t="s">
        <v>1215</v>
      </c>
      <c r="S515" t="s">
        <v>149</v>
      </c>
      <c r="T515" t="s">
        <v>136</v>
      </c>
      <c r="U515" t="s">
        <v>131</v>
      </c>
      <c r="V515" t="s">
        <v>77</v>
      </c>
      <c r="W515" t="s">
        <v>131</v>
      </c>
      <c r="X515" t="s">
        <v>137</v>
      </c>
    </row>
    <row r="516" spans="1:24" x14ac:dyDescent="0.2">
      <c r="A516" t="s">
        <v>1426</v>
      </c>
      <c r="B516" t="s">
        <v>1427</v>
      </c>
      <c r="C516" t="s">
        <v>60</v>
      </c>
      <c r="D516" t="s">
        <v>61</v>
      </c>
      <c r="E516" t="s">
        <v>512</v>
      </c>
      <c r="F516" t="s">
        <v>513</v>
      </c>
      <c r="G516" t="s">
        <v>159</v>
      </c>
      <c r="H516" t="s">
        <v>160</v>
      </c>
      <c r="I516" t="s">
        <v>102</v>
      </c>
      <c r="J516" t="s">
        <v>103</v>
      </c>
      <c r="K516">
        <v>3850</v>
      </c>
      <c r="L516" t="s">
        <v>1428</v>
      </c>
      <c r="M516" t="s">
        <v>1428</v>
      </c>
      <c r="N516" t="s">
        <v>946</v>
      </c>
      <c r="O516" t="s">
        <v>946</v>
      </c>
      <c r="P516" t="s">
        <v>1050</v>
      </c>
      <c r="Q516" t="s">
        <v>1051</v>
      </c>
      <c r="R516" t="s">
        <v>515</v>
      </c>
      <c r="S516" t="s">
        <v>166</v>
      </c>
      <c r="T516" t="s">
        <v>107</v>
      </c>
      <c r="U516" t="s">
        <v>108</v>
      </c>
      <c r="V516" t="s">
        <v>77</v>
      </c>
      <c r="W516" t="s">
        <v>108</v>
      </c>
      <c r="X516" t="s">
        <v>109</v>
      </c>
    </row>
    <row r="517" spans="1:24" x14ac:dyDescent="0.2">
      <c r="A517" t="s">
        <v>1429</v>
      </c>
      <c r="B517">
        <v>866.21400000000006</v>
      </c>
      <c r="C517" t="s">
        <v>60</v>
      </c>
      <c r="D517" t="s">
        <v>61</v>
      </c>
      <c r="E517" t="s">
        <v>445</v>
      </c>
      <c r="F517" t="s">
        <v>928</v>
      </c>
      <c r="H517" t="s">
        <v>64</v>
      </c>
      <c r="I517" t="s">
        <v>65</v>
      </c>
      <c r="J517" t="s">
        <v>66</v>
      </c>
      <c r="K517">
        <v>6250</v>
      </c>
      <c r="L517" t="s">
        <v>1430</v>
      </c>
      <c r="M517" t="s">
        <v>1430</v>
      </c>
      <c r="N517" t="s">
        <v>170</v>
      </c>
      <c r="O517" t="s">
        <v>170</v>
      </c>
      <c r="P517" t="s">
        <v>1431</v>
      </c>
      <c r="Q517" t="s">
        <v>1432</v>
      </c>
      <c r="R517" t="s">
        <v>449</v>
      </c>
      <c r="S517" t="s">
        <v>74</v>
      </c>
      <c r="T517" t="s">
        <v>75</v>
      </c>
      <c r="U517" t="s">
        <v>76</v>
      </c>
      <c r="V517" t="s">
        <v>77</v>
      </c>
      <c r="W517" t="s">
        <v>76</v>
      </c>
      <c r="X517" t="s">
        <v>78</v>
      </c>
    </row>
    <row r="518" spans="1:24" x14ac:dyDescent="0.2">
      <c r="A518" t="s">
        <v>1433</v>
      </c>
      <c r="B518">
        <v>866.21400000000006</v>
      </c>
      <c r="C518" t="s">
        <v>60</v>
      </c>
      <c r="D518" t="s">
        <v>61</v>
      </c>
      <c r="E518" t="s">
        <v>1207</v>
      </c>
      <c r="F518" t="s">
        <v>1208</v>
      </c>
      <c r="H518" t="s">
        <v>64</v>
      </c>
      <c r="I518" t="s">
        <v>82</v>
      </c>
      <c r="J518" t="s">
        <v>83</v>
      </c>
      <c r="K518">
        <v>6750</v>
      </c>
      <c r="L518" t="s">
        <v>1434</v>
      </c>
      <c r="M518" t="s">
        <v>1434</v>
      </c>
      <c r="N518" t="s">
        <v>170</v>
      </c>
      <c r="O518" t="s">
        <v>170</v>
      </c>
      <c r="P518" t="s">
        <v>1431</v>
      </c>
      <c r="Q518" t="s">
        <v>1432</v>
      </c>
      <c r="R518" t="s">
        <v>1210</v>
      </c>
      <c r="S518" t="s">
        <v>87</v>
      </c>
      <c r="T518" t="s">
        <v>75</v>
      </c>
      <c r="U518" t="s">
        <v>76</v>
      </c>
      <c r="V518" t="s">
        <v>77</v>
      </c>
      <c r="W518" t="s">
        <v>76</v>
      </c>
      <c r="X518" t="s">
        <v>78</v>
      </c>
    </row>
    <row r="519" spans="1:24" x14ac:dyDescent="0.2">
      <c r="A519" t="s">
        <v>1435</v>
      </c>
      <c r="B519">
        <v>866.21400000000006</v>
      </c>
      <c r="C519" t="s">
        <v>60</v>
      </c>
      <c r="D519" t="s">
        <v>61</v>
      </c>
      <c r="E519" t="s">
        <v>1212</v>
      </c>
      <c r="F519" t="s">
        <v>1213</v>
      </c>
      <c r="H519" t="s">
        <v>64</v>
      </c>
      <c r="I519" t="s">
        <v>91</v>
      </c>
      <c r="J519" t="s">
        <v>92</v>
      </c>
      <c r="K519">
        <v>3850</v>
      </c>
      <c r="L519" t="s">
        <v>1436</v>
      </c>
      <c r="M519" t="s">
        <v>1436</v>
      </c>
      <c r="N519" t="s">
        <v>170</v>
      </c>
      <c r="O519" t="s">
        <v>170</v>
      </c>
      <c r="P519" t="s">
        <v>1431</v>
      </c>
      <c r="Q519" t="s">
        <v>1432</v>
      </c>
      <c r="R519" t="s">
        <v>1215</v>
      </c>
      <c r="S519" t="s">
        <v>96</v>
      </c>
      <c r="T519" t="s">
        <v>97</v>
      </c>
      <c r="U519" t="s">
        <v>98</v>
      </c>
      <c r="V519" t="s">
        <v>99</v>
      </c>
      <c r="W519" t="s">
        <v>98</v>
      </c>
      <c r="X519" t="s">
        <v>100</v>
      </c>
    </row>
    <row r="520" spans="1:24" x14ac:dyDescent="0.2">
      <c r="A520" t="s">
        <v>1437</v>
      </c>
      <c r="B520">
        <v>866.21400000000006</v>
      </c>
      <c r="C520" t="s">
        <v>60</v>
      </c>
      <c r="D520" t="s">
        <v>61</v>
      </c>
      <c r="E520" t="s">
        <v>1212</v>
      </c>
      <c r="F520" t="s">
        <v>1213</v>
      </c>
      <c r="H520" t="s">
        <v>64</v>
      </c>
      <c r="I520" t="s">
        <v>102</v>
      </c>
      <c r="J520" t="s">
        <v>103</v>
      </c>
      <c r="K520">
        <v>3750</v>
      </c>
      <c r="L520" t="s">
        <v>1438</v>
      </c>
      <c r="M520" t="s">
        <v>1438</v>
      </c>
      <c r="N520" t="s">
        <v>170</v>
      </c>
      <c r="O520" t="s">
        <v>170</v>
      </c>
      <c r="P520" t="s">
        <v>1431</v>
      </c>
      <c r="Q520" t="s">
        <v>1432</v>
      </c>
      <c r="R520" t="s">
        <v>1215</v>
      </c>
      <c r="S520" t="s">
        <v>106</v>
      </c>
      <c r="T520" t="s">
        <v>107</v>
      </c>
      <c r="U520" t="s">
        <v>108</v>
      </c>
      <c r="V520" t="s">
        <v>77</v>
      </c>
      <c r="W520" t="s">
        <v>108</v>
      </c>
      <c r="X520" t="s">
        <v>109</v>
      </c>
    </row>
    <row r="521" spans="1:24" x14ac:dyDescent="0.2">
      <c r="A521" t="s">
        <v>1439</v>
      </c>
      <c r="B521">
        <v>866.21400000000006</v>
      </c>
      <c r="C521" t="s">
        <v>60</v>
      </c>
      <c r="D521" t="s">
        <v>61</v>
      </c>
      <c r="E521" t="s">
        <v>1212</v>
      </c>
      <c r="F521" t="s">
        <v>1213</v>
      </c>
      <c r="G521" t="s">
        <v>156</v>
      </c>
      <c r="H521" t="s">
        <v>278</v>
      </c>
      <c r="I521" t="s">
        <v>91</v>
      </c>
      <c r="J521" t="s">
        <v>92</v>
      </c>
      <c r="K521">
        <v>4550</v>
      </c>
      <c r="L521" t="s">
        <v>1440</v>
      </c>
      <c r="M521" t="s">
        <v>1440</v>
      </c>
      <c r="N521" t="s">
        <v>170</v>
      </c>
      <c r="O521" t="s">
        <v>170</v>
      </c>
      <c r="P521" t="s">
        <v>1431</v>
      </c>
      <c r="Q521" t="s">
        <v>1432</v>
      </c>
      <c r="R521" t="s">
        <v>1215</v>
      </c>
      <c r="S521" t="s">
        <v>280</v>
      </c>
      <c r="T521" t="s">
        <v>97</v>
      </c>
      <c r="U521" t="s">
        <v>98</v>
      </c>
      <c r="V521" t="s">
        <v>99</v>
      </c>
      <c r="W521" t="s">
        <v>98</v>
      </c>
      <c r="X521" t="s">
        <v>100</v>
      </c>
    </row>
    <row r="522" spans="1:24" x14ac:dyDescent="0.2">
      <c r="A522" t="s">
        <v>1441</v>
      </c>
      <c r="B522">
        <v>866.21400000000006</v>
      </c>
      <c r="C522" t="s">
        <v>60</v>
      </c>
      <c r="D522" t="s">
        <v>61</v>
      </c>
      <c r="E522" t="s">
        <v>1212</v>
      </c>
      <c r="F522" t="s">
        <v>1213</v>
      </c>
      <c r="G522" t="s">
        <v>156</v>
      </c>
      <c r="H522" t="s">
        <v>278</v>
      </c>
      <c r="I522" t="s">
        <v>102</v>
      </c>
      <c r="J522" t="s">
        <v>103</v>
      </c>
      <c r="K522">
        <v>4450</v>
      </c>
      <c r="L522" t="s">
        <v>1442</v>
      </c>
      <c r="M522" t="s">
        <v>1442</v>
      </c>
      <c r="N522" t="s">
        <v>170</v>
      </c>
      <c r="O522" t="s">
        <v>170</v>
      </c>
      <c r="P522" t="s">
        <v>1431</v>
      </c>
      <c r="Q522" t="s">
        <v>1432</v>
      </c>
      <c r="R522" t="s">
        <v>1215</v>
      </c>
      <c r="S522" t="s">
        <v>283</v>
      </c>
      <c r="T522" t="s">
        <v>284</v>
      </c>
      <c r="U522" t="s">
        <v>285</v>
      </c>
      <c r="V522" t="s">
        <v>77</v>
      </c>
      <c r="W522" t="s">
        <v>285</v>
      </c>
      <c r="X522" t="s">
        <v>286</v>
      </c>
    </row>
    <row r="523" spans="1:24" x14ac:dyDescent="0.2">
      <c r="A523" t="s">
        <v>1443</v>
      </c>
      <c r="B523">
        <v>866.21400000000006</v>
      </c>
      <c r="C523" t="s">
        <v>60</v>
      </c>
      <c r="D523" t="s">
        <v>61</v>
      </c>
      <c r="E523" t="s">
        <v>1212</v>
      </c>
      <c r="F523" t="s">
        <v>1213</v>
      </c>
      <c r="H523" t="s">
        <v>64</v>
      </c>
      <c r="I523" t="s">
        <v>139</v>
      </c>
      <c r="J523" t="s">
        <v>140</v>
      </c>
      <c r="K523">
        <v>4250</v>
      </c>
      <c r="L523" t="s">
        <v>1444</v>
      </c>
      <c r="M523" t="s">
        <v>1444</v>
      </c>
      <c r="N523" t="s">
        <v>170</v>
      </c>
      <c r="O523" t="s">
        <v>170</v>
      </c>
      <c r="P523" t="s">
        <v>1431</v>
      </c>
      <c r="Q523" t="s">
        <v>1432</v>
      </c>
      <c r="R523" t="s">
        <v>1215</v>
      </c>
      <c r="S523" t="s">
        <v>153</v>
      </c>
      <c r="T523" t="s">
        <v>144</v>
      </c>
      <c r="U523" t="s">
        <v>139</v>
      </c>
      <c r="V523" t="s">
        <v>99</v>
      </c>
      <c r="W523" t="s">
        <v>139</v>
      </c>
      <c r="X523" t="s">
        <v>145</v>
      </c>
    </row>
    <row r="524" spans="1:24" x14ac:dyDescent="0.2">
      <c r="A524" t="s">
        <v>1445</v>
      </c>
      <c r="B524">
        <v>866.21400000000006</v>
      </c>
      <c r="C524" t="s">
        <v>60</v>
      </c>
      <c r="D524" t="s">
        <v>61</v>
      </c>
      <c r="E524" t="s">
        <v>1212</v>
      </c>
      <c r="F524" t="s">
        <v>1213</v>
      </c>
      <c r="G524" t="s">
        <v>111</v>
      </c>
      <c r="H524" t="s">
        <v>112</v>
      </c>
      <c r="I524" t="s">
        <v>139</v>
      </c>
      <c r="J524" t="s">
        <v>140</v>
      </c>
      <c r="K524">
        <v>4950</v>
      </c>
      <c r="L524" t="s">
        <v>1446</v>
      </c>
      <c r="M524" t="s">
        <v>1446</v>
      </c>
      <c r="N524" t="s">
        <v>170</v>
      </c>
      <c r="O524" t="s">
        <v>170</v>
      </c>
      <c r="P524" t="s">
        <v>1431</v>
      </c>
      <c r="Q524" t="s">
        <v>1432</v>
      </c>
      <c r="R524" t="s">
        <v>1215</v>
      </c>
      <c r="S524" t="s">
        <v>143</v>
      </c>
      <c r="T524" t="s">
        <v>144</v>
      </c>
      <c r="U524" t="s">
        <v>139</v>
      </c>
      <c r="V524" t="s">
        <v>99</v>
      </c>
      <c r="W524" t="s">
        <v>139</v>
      </c>
      <c r="X524" t="s">
        <v>145</v>
      </c>
    </row>
    <row r="525" spans="1:24" x14ac:dyDescent="0.2">
      <c r="A525" t="s">
        <v>1447</v>
      </c>
      <c r="B525">
        <v>866.21400000000006</v>
      </c>
      <c r="C525" t="s">
        <v>60</v>
      </c>
      <c r="D525" t="s">
        <v>61</v>
      </c>
      <c r="E525" t="s">
        <v>1212</v>
      </c>
      <c r="F525" t="s">
        <v>1213</v>
      </c>
      <c r="G525" t="s">
        <v>156</v>
      </c>
      <c r="H525" t="s">
        <v>278</v>
      </c>
      <c r="I525" t="s">
        <v>139</v>
      </c>
      <c r="J525" t="s">
        <v>140</v>
      </c>
      <c r="K525">
        <v>4950</v>
      </c>
      <c r="L525" t="s">
        <v>1448</v>
      </c>
      <c r="M525" t="s">
        <v>1448</v>
      </c>
      <c r="N525" t="s">
        <v>170</v>
      </c>
      <c r="O525" t="s">
        <v>170</v>
      </c>
      <c r="P525" t="s">
        <v>1431</v>
      </c>
      <c r="Q525" t="s">
        <v>1432</v>
      </c>
      <c r="R525" t="s">
        <v>1215</v>
      </c>
      <c r="S525" t="s">
        <v>292</v>
      </c>
      <c r="T525" t="s">
        <v>144</v>
      </c>
      <c r="U525" t="s">
        <v>139</v>
      </c>
      <c r="V525" t="s">
        <v>99</v>
      </c>
      <c r="W525" t="s">
        <v>139</v>
      </c>
      <c r="X525" t="s">
        <v>145</v>
      </c>
    </row>
    <row r="526" spans="1:24" x14ac:dyDescent="0.2">
      <c r="A526" t="s">
        <v>1449</v>
      </c>
      <c r="B526">
        <v>866.21400000000006</v>
      </c>
      <c r="C526" t="s">
        <v>60</v>
      </c>
      <c r="D526" t="s">
        <v>61</v>
      </c>
      <c r="E526" t="s">
        <v>1212</v>
      </c>
      <c r="F526" t="s">
        <v>1213</v>
      </c>
      <c r="G526" t="s">
        <v>306</v>
      </c>
      <c r="H526" t="s">
        <v>307</v>
      </c>
      <c r="I526" t="s">
        <v>139</v>
      </c>
      <c r="J526" t="s">
        <v>140</v>
      </c>
      <c r="K526">
        <v>5650</v>
      </c>
      <c r="L526" t="s">
        <v>1450</v>
      </c>
      <c r="M526" t="s">
        <v>1450</v>
      </c>
      <c r="N526" t="s">
        <v>170</v>
      </c>
      <c r="O526" t="s">
        <v>170</v>
      </c>
      <c r="P526" t="s">
        <v>1431</v>
      </c>
      <c r="Q526" t="s">
        <v>1432</v>
      </c>
      <c r="R526" t="s">
        <v>1215</v>
      </c>
      <c r="S526" t="s">
        <v>321</v>
      </c>
      <c r="T526" t="s">
        <v>144</v>
      </c>
      <c r="U526" t="s">
        <v>139</v>
      </c>
      <c r="V526" t="s">
        <v>99</v>
      </c>
      <c r="W526" t="s">
        <v>139</v>
      </c>
      <c r="X526" t="s">
        <v>145</v>
      </c>
    </row>
    <row r="527" spans="1:24" x14ac:dyDescent="0.2">
      <c r="A527" t="s">
        <v>1451</v>
      </c>
      <c r="B527">
        <v>866.21400000000006</v>
      </c>
      <c r="C527" t="s">
        <v>60</v>
      </c>
      <c r="D527" t="s">
        <v>61</v>
      </c>
      <c r="E527" t="s">
        <v>1212</v>
      </c>
      <c r="F527" t="s">
        <v>1213</v>
      </c>
      <c r="G527" t="s">
        <v>156</v>
      </c>
      <c r="H527" t="s">
        <v>278</v>
      </c>
      <c r="I527" t="s">
        <v>131</v>
      </c>
      <c r="J527" t="s">
        <v>132</v>
      </c>
      <c r="K527">
        <v>4950</v>
      </c>
      <c r="L527" t="s">
        <v>1452</v>
      </c>
      <c r="M527" t="s">
        <v>1452</v>
      </c>
      <c r="N527" t="s">
        <v>170</v>
      </c>
      <c r="O527" t="s">
        <v>170</v>
      </c>
      <c r="P527" t="s">
        <v>1431</v>
      </c>
      <c r="Q527" t="s">
        <v>1432</v>
      </c>
      <c r="R527" t="s">
        <v>1215</v>
      </c>
      <c r="S527" t="s">
        <v>289</v>
      </c>
      <c r="T527" t="s">
        <v>136</v>
      </c>
      <c r="U527" t="s">
        <v>131</v>
      </c>
      <c r="V527" t="s">
        <v>77</v>
      </c>
      <c r="W527" t="s">
        <v>131</v>
      </c>
      <c r="X527" t="s">
        <v>137</v>
      </c>
    </row>
    <row r="528" spans="1:24" x14ac:dyDescent="0.2">
      <c r="A528" t="s">
        <v>1453</v>
      </c>
      <c r="B528">
        <v>866.21400000000006</v>
      </c>
      <c r="C528" t="s">
        <v>60</v>
      </c>
      <c r="D528" t="s">
        <v>61</v>
      </c>
      <c r="E528" t="s">
        <v>445</v>
      </c>
      <c r="F528" t="s">
        <v>928</v>
      </c>
      <c r="G528" t="s">
        <v>111</v>
      </c>
      <c r="H528" t="s">
        <v>112</v>
      </c>
      <c r="I528" t="s">
        <v>65</v>
      </c>
      <c r="J528" t="s">
        <v>66</v>
      </c>
      <c r="K528">
        <v>6950</v>
      </c>
      <c r="L528" t="s">
        <v>1454</v>
      </c>
      <c r="M528" t="s">
        <v>1454</v>
      </c>
      <c r="N528" t="s">
        <v>170</v>
      </c>
      <c r="O528" t="s">
        <v>170</v>
      </c>
      <c r="P528" t="s">
        <v>1431</v>
      </c>
      <c r="Q528" t="s">
        <v>1432</v>
      </c>
      <c r="R528" t="s">
        <v>449</v>
      </c>
      <c r="S528" t="s">
        <v>114</v>
      </c>
      <c r="T528" t="s">
        <v>75</v>
      </c>
      <c r="U528" t="s">
        <v>76</v>
      </c>
      <c r="V528" t="s">
        <v>77</v>
      </c>
      <c r="W528" t="s">
        <v>76</v>
      </c>
      <c r="X528" t="s">
        <v>78</v>
      </c>
    </row>
    <row r="529" spans="1:24" x14ac:dyDescent="0.2">
      <c r="A529" t="s">
        <v>1455</v>
      </c>
      <c r="B529">
        <v>866.21400000000006</v>
      </c>
      <c r="C529" t="s">
        <v>60</v>
      </c>
      <c r="D529" t="s">
        <v>61</v>
      </c>
      <c r="E529" t="s">
        <v>1207</v>
      </c>
      <c r="F529" t="s">
        <v>1208</v>
      </c>
      <c r="G529" t="s">
        <v>111</v>
      </c>
      <c r="H529" t="s">
        <v>112</v>
      </c>
      <c r="I529" t="s">
        <v>82</v>
      </c>
      <c r="J529" t="s">
        <v>83</v>
      </c>
      <c r="K529">
        <v>7450</v>
      </c>
      <c r="L529" t="s">
        <v>1456</v>
      </c>
      <c r="M529" t="s">
        <v>1456</v>
      </c>
      <c r="N529" t="s">
        <v>170</v>
      </c>
      <c r="O529" t="s">
        <v>170</v>
      </c>
      <c r="P529" t="s">
        <v>1431</v>
      </c>
      <c r="Q529" t="s">
        <v>1432</v>
      </c>
      <c r="R529" t="s">
        <v>1210</v>
      </c>
      <c r="S529" t="s">
        <v>118</v>
      </c>
      <c r="T529" t="s">
        <v>75</v>
      </c>
      <c r="U529" t="s">
        <v>76</v>
      </c>
      <c r="V529" t="s">
        <v>77</v>
      </c>
      <c r="W529" t="s">
        <v>76</v>
      </c>
      <c r="X529" t="s">
        <v>78</v>
      </c>
    </row>
    <row r="530" spans="1:24" x14ac:dyDescent="0.2">
      <c r="A530" t="s">
        <v>1457</v>
      </c>
      <c r="B530">
        <v>866.21400000000006</v>
      </c>
      <c r="C530" t="s">
        <v>60</v>
      </c>
      <c r="D530" t="s">
        <v>61</v>
      </c>
      <c r="E530" t="s">
        <v>1212</v>
      </c>
      <c r="F530" t="s">
        <v>1213</v>
      </c>
      <c r="G530" t="s">
        <v>111</v>
      </c>
      <c r="H530" t="s">
        <v>112</v>
      </c>
      <c r="I530" t="s">
        <v>91</v>
      </c>
      <c r="J530" t="s">
        <v>92</v>
      </c>
      <c r="K530">
        <v>4550</v>
      </c>
      <c r="L530" t="s">
        <v>1458</v>
      </c>
      <c r="M530" t="s">
        <v>1458</v>
      </c>
      <c r="N530" t="s">
        <v>170</v>
      </c>
      <c r="O530" t="s">
        <v>170</v>
      </c>
      <c r="P530" t="s">
        <v>1431</v>
      </c>
      <c r="Q530" t="s">
        <v>1432</v>
      </c>
      <c r="R530" t="s">
        <v>1215</v>
      </c>
      <c r="S530" t="s">
        <v>122</v>
      </c>
      <c r="T530" t="s">
        <v>97</v>
      </c>
      <c r="U530" t="s">
        <v>98</v>
      </c>
      <c r="V530" t="s">
        <v>99</v>
      </c>
      <c r="W530" t="s">
        <v>98</v>
      </c>
      <c r="X530" t="s">
        <v>100</v>
      </c>
    </row>
    <row r="531" spans="1:24" x14ac:dyDescent="0.2">
      <c r="A531" t="s">
        <v>1459</v>
      </c>
      <c r="B531">
        <v>866.21400000000006</v>
      </c>
      <c r="C531" t="s">
        <v>60</v>
      </c>
      <c r="D531" t="s">
        <v>61</v>
      </c>
      <c r="E531" t="s">
        <v>1212</v>
      </c>
      <c r="F531" t="s">
        <v>1213</v>
      </c>
      <c r="G531" t="s">
        <v>111</v>
      </c>
      <c r="H531" t="s">
        <v>112</v>
      </c>
      <c r="I531" t="s">
        <v>102</v>
      </c>
      <c r="J531" t="s">
        <v>103</v>
      </c>
      <c r="K531">
        <v>4450</v>
      </c>
      <c r="L531" t="s">
        <v>1460</v>
      </c>
      <c r="M531" t="s">
        <v>1460</v>
      </c>
      <c r="N531" t="s">
        <v>170</v>
      </c>
      <c r="O531" t="s">
        <v>170</v>
      </c>
      <c r="P531" t="s">
        <v>1431</v>
      </c>
      <c r="Q531" t="s">
        <v>1432</v>
      </c>
      <c r="R531" t="s">
        <v>1215</v>
      </c>
      <c r="S531" t="s">
        <v>126</v>
      </c>
      <c r="T531" t="s">
        <v>127</v>
      </c>
      <c r="U531" t="s">
        <v>128</v>
      </c>
      <c r="V531" t="s">
        <v>77</v>
      </c>
      <c r="W531" t="s">
        <v>128</v>
      </c>
      <c r="X531" t="s">
        <v>129</v>
      </c>
    </row>
    <row r="532" spans="1:24" x14ac:dyDescent="0.2">
      <c r="A532" t="s">
        <v>1461</v>
      </c>
      <c r="B532">
        <v>866.21400000000006</v>
      </c>
      <c r="C532" t="s">
        <v>60</v>
      </c>
      <c r="D532" t="s">
        <v>61</v>
      </c>
      <c r="E532" t="s">
        <v>1212</v>
      </c>
      <c r="F532" t="s">
        <v>1213</v>
      </c>
      <c r="G532" t="s">
        <v>111</v>
      </c>
      <c r="H532" t="s">
        <v>112</v>
      </c>
      <c r="I532" t="s">
        <v>131</v>
      </c>
      <c r="J532" t="s">
        <v>132</v>
      </c>
      <c r="K532">
        <v>4950</v>
      </c>
      <c r="L532" t="s">
        <v>1462</v>
      </c>
      <c r="M532" t="s">
        <v>1462</v>
      </c>
      <c r="N532" t="s">
        <v>170</v>
      </c>
      <c r="O532" t="s">
        <v>170</v>
      </c>
      <c r="P532" t="s">
        <v>1431</v>
      </c>
      <c r="Q532" t="s">
        <v>1432</v>
      </c>
      <c r="R532" t="s">
        <v>1215</v>
      </c>
      <c r="S532" t="s">
        <v>135</v>
      </c>
      <c r="T532" t="s">
        <v>136</v>
      </c>
      <c r="U532" t="s">
        <v>131</v>
      </c>
      <c r="V532" t="s">
        <v>77</v>
      </c>
      <c r="W532" t="s">
        <v>131</v>
      </c>
      <c r="X532" t="s">
        <v>137</v>
      </c>
    </row>
    <row r="533" spans="1:24" x14ac:dyDescent="0.2">
      <c r="A533" t="s">
        <v>1463</v>
      </c>
      <c r="B533">
        <v>866.21400000000006</v>
      </c>
      <c r="C533" t="s">
        <v>60</v>
      </c>
      <c r="D533" t="s">
        <v>61</v>
      </c>
      <c r="E533" t="s">
        <v>1212</v>
      </c>
      <c r="F533" t="s">
        <v>1213</v>
      </c>
      <c r="G533" t="s">
        <v>306</v>
      </c>
      <c r="H533" t="s">
        <v>307</v>
      </c>
      <c r="I533" t="s">
        <v>91</v>
      </c>
      <c r="J533" t="s">
        <v>92</v>
      </c>
      <c r="K533">
        <v>5250</v>
      </c>
      <c r="L533" t="s">
        <v>1464</v>
      </c>
      <c r="M533" t="s">
        <v>1464</v>
      </c>
      <c r="N533" t="s">
        <v>170</v>
      </c>
      <c r="O533" t="s">
        <v>170</v>
      </c>
      <c r="P533" t="s">
        <v>1431</v>
      </c>
      <c r="Q533" t="s">
        <v>1432</v>
      </c>
      <c r="R533" t="s">
        <v>1215</v>
      </c>
      <c r="S533" t="s">
        <v>309</v>
      </c>
      <c r="T533" t="s">
        <v>97</v>
      </c>
      <c r="U533" t="s">
        <v>98</v>
      </c>
      <c r="V533" t="s">
        <v>99</v>
      </c>
      <c r="W533" t="s">
        <v>98</v>
      </c>
      <c r="X533" t="s">
        <v>100</v>
      </c>
    </row>
    <row r="534" spans="1:24" x14ac:dyDescent="0.2">
      <c r="A534" t="s">
        <v>1465</v>
      </c>
      <c r="B534">
        <v>866.21400000000006</v>
      </c>
      <c r="C534" t="s">
        <v>60</v>
      </c>
      <c r="D534" t="s">
        <v>61</v>
      </c>
      <c r="E534" t="s">
        <v>1212</v>
      </c>
      <c r="F534" t="s">
        <v>1213</v>
      </c>
      <c r="G534" t="s">
        <v>306</v>
      </c>
      <c r="H534" t="s">
        <v>307</v>
      </c>
      <c r="I534" t="s">
        <v>102</v>
      </c>
      <c r="J534" t="s">
        <v>103</v>
      </c>
      <c r="K534">
        <v>5150</v>
      </c>
      <c r="L534" t="s">
        <v>1466</v>
      </c>
      <c r="M534" t="s">
        <v>1466</v>
      </c>
      <c r="N534" t="s">
        <v>170</v>
      </c>
      <c r="O534" t="s">
        <v>170</v>
      </c>
      <c r="P534" t="s">
        <v>1431</v>
      </c>
      <c r="Q534" t="s">
        <v>1432</v>
      </c>
      <c r="R534" t="s">
        <v>1215</v>
      </c>
      <c r="S534" t="s">
        <v>312</v>
      </c>
      <c r="T534" t="s">
        <v>313</v>
      </c>
      <c r="U534" t="s">
        <v>314</v>
      </c>
      <c r="V534" t="s">
        <v>77</v>
      </c>
      <c r="W534" t="s">
        <v>314</v>
      </c>
      <c r="X534" t="s">
        <v>315</v>
      </c>
    </row>
    <row r="535" spans="1:24" x14ac:dyDescent="0.2">
      <c r="A535" t="s">
        <v>1467</v>
      </c>
      <c r="B535">
        <v>866.21400000000006</v>
      </c>
      <c r="C535" t="s">
        <v>60</v>
      </c>
      <c r="D535" t="s">
        <v>61</v>
      </c>
      <c r="E535" t="s">
        <v>1212</v>
      </c>
      <c r="F535" t="s">
        <v>1213</v>
      </c>
      <c r="G535" t="s">
        <v>306</v>
      </c>
      <c r="H535" t="s">
        <v>307</v>
      </c>
      <c r="I535" t="s">
        <v>131</v>
      </c>
      <c r="J535" t="s">
        <v>132</v>
      </c>
      <c r="K535">
        <v>5650</v>
      </c>
      <c r="L535" t="s">
        <v>1468</v>
      </c>
      <c r="M535" t="s">
        <v>1468</v>
      </c>
      <c r="N535" t="s">
        <v>170</v>
      </c>
      <c r="O535" t="s">
        <v>170</v>
      </c>
      <c r="P535" t="s">
        <v>1431</v>
      </c>
      <c r="Q535" t="s">
        <v>1432</v>
      </c>
      <c r="R535" t="s">
        <v>1215</v>
      </c>
      <c r="S535" t="s">
        <v>318</v>
      </c>
      <c r="T535" t="s">
        <v>136</v>
      </c>
      <c r="U535" t="s">
        <v>131</v>
      </c>
      <c r="V535" t="s">
        <v>77</v>
      </c>
      <c r="W535" t="s">
        <v>131</v>
      </c>
      <c r="X535" t="s">
        <v>137</v>
      </c>
    </row>
    <row r="536" spans="1:24" x14ac:dyDescent="0.2">
      <c r="A536" t="s">
        <v>1469</v>
      </c>
      <c r="B536">
        <v>866.21400000000006</v>
      </c>
      <c r="C536" t="s">
        <v>60</v>
      </c>
      <c r="D536" t="s">
        <v>61</v>
      </c>
      <c r="E536" t="s">
        <v>1212</v>
      </c>
      <c r="F536" t="s">
        <v>1213</v>
      </c>
      <c r="H536" t="s">
        <v>64</v>
      </c>
      <c r="I536" t="s">
        <v>131</v>
      </c>
      <c r="J536" t="s">
        <v>132</v>
      </c>
      <c r="K536">
        <v>4250</v>
      </c>
      <c r="L536" t="s">
        <v>1470</v>
      </c>
      <c r="M536" t="s">
        <v>1470</v>
      </c>
      <c r="N536" t="s">
        <v>170</v>
      </c>
      <c r="O536" t="s">
        <v>170</v>
      </c>
      <c r="P536" t="s">
        <v>1431</v>
      </c>
      <c r="Q536" t="s">
        <v>1432</v>
      </c>
      <c r="R536" t="s">
        <v>1215</v>
      </c>
      <c r="S536" t="s">
        <v>149</v>
      </c>
      <c r="T536" t="s">
        <v>136</v>
      </c>
      <c r="U536" t="s">
        <v>131</v>
      </c>
      <c r="V536" t="s">
        <v>77</v>
      </c>
      <c r="W536" t="s">
        <v>131</v>
      </c>
      <c r="X536" t="s">
        <v>137</v>
      </c>
    </row>
    <row r="537" spans="1:24" x14ac:dyDescent="0.2">
      <c r="A537" t="s">
        <v>1471</v>
      </c>
      <c r="B537" t="s">
        <v>1472</v>
      </c>
      <c r="C537" t="s">
        <v>60</v>
      </c>
      <c r="D537" t="s">
        <v>61</v>
      </c>
      <c r="E537" t="s">
        <v>512</v>
      </c>
      <c r="F537" t="s">
        <v>513</v>
      </c>
      <c r="G537" t="s">
        <v>159</v>
      </c>
      <c r="H537" t="s">
        <v>160</v>
      </c>
      <c r="I537" t="s">
        <v>102</v>
      </c>
      <c r="J537" t="s">
        <v>103</v>
      </c>
      <c r="K537">
        <v>3850</v>
      </c>
      <c r="L537" t="s">
        <v>1473</v>
      </c>
      <c r="M537" t="s">
        <v>1473</v>
      </c>
      <c r="N537" t="s">
        <v>946</v>
      </c>
      <c r="O537" t="s">
        <v>946</v>
      </c>
      <c r="P537" t="s">
        <v>1083</v>
      </c>
      <c r="Q537" t="s">
        <v>1084</v>
      </c>
      <c r="R537" t="s">
        <v>515</v>
      </c>
      <c r="S537" t="s">
        <v>166</v>
      </c>
      <c r="T537" t="s">
        <v>107</v>
      </c>
      <c r="U537" t="s">
        <v>108</v>
      </c>
      <c r="V537" t="s">
        <v>77</v>
      </c>
      <c r="W537" t="s">
        <v>108</v>
      </c>
      <c r="X537" t="s">
        <v>109</v>
      </c>
    </row>
    <row r="538" spans="1:24" x14ac:dyDescent="0.2">
      <c r="A538" t="s">
        <v>1474</v>
      </c>
      <c r="B538">
        <v>894.59199999999998</v>
      </c>
      <c r="C538" t="s">
        <v>60</v>
      </c>
      <c r="D538" t="s">
        <v>61</v>
      </c>
      <c r="E538" t="s">
        <v>445</v>
      </c>
      <c r="F538" t="s">
        <v>928</v>
      </c>
      <c r="H538" t="s">
        <v>64</v>
      </c>
      <c r="I538" t="s">
        <v>65</v>
      </c>
      <c r="J538" t="s">
        <v>66</v>
      </c>
      <c r="K538">
        <v>6250</v>
      </c>
      <c r="L538" t="s">
        <v>1475</v>
      </c>
      <c r="M538" t="s">
        <v>1475</v>
      </c>
      <c r="N538" t="s">
        <v>170</v>
      </c>
      <c r="O538" t="s">
        <v>170</v>
      </c>
      <c r="P538" t="s">
        <v>1476</v>
      </c>
      <c r="Q538" t="s">
        <v>1477</v>
      </c>
      <c r="R538" t="s">
        <v>449</v>
      </c>
      <c r="S538" t="s">
        <v>74</v>
      </c>
      <c r="T538" t="s">
        <v>75</v>
      </c>
      <c r="U538" t="s">
        <v>76</v>
      </c>
      <c r="V538" t="s">
        <v>77</v>
      </c>
      <c r="W538" t="s">
        <v>76</v>
      </c>
      <c r="X538" t="s">
        <v>78</v>
      </c>
    </row>
    <row r="539" spans="1:24" x14ac:dyDescent="0.2">
      <c r="A539" t="s">
        <v>1478</v>
      </c>
      <c r="B539">
        <v>894.59199999999998</v>
      </c>
      <c r="C539" t="s">
        <v>60</v>
      </c>
      <c r="D539" t="s">
        <v>61</v>
      </c>
      <c r="E539" t="s">
        <v>650</v>
      </c>
      <c r="F539" t="s">
        <v>1479</v>
      </c>
      <c r="H539" t="s">
        <v>64</v>
      </c>
      <c r="I539" t="s">
        <v>82</v>
      </c>
      <c r="J539" t="s">
        <v>83</v>
      </c>
      <c r="K539">
        <v>6750</v>
      </c>
      <c r="L539" t="s">
        <v>1480</v>
      </c>
      <c r="M539" t="s">
        <v>1480</v>
      </c>
      <c r="N539" t="s">
        <v>170</v>
      </c>
      <c r="O539" t="s">
        <v>170</v>
      </c>
      <c r="P539" t="s">
        <v>1476</v>
      </c>
      <c r="Q539" t="s">
        <v>1477</v>
      </c>
      <c r="R539" t="s">
        <v>1481</v>
      </c>
      <c r="S539" t="s">
        <v>87</v>
      </c>
      <c r="T539" t="s">
        <v>75</v>
      </c>
      <c r="U539" t="s">
        <v>76</v>
      </c>
      <c r="V539" t="s">
        <v>77</v>
      </c>
      <c r="W539" t="s">
        <v>76</v>
      </c>
      <c r="X539" t="s">
        <v>78</v>
      </c>
    </row>
    <row r="540" spans="1:24" x14ac:dyDescent="0.2">
      <c r="A540" t="s">
        <v>1482</v>
      </c>
      <c r="B540">
        <v>894.59199999999998</v>
      </c>
      <c r="C540" t="s">
        <v>60</v>
      </c>
      <c r="D540" t="s">
        <v>61</v>
      </c>
      <c r="E540" t="s">
        <v>1212</v>
      </c>
      <c r="F540" t="s">
        <v>1213</v>
      </c>
      <c r="H540" t="s">
        <v>64</v>
      </c>
      <c r="I540" t="s">
        <v>91</v>
      </c>
      <c r="J540" t="s">
        <v>92</v>
      </c>
      <c r="K540">
        <v>3850</v>
      </c>
      <c r="L540" t="s">
        <v>1483</v>
      </c>
      <c r="M540" t="s">
        <v>1483</v>
      </c>
      <c r="N540" t="s">
        <v>170</v>
      </c>
      <c r="O540" t="s">
        <v>170</v>
      </c>
      <c r="P540" t="s">
        <v>1476</v>
      </c>
      <c r="Q540" t="s">
        <v>1477</v>
      </c>
      <c r="R540" t="s">
        <v>1215</v>
      </c>
      <c r="S540" t="s">
        <v>96</v>
      </c>
      <c r="T540" t="s">
        <v>97</v>
      </c>
      <c r="U540" t="s">
        <v>98</v>
      </c>
      <c r="V540" t="s">
        <v>99</v>
      </c>
      <c r="W540" t="s">
        <v>98</v>
      </c>
      <c r="X540" t="s">
        <v>100</v>
      </c>
    </row>
    <row r="541" spans="1:24" x14ac:dyDescent="0.2">
      <c r="A541" t="s">
        <v>1484</v>
      </c>
      <c r="B541">
        <v>894.59199999999998</v>
      </c>
      <c r="C541" t="s">
        <v>60</v>
      </c>
      <c r="D541" t="s">
        <v>61</v>
      </c>
      <c r="E541" t="s">
        <v>1212</v>
      </c>
      <c r="F541" t="s">
        <v>1213</v>
      </c>
      <c r="H541" t="s">
        <v>64</v>
      </c>
      <c r="I541" t="s">
        <v>102</v>
      </c>
      <c r="J541" t="s">
        <v>103</v>
      </c>
      <c r="K541">
        <v>3750</v>
      </c>
      <c r="L541" t="s">
        <v>1485</v>
      </c>
      <c r="M541" t="s">
        <v>1485</v>
      </c>
      <c r="N541" t="s">
        <v>170</v>
      </c>
      <c r="O541" t="s">
        <v>170</v>
      </c>
      <c r="P541" t="s">
        <v>1476</v>
      </c>
      <c r="Q541" t="s">
        <v>1477</v>
      </c>
      <c r="R541" t="s">
        <v>1215</v>
      </c>
      <c r="S541" t="s">
        <v>106</v>
      </c>
      <c r="T541" t="s">
        <v>107</v>
      </c>
      <c r="U541" t="s">
        <v>108</v>
      </c>
      <c r="V541" t="s">
        <v>77</v>
      </c>
      <c r="W541" t="s">
        <v>108</v>
      </c>
      <c r="X541" t="s">
        <v>109</v>
      </c>
    </row>
    <row r="542" spans="1:24" x14ac:dyDescent="0.2">
      <c r="A542" t="s">
        <v>1486</v>
      </c>
      <c r="B542">
        <v>894.59199999999998</v>
      </c>
      <c r="C542" t="s">
        <v>60</v>
      </c>
      <c r="D542" t="s">
        <v>61</v>
      </c>
      <c r="E542" t="s">
        <v>1212</v>
      </c>
      <c r="F542" t="s">
        <v>1213</v>
      </c>
      <c r="G542" t="s">
        <v>156</v>
      </c>
      <c r="H542" t="s">
        <v>278</v>
      </c>
      <c r="I542" t="s">
        <v>91</v>
      </c>
      <c r="J542" t="s">
        <v>92</v>
      </c>
      <c r="K542">
        <v>4550</v>
      </c>
      <c r="L542" t="s">
        <v>1487</v>
      </c>
      <c r="M542" t="s">
        <v>1487</v>
      </c>
      <c r="N542" t="s">
        <v>170</v>
      </c>
      <c r="O542" t="s">
        <v>170</v>
      </c>
      <c r="P542" t="s">
        <v>1476</v>
      </c>
      <c r="Q542" t="s">
        <v>1477</v>
      </c>
      <c r="R542" t="s">
        <v>1215</v>
      </c>
      <c r="S542" t="s">
        <v>280</v>
      </c>
      <c r="T542" t="s">
        <v>97</v>
      </c>
      <c r="U542" t="s">
        <v>98</v>
      </c>
      <c r="V542" t="s">
        <v>99</v>
      </c>
      <c r="W542" t="s">
        <v>98</v>
      </c>
      <c r="X542" t="s">
        <v>100</v>
      </c>
    </row>
    <row r="543" spans="1:24" x14ac:dyDescent="0.2">
      <c r="A543" t="s">
        <v>1488</v>
      </c>
      <c r="B543">
        <v>894.59199999999998</v>
      </c>
      <c r="C543" t="s">
        <v>60</v>
      </c>
      <c r="D543" t="s">
        <v>61</v>
      </c>
      <c r="E543" t="s">
        <v>1212</v>
      </c>
      <c r="F543" t="s">
        <v>1213</v>
      </c>
      <c r="G543" t="s">
        <v>156</v>
      </c>
      <c r="H543" t="s">
        <v>278</v>
      </c>
      <c r="I543" t="s">
        <v>102</v>
      </c>
      <c r="J543" t="s">
        <v>103</v>
      </c>
      <c r="K543">
        <v>4450</v>
      </c>
      <c r="L543" t="s">
        <v>1489</v>
      </c>
      <c r="M543" t="s">
        <v>1489</v>
      </c>
      <c r="N543" t="s">
        <v>170</v>
      </c>
      <c r="O543" t="s">
        <v>170</v>
      </c>
      <c r="P543" t="s">
        <v>1476</v>
      </c>
      <c r="Q543" t="s">
        <v>1477</v>
      </c>
      <c r="R543" t="s">
        <v>1215</v>
      </c>
      <c r="S543" t="s">
        <v>283</v>
      </c>
      <c r="T543" t="s">
        <v>284</v>
      </c>
      <c r="U543" t="s">
        <v>285</v>
      </c>
      <c r="V543" t="s">
        <v>77</v>
      </c>
      <c r="W543" t="s">
        <v>285</v>
      </c>
      <c r="X543" t="s">
        <v>286</v>
      </c>
    </row>
    <row r="544" spans="1:24" x14ac:dyDescent="0.2">
      <c r="A544" t="s">
        <v>1490</v>
      </c>
      <c r="B544">
        <v>894.59199999999998</v>
      </c>
      <c r="C544" t="s">
        <v>60</v>
      </c>
      <c r="D544" t="s">
        <v>61</v>
      </c>
      <c r="E544" t="s">
        <v>1212</v>
      </c>
      <c r="F544" t="s">
        <v>1213</v>
      </c>
      <c r="G544" t="s">
        <v>156</v>
      </c>
      <c r="H544" t="s">
        <v>278</v>
      </c>
      <c r="I544" t="s">
        <v>131</v>
      </c>
      <c r="J544" t="s">
        <v>132</v>
      </c>
      <c r="K544">
        <v>4950</v>
      </c>
      <c r="L544" t="s">
        <v>1491</v>
      </c>
      <c r="M544" t="s">
        <v>1491</v>
      </c>
      <c r="N544" t="s">
        <v>170</v>
      </c>
      <c r="O544" t="s">
        <v>170</v>
      </c>
      <c r="P544" t="s">
        <v>1476</v>
      </c>
      <c r="Q544" t="s">
        <v>1477</v>
      </c>
      <c r="R544" t="s">
        <v>1215</v>
      </c>
      <c r="S544" t="s">
        <v>289</v>
      </c>
      <c r="T544" t="s">
        <v>136</v>
      </c>
      <c r="U544" t="s">
        <v>131</v>
      </c>
      <c r="V544" t="s">
        <v>77</v>
      </c>
      <c r="W544" t="s">
        <v>131</v>
      </c>
      <c r="X544" t="s">
        <v>137</v>
      </c>
    </row>
    <row r="545" spans="1:24" x14ac:dyDescent="0.2">
      <c r="A545" t="s">
        <v>1492</v>
      </c>
      <c r="B545">
        <v>894.59199999999998</v>
      </c>
      <c r="C545" t="s">
        <v>60</v>
      </c>
      <c r="D545" t="s">
        <v>61</v>
      </c>
      <c r="E545" t="s">
        <v>445</v>
      </c>
      <c r="F545" t="s">
        <v>928</v>
      </c>
      <c r="G545" t="s">
        <v>111</v>
      </c>
      <c r="H545" t="s">
        <v>112</v>
      </c>
      <c r="I545" t="s">
        <v>65</v>
      </c>
      <c r="J545" t="s">
        <v>66</v>
      </c>
      <c r="K545">
        <v>6950</v>
      </c>
      <c r="L545" t="s">
        <v>1493</v>
      </c>
      <c r="M545" t="s">
        <v>1493</v>
      </c>
      <c r="N545" t="s">
        <v>170</v>
      </c>
      <c r="O545" t="s">
        <v>170</v>
      </c>
      <c r="P545" t="s">
        <v>1476</v>
      </c>
      <c r="Q545" t="s">
        <v>1477</v>
      </c>
      <c r="R545" t="s">
        <v>449</v>
      </c>
      <c r="S545" t="s">
        <v>114</v>
      </c>
      <c r="T545" t="s">
        <v>75</v>
      </c>
      <c r="U545" t="s">
        <v>76</v>
      </c>
      <c r="V545" t="s">
        <v>77</v>
      </c>
      <c r="W545" t="s">
        <v>76</v>
      </c>
      <c r="X545" t="s">
        <v>78</v>
      </c>
    </row>
    <row r="546" spans="1:24" x14ac:dyDescent="0.2">
      <c r="A546" t="s">
        <v>1494</v>
      </c>
      <c r="B546">
        <v>894.59199999999998</v>
      </c>
      <c r="C546" t="s">
        <v>60</v>
      </c>
      <c r="D546" t="s">
        <v>61</v>
      </c>
      <c r="E546" t="s">
        <v>650</v>
      </c>
      <c r="F546" t="s">
        <v>1479</v>
      </c>
      <c r="G546" t="s">
        <v>111</v>
      </c>
      <c r="H546" t="s">
        <v>112</v>
      </c>
      <c r="I546" t="s">
        <v>82</v>
      </c>
      <c r="J546" t="s">
        <v>83</v>
      </c>
      <c r="K546">
        <v>7450</v>
      </c>
      <c r="L546" t="s">
        <v>1495</v>
      </c>
      <c r="M546" t="s">
        <v>1495</v>
      </c>
      <c r="N546" t="s">
        <v>170</v>
      </c>
      <c r="O546" t="s">
        <v>170</v>
      </c>
      <c r="P546" t="s">
        <v>1476</v>
      </c>
      <c r="Q546" t="s">
        <v>1477</v>
      </c>
      <c r="R546" t="s">
        <v>1481</v>
      </c>
      <c r="S546" t="s">
        <v>118</v>
      </c>
      <c r="T546" t="s">
        <v>75</v>
      </c>
      <c r="U546" t="s">
        <v>76</v>
      </c>
      <c r="V546" t="s">
        <v>77</v>
      </c>
      <c r="W546" t="s">
        <v>76</v>
      </c>
      <c r="X546" t="s">
        <v>78</v>
      </c>
    </row>
    <row r="547" spans="1:24" x14ac:dyDescent="0.2">
      <c r="A547" t="s">
        <v>1496</v>
      </c>
      <c r="B547">
        <v>894.59199999999998</v>
      </c>
      <c r="C547" t="s">
        <v>60</v>
      </c>
      <c r="D547" t="s">
        <v>61</v>
      </c>
      <c r="E547" t="s">
        <v>1212</v>
      </c>
      <c r="F547" t="s">
        <v>1213</v>
      </c>
      <c r="G547" t="s">
        <v>111</v>
      </c>
      <c r="H547" t="s">
        <v>112</v>
      </c>
      <c r="I547" t="s">
        <v>91</v>
      </c>
      <c r="J547" t="s">
        <v>92</v>
      </c>
      <c r="K547">
        <v>4550</v>
      </c>
      <c r="L547" t="s">
        <v>1497</v>
      </c>
      <c r="M547" t="s">
        <v>1497</v>
      </c>
      <c r="N547" t="s">
        <v>170</v>
      </c>
      <c r="O547" t="s">
        <v>170</v>
      </c>
      <c r="P547" t="s">
        <v>1476</v>
      </c>
      <c r="Q547" t="s">
        <v>1477</v>
      </c>
      <c r="R547" t="s">
        <v>1215</v>
      </c>
      <c r="S547" t="s">
        <v>122</v>
      </c>
      <c r="T547" t="s">
        <v>97</v>
      </c>
      <c r="U547" t="s">
        <v>98</v>
      </c>
      <c r="V547" t="s">
        <v>99</v>
      </c>
      <c r="W547" t="s">
        <v>98</v>
      </c>
      <c r="X547" t="s">
        <v>100</v>
      </c>
    </row>
    <row r="548" spans="1:24" x14ac:dyDescent="0.2">
      <c r="A548" t="s">
        <v>1498</v>
      </c>
      <c r="B548">
        <v>894.59199999999998</v>
      </c>
      <c r="C548" t="s">
        <v>60</v>
      </c>
      <c r="D548" t="s">
        <v>61</v>
      </c>
      <c r="E548" t="s">
        <v>1212</v>
      </c>
      <c r="F548" t="s">
        <v>1213</v>
      </c>
      <c r="G548" t="s">
        <v>111</v>
      </c>
      <c r="H548" t="s">
        <v>112</v>
      </c>
      <c r="I548" t="s">
        <v>102</v>
      </c>
      <c r="J548" t="s">
        <v>103</v>
      </c>
      <c r="K548">
        <v>4450</v>
      </c>
      <c r="L548" t="s">
        <v>1499</v>
      </c>
      <c r="M548" t="s">
        <v>1499</v>
      </c>
      <c r="N548" t="s">
        <v>170</v>
      </c>
      <c r="O548" t="s">
        <v>170</v>
      </c>
      <c r="P548" t="s">
        <v>1476</v>
      </c>
      <c r="Q548" t="s">
        <v>1477</v>
      </c>
      <c r="R548" t="s">
        <v>1215</v>
      </c>
      <c r="S548" t="s">
        <v>126</v>
      </c>
      <c r="T548" t="s">
        <v>127</v>
      </c>
      <c r="U548" t="s">
        <v>128</v>
      </c>
      <c r="V548" t="s">
        <v>77</v>
      </c>
      <c r="W548" t="s">
        <v>128</v>
      </c>
      <c r="X548" t="s">
        <v>129</v>
      </c>
    </row>
    <row r="549" spans="1:24" x14ac:dyDescent="0.2">
      <c r="A549" t="s">
        <v>1500</v>
      </c>
      <c r="B549">
        <v>894.59199999999998</v>
      </c>
      <c r="C549" t="s">
        <v>60</v>
      </c>
      <c r="D549" t="s">
        <v>61</v>
      </c>
      <c r="E549" t="s">
        <v>1212</v>
      </c>
      <c r="F549" t="s">
        <v>1213</v>
      </c>
      <c r="G549" t="s">
        <v>111</v>
      </c>
      <c r="H549" t="s">
        <v>112</v>
      </c>
      <c r="I549" t="s">
        <v>131</v>
      </c>
      <c r="J549" t="s">
        <v>132</v>
      </c>
      <c r="K549">
        <v>4950</v>
      </c>
      <c r="L549" t="s">
        <v>1501</v>
      </c>
      <c r="M549" t="s">
        <v>1501</v>
      </c>
      <c r="N549" t="s">
        <v>170</v>
      </c>
      <c r="O549" t="s">
        <v>170</v>
      </c>
      <c r="P549" t="s">
        <v>1476</v>
      </c>
      <c r="Q549" t="s">
        <v>1477</v>
      </c>
      <c r="R549" t="s">
        <v>1215</v>
      </c>
      <c r="S549" t="s">
        <v>135</v>
      </c>
      <c r="T549" t="s">
        <v>136</v>
      </c>
      <c r="U549" t="s">
        <v>131</v>
      </c>
      <c r="V549" t="s">
        <v>77</v>
      </c>
      <c r="W549" t="s">
        <v>131</v>
      </c>
      <c r="X549" t="s">
        <v>137</v>
      </c>
    </row>
    <row r="550" spans="1:24" x14ac:dyDescent="0.2">
      <c r="A550" t="s">
        <v>1502</v>
      </c>
      <c r="B550">
        <v>894.59199999999998</v>
      </c>
      <c r="C550" t="s">
        <v>60</v>
      </c>
      <c r="D550" t="s">
        <v>61</v>
      </c>
      <c r="E550" t="s">
        <v>1212</v>
      </c>
      <c r="F550" t="s">
        <v>1213</v>
      </c>
      <c r="G550" t="s">
        <v>306</v>
      </c>
      <c r="H550" t="s">
        <v>307</v>
      </c>
      <c r="I550" t="s">
        <v>91</v>
      </c>
      <c r="J550" t="s">
        <v>92</v>
      </c>
      <c r="K550">
        <v>5250</v>
      </c>
      <c r="L550" t="s">
        <v>1503</v>
      </c>
      <c r="M550" t="s">
        <v>1503</v>
      </c>
      <c r="N550" t="s">
        <v>170</v>
      </c>
      <c r="O550" t="s">
        <v>170</v>
      </c>
      <c r="P550" t="s">
        <v>1476</v>
      </c>
      <c r="Q550" t="s">
        <v>1477</v>
      </c>
      <c r="R550" t="s">
        <v>1215</v>
      </c>
      <c r="S550" t="s">
        <v>309</v>
      </c>
      <c r="T550" t="s">
        <v>97</v>
      </c>
      <c r="U550" t="s">
        <v>98</v>
      </c>
      <c r="V550" t="s">
        <v>99</v>
      </c>
      <c r="W550" t="s">
        <v>98</v>
      </c>
      <c r="X550" t="s">
        <v>100</v>
      </c>
    </row>
    <row r="551" spans="1:24" x14ac:dyDescent="0.2">
      <c r="A551" t="s">
        <v>1504</v>
      </c>
      <c r="B551">
        <v>894.59199999999998</v>
      </c>
      <c r="C551" t="s">
        <v>60</v>
      </c>
      <c r="D551" t="s">
        <v>61</v>
      </c>
      <c r="E551" t="s">
        <v>1212</v>
      </c>
      <c r="F551" t="s">
        <v>1213</v>
      </c>
      <c r="G551" t="s">
        <v>306</v>
      </c>
      <c r="H551" t="s">
        <v>307</v>
      </c>
      <c r="I551" t="s">
        <v>102</v>
      </c>
      <c r="J551" t="s">
        <v>103</v>
      </c>
      <c r="K551">
        <v>5150</v>
      </c>
      <c r="L551" t="s">
        <v>1505</v>
      </c>
      <c r="M551" t="s">
        <v>1505</v>
      </c>
      <c r="N551" t="s">
        <v>170</v>
      </c>
      <c r="O551" t="s">
        <v>170</v>
      </c>
      <c r="P551" t="s">
        <v>1476</v>
      </c>
      <c r="Q551" t="s">
        <v>1477</v>
      </c>
      <c r="R551" t="s">
        <v>1215</v>
      </c>
      <c r="S551" t="s">
        <v>312</v>
      </c>
      <c r="T551" t="s">
        <v>313</v>
      </c>
      <c r="U551" t="s">
        <v>314</v>
      </c>
      <c r="V551" t="s">
        <v>77</v>
      </c>
      <c r="W551" t="s">
        <v>314</v>
      </c>
      <c r="X551" t="s">
        <v>315</v>
      </c>
    </row>
    <row r="552" spans="1:24" x14ac:dyDescent="0.2">
      <c r="A552" t="s">
        <v>1506</v>
      </c>
      <c r="B552">
        <v>894.59199999999998</v>
      </c>
      <c r="C552" t="s">
        <v>60</v>
      </c>
      <c r="D552" t="s">
        <v>61</v>
      </c>
      <c r="E552" t="s">
        <v>1212</v>
      </c>
      <c r="F552" t="s">
        <v>1213</v>
      </c>
      <c r="G552" t="s">
        <v>306</v>
      </c>
      <c r="H552" t="s">
        <v>307</v>
      </c>
      <c r="I552" t="s">
        <v>131</v>
      </c>
      <c r="J552" t="s">
        <v>132</v>
      </c>
      <c r="K552">
        <v>5650</v>
      </c>
      <c r="L552" t="s">
        <v>1507</v>
      </c>
      <c r="M552" t="s">
        <v>1507</v>
      </c>
      <c r="N552" t="s">
        <v>170</v>
      </c>
      <c r="O552" t="s">
        <v>170</v>
      </c>
      <c r="P552" t="s">
        <v>1476</v>
      </c>
      <c r="Q552" t="s">
        <v>1477</v>
      </c>
      <c r="R552" t="s">
        <v>1215</v>
      </c>
      <c r="S552" t="s">
        <v>318</v>
      </c>
      <c r="T552" t="s">
        <v>136</v>
      </c>
      <c r="U552" t="s">
        <v>131</v>
      </c>
      <c r="V552" t="s">
        <v>77</v>
      </c>
      <c r="W552" t="s">
        <v>131</v>
      </c>
      <c r="X552" t="s">
        <v>137</v>
      </c>
    </row>
    <row r="553" spans="1:24" x14ac:dyDescent="0.2">
      <c r="A553" t="s">
        <v>1508</v>
      </c>
      <c r="B553">
        <v>894.59199999999998</v>
      </c>
      <c r="C553" t="s">
        <v>60</v>
      </c>
      <c r="D553" t="s">
        <v>61</v>
      </c>
      <c r="E553" t="s">
        <v>1212</v>
      </c>
      <c r="F553" t="s">
        <v>1213</v>
      </c>
      <c r="H553" t="s">
        <v>64</v>
      </c>
      <c r="I553" t="s">
        <v>131</v>
      </c>
      <c r="J553" t="s">
        <v>132</v>
      </c>
      <c r="K553">
        <v>4250</v>
      </c>
      <c r="L553" t="s">
        <v>1509</v>
      </c>
      <c r="M553" t="s">
        <v>1509</v>
      </c>
      <c r="N553" t="s">
        <v>170</v>
      </c>
      <c r="O553" t="s">
        <v>170</v>
      </c>
      <c r="P553" t="s">
        <v>1476</v>
      </c>
      <c r="Q553" t="s">
        <v>1477</v>
      </c>
      <c r="R553" t="s">
        <v>1215</v>
      </c>
      <c r="S553" t="s">
        <v>149</v>
      </c>
      <c r="T553" t="s">
        <v>136</v>
      </c>
      <c r="U553" t="s">
        <v>131</v>
      </c>
      <c r="V553" t="s">
        <v>77</v>
      </c>
      <c r="W553" t="s">
        <v>131</v>
      </c>
      <c r="X553" t="s">
        <v>137</v>
      </c>
    </row>
    <row r="554" spans="1:24" x14ac:dyDescent="0.2">
      <c r="A554" t="s">
        <v>1510</v>
      </c>
      <c r="B554">
        <v>894.59199999999998</v>
      </c>
      <c r="C554" t="s">
        <v>60</v>
      </c>
      <c r="D554" t="s">
        <v>156</v>
      </c>
      <c r="E554" t="s">
        <v>445</v>
      </c>
      <c r="F554" t="s">
        <v>502</v>
      </c>
      <c r="H554" t="s">
        <v>64</v>
      </c>
      <c r="I554" t="s">
        <v>642</v>
      </c>
      <c r="J554" t="s">
        <v>643</v>
      </c>
      <c r="K554">
        <v>2900</v>
      </c>
      <c r="L554" t="s">
        <v>1511</v>
      </c>
      <c r="M554" t="s">
        <v>1511</v>
      </c>
      <c r="N554" t="s">
        <v>170</v>
      </c>
      <c r="O554" t="s">
        <v>170</v>
      </c>
      <c r="P554" t="s">
        <v>1476</v>
      </c>
      <c r="Q554" t="s">
        <v>1477</v>
      </c>
      <c r="R554" t="s">
        <v>504</v>
      </c>
      <c r="S554" t="s">
        <v>645</v>
      </c>
      <c r="T554" t="s">
        <v>646</v>
      </c>
      <c r="U554" t="s">
        <v>647</v>
      </c>
      <c r="V554" t="s">
        <v>77</v>
      </c>
      <c r="W554" t="s">
        <v>647</v>
      </c>
      <c r="X554" t="s">
        <v>648</v>
      </c>
    </row>
    <row r="555" spans="1:24" x14ac:dyDescent="0.2">
      <c r="A555" t="s">
        <v>1512</v>
      </c>
      <c r="B555">
        <v>894.59199999999998</v>
      </c>
      <c r="C555" t="s">
        <v>60</v>
      </c>
      <c r="D555" t="s">
        <v>156</v>
      </c>
      <c r="E555" t="s">
        <v>1513</v>
      </c>
      <c r="F555" t="s">
        <v>1514</v>
      </c>
      <c r="H555" t="s">
        <v>64</v>
      </c>
      <c r="I555" t="s">
        <v>65</v>
      </c>
      <c r="J555" t="s">
        <v>66</v>
      </c>
      <c r="K555">
        <v>5250</v>
      </c>
      <c r="L555" t="s">
        <v>1515</v>
      </c>
      <c r="M555" t="s">
        <v>1515</v>
      </c>
      <c r="N555" t="s">
        <v>170</v>
      </c>
      <c r="O555" t="s">
        <v>170</v>
      </c>
      <c r="P555" t="s">
        <v>1476</v>
      </c>
      <c r="Q555" t="s">
        <v>1477</v>
      </c>
      <c r="R555" t="s">
        <v>1516</v>
      </c>
      <c r="S555" t="s">
        <v>74</v>
      </c>
      <c r="T555" t="s">
        <v>75</v>
      </c>
      <c r="U555" t="s">
        <v>76</v>
      </c>
      <c r="V555" t="s">
        <v>77</v>
      </c>
      <c r="W555" t="s">
        <v>76</v>
      </c>
      <c r="X555" t="s">
        <v>78</v>
      </c>
    </row>
    <row r="556" spans="1:24" x14ac:dyDescent="0.2">
      <c r="A556" t="s">
        <v>1517</v>
      </c>
      <c r="B556">
        <v>894.59199999999998</v>
      </c>
      <c r="C556" t="s">
        <v>60</v>
      </c>
      <c r="D556" t="s">
        <v>156</v>
      </c>
      <c r="E556" t="s">
        <v>445</v>
      </c>
      <c r="F556" t="s">
        <v>502</v>
      </c>
      <c r="H556" t="s">
        <v>64</v>
      </c>
      <c r="I556" t="s">
        <v>91</v>
      </c>
      <c r="J556" t="s">
        <v>92</v>
      </c>
      <c r="K556">
        <v>2850</v>
      </c>
      <c r="L556" t="s">
        <v>1518</v>
      </c>
      <c r="M556" t="s">
        <v>1518</v>
      </c>
      <c r="N556" t="s">
        <v>170</v>
      </c>
      <c r="O556" t="s">
        <v>170</v>
      </c>
      <c r="P556" t="s">
        <v>1476</v>
      </c>
      <c r="Q556" t="s">
        <v>1477</v>
      </c>
      <c r="R556" t="s">
        <v>504</v>
      </c>
      <c r="S556" t="s">
        <v>96</v>
      </c>
      <c r="T556" t="s">
        <v>97</v>
      </c>
      <c r="U556" t="s">
        <v>98</v>
      </c>
      <c r="V556" t="s">
        <v>99</v>
      </c>
      <c r="W556" t="s">
        <v>98</v>
      </c>
      <c r="X556" t="s">
        <v>100</v>
      </c>
    </row>
    <row r="557" spans="1:24" x14ac:dyDescent="0.2">
      <c r="A557" t="s">
        <v>1519</v>
      </c>
      <c r="B557">
        <v>894.59199999999998</v>
      </c>
      <c r="C557" t="s">
        <v>60</v>
      </c>
      <c r="D557" t="s">
        <v>156</v>
      </c>
      <c r="E557" t="s">
        <v>445</v>
      </c>
      <c r="F557" t="s">
        <v>502</v>
      </c>
      <c r="H557" t="s">
        <v>64</v>
      </c>
      <c r="I557" t="s">
        <v>102</v>
      </c>
      <c r="J557" t="s">
        <v>103</v>
      </c>
      <c r="K557">
        <v>2750</v>
      </c>
      <c r="L557" t="s">
        <v>1520</v>
      </c>
      <c r="M557" t="s">
        <v>1520</v>
      </c>
      <c r="N557" t="s">
        <v>170</v>
      </c>
      <c r="O557" t="s">
        <v>170</v>
      </c>
      <c r="P557" t="s">
        <v>1476</v>
      </c>
      <c r="Q557" t="s">
        <v>1477</v>
      </c>
      <c r="R557" t="s">
        <v>504</v>
      </c>
      <c r="S557" t="s">
        <v>106</v>
      </c>
      <c r="T557" t="s">
        <v>107</v>
      </c>
      <c r="U557" t="s">
        <v>108</v>
      </c>
      <c r="V557" t="s">
        <v>77</v>
      </c>
      <c r="W557" t="s">
        <v>108</v>
      </c>
      <c r="X557" t="s">
        <v>109</v>
      </c>
    </row>
    <row r="558" spans="1:24" x14ac:dyDescent="0.2">
      <c r="A558" t="s">
        <v>1521</v>
      </c>
      <c r="B558">
        <v>894.59199999999998</v>
      </c>
      <c r="C558" t="s">
        <v>60</v>
      </c>
      <c r="D558" t="s">
        <v>156</v>
      </c>
      <c r="E558" t="s">
        <v>445</v>
      </c>
      <c r="F558" t="s">
        <v>502</v>
      </c>
      <c r="G558" t="s">
        <v>156</v>
      </c>
      <c r="H558" t="s">
        <v>278</v>
      </c>
      <c r="I558" t="s">
        <v>91</v>
      </c>
      <c r="J558" t="s">
        <v>92</v>
      </c>
      <c r="K558">
        <v>3550</v>
      </c>
      <c r="L558" t="s">
        <v>1522</v>
      </c>
      <c r="M558" t="s">
        <v>1522</v>
      </c>
      <c r="N558" t="s">
        <v>170</v>
      </c>
      <c r="O558" t="s">
        <v>170</v>
      </c>
      <c r="P558" t="s">
        <v>1476</v>
      </c>
      <c r="Q558" t="s">
        <v>1477</v>
      </c>
      <c r="R558" t="s">
        <v>504</v>
      </c>
      <c r="S558" t="s">
        <v>280</v>
      </c>
      <c r="T558" t="s">
        <v>97</v>
      </c>
      <c r="U558" t="s">
        <v>98</v>
      </c>
      <c r="V558" t="s">
        <v>99</v>
      </c>
      <c r="W558" t="s">
        <v>98</v>
      </c>
      <c r="X558" t="s">
        <v>100</v>
      </c>
    </row>
    <row r="559" spans="1:24" x14ac:dyDescent="0.2">
      <c r="A559" t="s">
        <v>1523</v>
      </c>
      <c r="B559">
        <v>894.59199999999998</v>
      </c>
      <c r="C559" t="s">
        <v>60</v>
      </c>
      <c r="D559" t="s">
        <v>156</v>
      </c>
      <c r="E559" t="s">
        <v>445</v>
      </c>
      <c r="F559" t="s">
        <v>502</v>
      </c>
      <c r="G559" t="s">
        <v>156</v>
      </c>
      <c r="H559" t="s">
        <v>278</v>
      </c>
      <c r="I559" t="s">
        <v>102</v>
      </c>
      <c r="J559" t="s">
        <v>103</v>
      </c>
      <c r="K559">
        <v>3450</v>
      </c>
      <c r="L559" t="s">
        <v>1524</v>
      </c>
      <c r="M559" t="s">
        <v>1524</v>
      </c>
      <c r="N559" t="s">
        <v>170</v>
      </c>
      <c r="O559" t="s">
        <v>170</v>
      </c>
      <c r="P559" t="s">
        <v>1476</v>
      </c>
      <c r="Q559" t="s">
        <v>1477</v>
      </c>
      <c r="R559" t="s">
        <v>504</v>
      </c>
      <c r="S559" t="s">
        <v>283</v>
      </c>
      <c r="T559" t="s">
        <v>284</v>
      </c>
      <c r="U559" t="s">
        <v>285</v>
      </c>
      <c r="V559" t="s">
        <v>77</v>
      </c>
      <c r="W559" t="s">
        <v>285</v>
      </c>
      <c r="X559" t="s">
        <v>286</v>
      </c>
    </row>
    <row r="560" spans="1:24" x14ac:dyDescent="0.2">
      <c r="A560" t="s">
        <v>1525</v>
      </c>
      <c r="B560">
        <v>894.59199999999998</v>
      </c>
      <c r="C560" t="s">
        <v>60</v>
      </c>
      <c r="D560" t="s">
        <v>156</v>
      </c>
      <c r="E560" t="s">
        <v>445</v>
      </c>
      <c r="F560" t="s">
        <v>502</v>
      </c>
      <c r="G560" t="s">
        <v>156</v>
      </c>
      <c r="H560" t="s">
        <v>278</v>
      </c>
      <c r="I560" t="s">
        <v>131</v>
      </c>
      <c r="J560" t="s">
        <v>132</v>
      </c>
      <c r="K560">
        <v>3950</v>
      </c>
      <c r="L560" t="s">
        <v>1526</v>
      </c>
      <c r="M560" t="s">
        <v>1526</v>
      </c>
      <c r="N560" t="s">
        <v>170</v>
      </c>
      <c r="O560" t="s">
        <v>170</v>
      </c>
      <c r="P560" t="s">
        <v>1476</v>
      </c>
      <c r="Q560" t="s">
        <v>1477</v>
      </c>
      <c r="R560" t="s">
        <v>504</v>
      </c>
      <c r="S560" t="s">
        <v>289</v>
      </c>
      <c r="T560" t="s">
        <v>136</v>
      </c>
      <c r="U560" t="s">
        <v>131</v>
      </c>
      <c r="V560" t="s">
        <v>77</v>
      </c>
      <c r="W560" t="s">
        <v>131</v>
      </c>
      <c r="X560" t="s">
        <v>137</v>
      </c>
    </row>
    <row r="561" spans="1:24" x14ac:dyDescent="0.2">
      <c r="A561" t="s">
        <v>1527</v>
      </c>
      <c r="B561">
        <v>894.59199999999998</v>
      </c>
      <c r="C561" t="s">
        <v>60</v>
      </c>
      <c r="D561" t="s">
        <v>156</v>
      </c>
      <c r="E561" t="s">
        <v>445</v>
      </c>
      <c r="F561" t="s">
        <v>502</v>
      </c>
      <c r="G561" t="s">
        <v>156</v>
      </c>
      <c r="H561" t="s">
        <v>278</v>
      </c>
      <c r="I561" t="s">
        <v>139</v>
      </c>
      <c r="J561" t="s">
        <v>140</v>
      </c>
      <c r="K561">
        <v>3950</v>
      </c>
      <c r="L561" t="s">
        <v>1528</v>
      </c>
      <c r="M561" t="s">
        <v>1528</v>
      </c>
      <c r="N561" t="s">
        <v>170</v>
      </c>
      <c r="O561" t="s">
        <v>170</v>
      </c>
      <c r="P561" t="s">
        <v>1476</v>
      </c>
      <c r="Q561" t="s">
        <v>1477</v>
      </c>
      <c r="R561" t="s">
        <v>504</v>
      </c>
      <c r="S561" t="s">
        <v>292</v>
      </c>
      <c r="T561" t="s">
        <v>144</v>
      </c>
      <c r="U561" t="s">
        <v>139</v>
      </c>
      <c r="V561" t="s">
        <v>99</v>
      </c>
      <c r="W561" t="s">
        <v>139</v>
      </c>
      <c r="X561" t="s">
        <v>145</v>
      </c>
    </row>
    <row r="562" spans="1:24" x14ac:dyDescent="0.2">
      <c r="A562" t="s">
        <v>1529</v>
      </c>
      <c r="B562">
        <v>894.59199999999998</v>
      </c>
      <c r="C562" t="s">
        <v>60</v>
      </c>
      <c r="D562" t="s">
        <v>61</v>
      </c>
      <c r="E562" t="s">
        <v>1212</v>
      </c>
      <c r="F562" t="s">
        <v>1213</v>
      </c>
      <c r="G562" t="s">
        <v>156</v>
      </c>
      <c r="H562" t="s">
        <v>278</v>
      </c>
      <c r="I562" t="s">
        <v>139</v>
      </c>
      <c r="J562" t="s">
        <v>140</v>
      </c>
      <c r="K562">
        <v>4950</v>
      </c>
      <c r="L562" t="s">
        <v>1530</v>
      </c>
      <c r="M562" t="s">
        <v>1530</v>
      </c>
      <c r="N562" t="s">
        <v>170</v>
      </c>
      <c r="O562" t="s">
        <v>170</v>
      </c>
      <c r="P562" t="s">
        <v>1476</v>
      </c>
      <c r="Q562" t="s">
        <v>1477</v>
      </c>
      <c r="R562" t="s">
        <v>1215</v>
      </c>
      <c r="S562" t="s">
        <v>292</v>
      </c>
      <c r="T562" t="s">
        <v>144</v>
      </c>
      <c r="U562" t="s">
        <v>139</v>
      </c>
      <c r="V562" t="s">
        <v>99</v>
      </c>
      <c r="W562" t="s">
        <v>139</v>
      </c>
      <c r="X562" t="s">
        <v>145</v>
      </c>
    </row>
    <row r="563" spans="1:24" x14ac:dyDescent="0.2">
      <c r="A563" t="s">
        <v>1531</v>
      </c>
      <c r="B563">
        <v>894.59199999999998</v>
      </c>
      <c r="C563" t="s">
        <v>60</v>
      </c>
      <c r="D563" t="s">
        <v>156</v>
      </c>
      <c r="E563" t="s">
        <v>1513</v>
      </c>
      <c r="F563" t="s">
        <v>1514</v>
      </c>
      <c r="G563" t="s">
        <v>111</v>
      </c>
      <c r="H563" t="s">
        <v>112</v>
      </c>
      <c r="I563" t="s">
        <v>65</v>
      </c>
      <c r="J563" t="s">
        <v>66</v>
      </c>
      <c r="K563">
        <v>5950</v>
      </c>
      <c r="L563" t="s">
        <v>1532</v>
      </c>
      <c r="M563" t="s">
        <v>1532</v>
      </c>
      <c r="N563" t="s">
        <v>170</v>
      </c>
      <c r="O563" t="s">
        <v>170</v>
      </c>
      <c r="P563" t="s">
        <v>1476</v>
      </c>
      <c r="Q563" t="s">
        <v>1477</v>
      </c>
      <c r="R563" t="s">
        <v>1516</v>
      </c>
      <c r="S563" t="s">
        <v>114</v>
      </c>
      <c r="T563" t="s">
        <v>75</v>
      </c>
      <c r="U563" t="s">
        <v>76</v>
      </c>
      <c r="V563" t="s">
        <v>77</v>
      </c>
      <c r="W563" t="s">
        <v>76</v>
      </c>
      <c r="X563" t="s">
        <v>78</v>
      </c>
    </row>
    <row r="564" spans="1:24" x14ac:dyDescent="0.2">
      <c r="A564" t="s">
        <v>1533</v>
      </c>
      <c r="B564">
        <v>894.59199999999998</v>
      </c>
      <c r="C564" t="s">
        <v>60</v>
      </c>
      <c r="D564" t="s">
        <v>156</v>
      </c>
      <c r="E564" t="s">
        <v>445</v>
      </c>
      <c r="F564" t="s">
        <v>502</v>
      </c>
      <c r="G564" t="s">
        <v>111</v>
      </c>
      <c r="H564" t="s">
        <v>112</v>
      </c>
      <c r="I564" t="s">
        <v>91</v>
      </c>
      <c r="J564" t="s">
        <v>92</v>
      </c>
      <c r="K564">
        <v>3550</v>
      </c>
      <c r="L564" t="s">
        <v>1534</v>
      </c>
      <c r="M564" t="s">
        <v>1534</v>
      </c>
      <c r="N564" t="s">
        <v>170</v>
      </c>
      <c r="O564" t="s">
        <v>170</v>
      </c>
      <c r="P564" t="s">
        <v>1476</v>
      </c>
      <c r="Q564" t="s">
        <v>1477</v>
      </c>
      <c r="R564" t="s">
        <v>504</v>
      </c>
      <c r="S564" t="s">
        <v>122</v>
      </c>
      <c r="T564" t="s">
        <v>97</v>
      </c>
      <c r="U564" t="s">
        <v>98</v>
      </c>
      <c r="V564" t="s">
        <v>99</v>
      </c>
      <c r="W564" t="s">
        <v>98</v>
      </c>
      <c r="X564" t="s">
        <v>100</v>
      </c>
    </row>
    <row r="565" spans="1:24" x14ac:dyDescent="0.2">
      <c r="A565" t="s">
        <v>1535</v>
      </c>
      <c r="B565">
        <v>894.59199999999998</v>
      </c>
      <c r="C565" t="s">
        <v>60</v>
      </c>
      <c r="D565" t="s">
        <v>156</v>
      </c>
      <c r="E565" t="s">
        <v>445</v>
      </c>
      <c r="F565" t="s">
        <v>502</v>
      </c>
      <c r="G565" t="s">
        <v>111</v>
      </c>
      <c r="H565" t="s">
        <v>112</v>
      </c>
      <c r="I565" t="s">
        <v>102</v>
      </c>
      <c r="J565" t="s">
        <v>103</v>
      </c>
      <c r="K565">
        <v>3450</v>
      </c>
      <c r="L565" t="s">
        <v>1536</v>
      </c>
      <c r="M565" t="s">
        <v>1536</v>
      </c>
      <c r="N565" t="s">
        <v>170</v>
      </c>
      <c r="O565" t="s">
        <v>170</v>
      </c>
      <c r="P565" t="s">
        <v>1476</v>
      </c>
      <c r="Q565" t="s">
        <v>1477</v>
      </c>
      <c r="R565" t="s">
        <v>504</v>
      </c>
      <c r="S565" t="s">
        <v>126</v>
      </c>
      <c r="T565" t="s">
        <v>127</v>
      </c>
      <c r="U565" t="s">
        <v>128</v>
      </c>
      <c r="V565" t="s">
        <v>77</v>
      </c>
      <c r="W565" t="s">
        <v>128</v>
      </c>
      <c r="X565" t="s">
        <v>129</v>
      </c>
    </row>
    <row r="566" spans="1:24" x14ac:dyDescent="0.2">
      <c r="A566" t="s">
        <v>1537</v>
      </c>
      <c r="B566">
        <v>894.59199999999998</v>
      </c>
      <c r="C566" t="s">
        <v>60</v>
      </c>
      <c r="D566" t="s">
        <v>156</v>
      </c>
      <c r="E566" t="s">
        <v>445</v>
      </c>
      <c r="F566" t="s">
        <v>502</v>
      </c>
      <c r="G566" t="s">
        <v>111</v>
      </c>
      <c r="H566" t="s">
        <v>112</v>
      </c>
      <c r="I566" t="s">
        <v>131</v>
      </c>
      <c r="J566" t="s">
        <v>132</v>
      </c>
      <c r="K566">
        <v>3950</v>
      </c>
      <c r="L566" t="s">
        <v>1538</v>
      </c>
      <c r="M566" t="s">
        <v>1538</v>
      </c>
      <c r="N566" t="s">
        <v>170</v>
      </c>
      <c r="O566" t="s">
        <v>170</v>
      </c>
      <c r="P566" t="s">
        <v>1476</v>
      </c>
      <c r="Q566" t="s">
        <v>1477</v>
      </c>
      <c r="R566" t="s">
        <v>504</v>
      </c>
      <c r="S566" t="s">
        <v>135</v>
      </c>
      <c r="T566" t="s">
        <v>136</v>
      </c>
      <c r="U566" t="s">
        <v>131</v>
      </c>
      <c r="V566" t="s">
        <v>77</v>
      </c>
      <c r="W566" t="s">
        <v>131</v>
      </c>
      <c r="X566" t="s">
        <v>137</v>
      </c>
    </row>
    <row r="567" spans="1:24" x14ac:dyDescent="0.2">
      <c r="A567" t="s">
        <v>1539</v>
      </c>
      <c r="B567">
        <v>894.59199999999998</v>
      </c>
      <c r="C567" t="s">
        <v>60</v>
      </c>
      <c r="D567" t="s">
        <v>156</v>
      </c>
      <c r="E567" t="s">
        <v>445</v>
      </c>
      <c r="F567" t="s">
        <v>502</v>
      </c>
      <c r="G567" t="s">
        <v>111</v>
      </c>
      <c r="H567" t="s">
        <v>112</v>
      </c>
      <c r="I567" t="s">
        <v>139</v>
      </c>
      <c r="J567" t="s">
        <v>140</v>
      </c>
      <c r="K567">
        <v>3950</v>
      </c>
      <c r="L567" t="s">
        <v>1540</v>
      </c>
      <c r="M567" t="s">
        <v>1540</v>
      </c>
      <c r="N567" t="s">
        <v>170</v>
      </c>
      <c r="O567" t="s">
        <v>170</v>
      </c>
      <c r="P567" t="s">
        <v>1476</v>
      </c>
      <c r="Q567" t="s">
        <v>1477</v>
      </c>
      <c r="R567" t="s">
        <v>504</v>
      </c>
      <c r="S567" t="s">
        <v>143</v>
      </c>
      <c r="T567" t="s">
        <v>144</v>
      </c>
      <c r="U567" t="s">
        <v>139</v>
      </c>
      <c r="V567" t="s">
        <v>99</v>
      </c>
      <c r="W567" t="s">
        <v>139</v>
      </c>
      <c r="X567" t="s">
        <v>145</v>
      </c>
    </row>
    <row r="568" spans="1:24" x14ac:dyDescent="0.2">
      <c r="A568" t="s">
        <v>1541</v>
      </c>
      <c r="B568">
        <v>894.59199999999998</v>
      </c>
      <c r="C568" t="s">
        <v>60</v>
      </c>
      <c r="D568" t="s">
        <v>61</v>
      </c>
      <c r="E568" t="s">
        <v>1212</v>
      </c>
      <c r="F568" t="s">
        <v>1213</v>
      </c>
      <c r="G568" t="s">
        <v>111</v>
      </c>
      <c r="H568" t="s">
        <v>112</v>
      </c>
      <c r="I568" t="s">
        <v>139</v>
      </c>
      <c r="J568" t="s">
        <v>140</v>
      </c>
      <c r="K568">
        <v>4950</v>
      </c>
      <c r="L568" t="s">
        <v>1542</v>
      </c>
      <c r="M568" t="s">
        <v>1542</v>
      </c>
      <c r="N568" t="s">
        <v>170</v>
      </c>
      <c r="O568" t="s">
        <v>170</v>
      </c>
      <c r="P568" t="s">
        <v>1476</v>
      </c>
      <c r="Q568" t="s">
        <v>1477</v>
      </c>
      <c r="R568" t="s">
        <v>1215</v>
      </c>
      <c r="S568" t="s">
        <v>143</v>
      </c>
      <c r="T568" t="s">
        <v>144</v>
      </c>
      <c r="U568" t="s">
        <v>139</v>
      </c>
      <c r="V568" t="s">
        <v>99</v>
      </c>
      <c r="W568" t="s">
        <v>139</v>
      </c>
      <c r="X568" t="s">
        <v>145</v>
      </c>
    </row>
    <row r="569" spans="1:24" x14ac:dyDescent="0.2">
      <c r="A569" t="s">
        <v>1543</v>
      </c>
      <c r="B569">
        <v>894.59199999999998</v>
      </c>
      <c r="C569" t="s">
        <v>60</v>
      </c>
      <c r="D569" t="s">
        <v>156</v>
      </c>
      <c r="E569" t="s">
        <v>445</v>
      </c>
      <c r="F569" t="s">
        <v>502</v>
      </c>
      <c r="G569" t="s">
        <v>306</v>
      </c>
      <c r="H569" t="s">
        <v>307</v>
      </c>
      <c r="I569" t="s">
        <v>91</v>
      </c>
      <c r="J569" t="s">
        <v>92</v>
      </c>
      <c r="K569">
        <v>4250</v>
      </c>
      <c r="L569" t="s">
        <v>1544</v>
      </c>
      <c r="M569" t="s">
        <v>1544</v>
      </c>
      <c r="N569" t="s">
        <v>170</v>
      </c>
      <c r="O569" t="s">
        <v>170</v>
      </c>
      <c r="P569" t="s">
        <v>1476</v>
      </c>
      <c r="Q569" t="s">
        <v>1477</v>
      </c>
      <c r="R569" t="s">
        <v>504</v>
      </c>
      <c r="S569" t="s">
        <v>309</v>
      </c>
      <c r="T569" t="s">
        <v>97</v>
      </c>
      <c r="U569" t="s">
        <v>98</v>
      </c>
      <c r="V569" t="s">
        <v>99</v>
      </c>
      <c r="W569" t="s">
        <v>98</v>
      </c>
      <c r="X569" t="s">
        <v>100</v>
      </c>
    </row>
    <row r="570" spans="1:24" x14ac:dyDescent="0.2">
      <c r="A570" t="s">
        <v>1545</v>
      </c>
      <c r="B570">
        <v>894.59199999999998</v>
      </c>
      <c r="C570" t="s">
        <v>60</v>
      </c>
      <c r="D570" t="s">
        <v>156</v>
      </c>
      <c r="E570" t="s">
        <v>445</v>
      </c>
      <c r="F570" t="s">
        <v>502</v>
      </c>
      <c r="G570" t="s">
        <v>306</v>
      </c>
      <c r="H570" t="s">
        <v>307</v>
      </c>
      <c r="I570" t="s">
        <v>102</v>
      </c>
      <c r="J570" t="s">
        <v>103</v>
      </c>
      <c r="K570">
        <v>4150</v>
      </c>
      <c r="L570" t="s">
        <v>1546</v>
      </c>
      <c r="M570" t="s">
        <v>1546</v>
      </c>
      <c r="N570" t="s">
        <v>170</v>
      </c>
      <c r="O570" t="s">
        <v>170</v>
      </c>
      <c r="P570" t="s">
        <v>1476</v>
      </c>
      <c r="Q570" t="s">
        <v>1477</v>
      </c>
      <c r="R570" t="s">
        <v>504</v>
      </c>
      <c r="S570" t="s">
        <v>312</v>
      </c>
      <c r="T570" t="s">
        <v>313</v>
      </c>
      <c r="U570" t="s">
        <v>314</v>
      </c>
      <c r="V570" t="s">
        <v>77</v>
      </c>
      <c r="W570" t="s">
        <v>314</v>
      </c>
      <c r="X570" t="s">
        <v>315</v>
      </c>
    </row>
    <row r="571" spans="1:24" x14ac:dyDescent="0.2">
      <c r="A571" t="s">
        <v>1547</v>
      </c>
      <c r="B571">
        <v>894.59199999999998</v>
      </c>
      <c r="C571" t="s">
        <v>60</v>
      </c>
      <c r="D571" t="s">
        <v>156</v>
      </c>
      <c r="E571" t="s">
        <v>445</v>
      </c>
      <c r="F571" t="s">
        <v>502</v>
      </c>
      <c r="G571" t="s">
        <v>306</v>
      </c>
      <c r="H571" t="s">
        <v>307</v>
      </c>
      <c r="I571" t="s">
        <v>131</v>
      </c>
      <c r="J571" t="s">
        <v>132</v>
      </c>
      <c r="K571">
        <v>4650</v>
      </c>
      <c r="L571" t="s">
        <v>1548</v>
      </c>
      <c r="M571" t="s">
        <v>1548</v>
      </c>
      <c r="N571" t="s">
        <v>170</v>
      </c>
      <c r="O571" t="s">
        <v>170</v>
      </c>
      <c r="P571" t="s">
        <v>1476</v>
      </c>
      <c r="Q571" t="s">
        <v>1477</v>
      </c>
      <c r="R571" t="s">
        <v>504</v>
      </c>
      <c r="S571" t="s">
        <v>318</v>
      </c>
      <c r="T571" t="s">
        <v>136</v>
      </c>
      <c r="U571" t="s">
        <v>131</v>
      </c>
      <c r="V571" t="s">
        <v>77</v>
      </c>
      <c r="W571" t="s">
        <v>131</v>
      </c>
      <c r="X571" t="s">
        <v>137</v>
      </c>
    </row>
    <row r="572" spans="1:24" x14ac:dyDescent="0.2">
      <c r="A572" t="s">
        <v>1549</v>
      </c>
      <c r="B572">
        <v>894.59199999999998</v>
      </c>
      <c r="C572" t="s">
        <v>60</v>
      </c>
      <c r="D572" t="s">
        <v>156</v>
      </c>
      <c r="E572" t="s">
        <v>445</v>
      </c>
      <c r="F572" t="s">
        <v>502</v>
      </c>
      <c r="G572" t="s">
        <v>306</v>
      </c>
      <c r="H572" t="s">
        <v>307</v>
      </c>
      <c r="I572" t="s">
        <v>139</v>
      </c>
      <c r="J572" t="s">
        <v>140</v>
      </c>
      <c r="K572">
        <v>4650</v>
      </c>
      <c r="L572" t="s">
        <v>1550</v>
      </c>
      <c r="M572" t="s">
        <v>1550</v>
      </c>
      <c r="N572" t="s">
        <v>170</v>
      </c>
      <c r="O572" t="s">
        <v>170</v>
      </c>
      <c r="P572" t="s">
        <v>1476</v>
      </c>
      <c r="Q572" t="s">
        <v>1477</v>
      </c>
      <c r="R572" t="s">
        <v>504</v>
      </c>
      <c r="S572" t="s">
        <v>321</v>
      </c>
      <c r="T572" t="s">
        <v>144</v>
      </c>
      <c r="U572" t="s">
        <v>139</v>
      </c>
      <c r="V572" t="s">
        <v>99</v>
      </c>
      <c r="W572" t="s">
        <v>139</v>
      </c>
      <c r="X572" t="s">
        <v>145</v>
      </c>
    </row>
    <row r="573" spans="1:24" x14ac:dyDescent="0.2">
      <c r="A573" t="s">
        <v>1551</v>
      </c>
      <c r="B573">
        <v>894.59199999999998</v>
      </c>
      <c r="C573" t="s">
        <v>60</v>
      </c>
      <c r="D573" t="s">
        <v>61</v>
      </c>
      <c r="E573" t="s">
        <v>1212</v>
      </c>
      <c r="F573" t="s">
        <v>1213</v>
      </c>
      <c r="G573" t="s">
        <v>306</v>
      </c>
      <c r="H573" t="s">
        <v>307</v>
      </c>
      <c r="I573" t="s">
        <v>139</v>
      </c>
      <c r="J573" t="s">
        <v>140</v>
      </c>
      <c r="K573">
        <v>5650</v>
      </c>
      <c r="L573" t="s">
        <v>1552</v>
      </c>
      <c r="M573" t="s">
        <v>1552</v>
      </c>
      <c r="N573" t="s">
        <v>170</v>
      </c>
      <c r="O573" t="s">
        <v>170</v>
      </c>
      <c r="P573" t="s">
        <v>1476</v>
      </c>
      <c r="Q573" t="s">
        <v>1477</v>
      </c>
      <c r="R573" t="s">
        <v>1215</v>
      </c>
      <c r="S573" t="s">
        <v>321</v>
      </c>
      <c r="T573" t="s">
        <v>144</v>
      </c>
      <c r="U573" t="s">
        <v>139</v>
      </c>
      <c r="V573" t="s">
        <v>99</v>
      </c>
      <c r="W573" t="s">
        <v>139</v>
      </c>
      <c r="X573" t="s">
        <v>145</v>
      </c>
    </row>
    <row r="574" spans="1:24" x14ac:dyDescent="0.2">
      <c r="A574" t="s">
        <v>1553</v>
      </c>
      <c r="B574">
        <v>894.59199999999998</v>
      </c>
      <c r="C574" t="s">
        <v>60</v>
      </c>
      <c r="D574" t="s">
        <v>156</v>
      </c>
      <c r="E574" t="s">
        <v>445</v>
      </c>
      <c r="F574" t="s">
        <v>502</v>
      </c>
      <c r="H574" t="s">
        <v>64</v>
      </c>
      <c r="I574" t="s">
        <v>131</v>
      </c>
      <c r="J574" t="s">
        <v>132</v>
      </c>
      <c r="K574">
        <v>3250</v>
      </c>
      <c r="L574" t="s">
        <v>1554</v>
      </c>
      <c r="M574" t="s">
        <v>1554</v>
      </c>
      <c r="N574" t="s">
        <v>170</v>
      </c>
      <c r="O574" t="s">
        <v>170</v>
      </c>
      <c r="P574" t="s">
        <v>1476</v>
      </c>
      <c r="Q574" t="s">
        <v>1477</v>
      </c>
      <c r="R574" t="s">
        <v>504</v>
      </c>
      <c r="S574" t="s">
        <v>149</v>
      </c>
      <c r="T574" t="s">
        <v>136</v>
      </c>
      <c r="U574" t="s">
        <v>131</v>
      </c>
      <c r="V574" t="s">
        <v>77</v>
      </c>
      <c r="W574" t="s">
        <v>131</v>
      </c>
      <c r="X574" t="s">
        <v>137</v>
      </c>
    </row>
    <row r="575" spans="1:24" x14ac:dyDescent="0.2">
      <c r="A575" t="s">
        <v>1555</v>
      </c>
      <c r="B575">
        <v>894.59199999999998</v>
      </c>
      <c r="C575" t="s">
        <v>60</v>
      </c>
      <c r="D575" t="s">
        <v>156</v>
      </c>
      <c r="E575" t="s">
        <v>445</v>
      </c>
      <c r="F575" t="s">
        <v>502</v>
      </c>
      <c r="H575" t="s">
        <v>64</v>
      </c>
      <c r="I575" t="s">
        <v>139</v>
      </c>
      <c r="J575" t="s">
        <v>140</v>
      </c>
      <c r="K575">
        <v>3250</v>
      </c>
      <c r="L575" t="s">
        <v>1556</v>
      </c>
      <c r="M575" t="s">
        <v>1556</v>
      </c>
      <c r="N575" t="s">
        <v>170</v>
      </c>
      <c r="O575" t="s">
        <v>170</v>
      </c>
      <c r="P575" t="s">
        <v>1476</v>
      </c>
      <c r="Q575" t="s">
        <v>1477</v>
      </c>
      <c r="R575" t="s">
        <v>504</v>
      </c>
      <c r="S575" t="s">
        <v>153</v>
      </c>
      <c r="T575" t="s">
        <v>144</v>
      </c>
      <c r="U575" t="s">
        <v>139</v>
      </c>
      <c r="V575" t="s">
        <v>99</v>
      </c>
      <c r="W575" t="s">
        <v>139</v>
      </c>
      <c r="X575" t="s">
        <v>145</v>
      </c>
    </row>
    <row r="576" spans="1:24" x14ac:dyDescent="0.2">
      <c r="A576" t="s">
        <v>1557</v>
      </c>
      <c r="B576">
        <v>894.59199999999998</v>
      </c>
      <c r="C576" t="s">
        <v>60</v>
      </c>
      <c r="D576" t="s">
        <v>61</v>
      </c>
      <c r="E576" t="s">
        <v>1212</v>
      </c>
      <c r="F576" t="s">
        <v>1213</v>
      </c>
      <c r="H576" t="s">
        <v>64</v>
      </c>
      <c r="I576" t="s">
        <v>139</v>
      </c>
      <c r="J576" t="s">
        <v>140</v>
      </c>
      <c r="K576">
        <v>4250</v>
      </c>
      <c r="L576" t="s">
        <v>1558</v>
      </c>
      <c r="M576" t="s">
        <v>1558</v>
      </c>
      <c r="N576" t="s">
        <v>170</v>
      </c>
      <c r="O576" t="s">
        <v>170</v>
      </c>
      <c r="P576" t="s">
        <v>1476</v>
      </c>
      <c r="Q576" t="s">
        <v>1477</v>
      </c>
      <c r="R576" t="s">
        <v>1215</v>
      </c>
      <c r="S576" t="s">
        <v>153</v>
      </c>
      <c r="T576" t="s">
        <v>144</v>
      </c>
      <c r="U576" t="s">
        <v>139</v>
      </c>
      <c r="V576" t="s">
        <v>99</v>
      </c>
      <c r="W576" t="s">
        <v>139</v>
      </c>
      <c r="X576" t="s">
        <v>145</v>
      </c>
    </row>
    <row r="577" spans="1:24" x14ac:dyDescent="0.2">
      <c r="A577" t="s">
        <v>1559</v>
      </c>
      <c r="B577" t="s">
        <v>1560</v>
      </c>
      <c r="C577" t="s">
        <v>60</v>
      </c>
      <c r="D577" t="s">
        <v>61</v>
      </c>
      <c r="E577" t="s">
        <v>512</v>
      </c>
      <c r="F577" t="s">
        <v>513</v>
      </c>
      <c r="G577" t="s">
        <v>159</v>
      </c>
      <c r="H577" t="s">
        <v>160</v>
      </c>
      <c r="I577" t="s">
        <v>102</v>
      </c>
      <c r="J577" t="s">
        <v>103</v>
      </c>
      <c r="K577">
        <v>3850</v>
      </c>
      <c r="L577" t="s">
        <v>1561</v>
      </c>
      <c r="M577" t="s">
        <v>1561</v>
      </c>
      <c r="N577" t="s">
        <v>1111</v>
      </c>
      <c r="O577" t="s">
        <v>1111</v>
      </c>
      <c r="P577" t="s">
        <v>1112</v>
      </c>
      <c r="Q577" t="s">
        <v>1113</v>
      </c>
      <c r="R577" t="s">
        <v>515</v>
      </c>
      <c r="S577" t="s">
        <v>166</v>
      </c>
      <c r="T577" t="s">
        <v>107</v>
      </c>
      <c r="U577" t="s">
        <v>108</v>
      </c>
      <c r="V577" t="s">
        <v>77</v>
      </c>
      <c r="W577" t="s">
        <v>108</v>
      </c>
      <c r="X577" t="s">
        <v>109</v>
      </c>
    </row>
    <row r="578" spans="1:24" x14ac:dyDescent="0.2">
      <c r="A578" t="s">
        <v>1562</v>
      </c>
      <c r="B578" t="s">
        <v>1563</v>
      </c>
      <c r="C578" t="s">
        <v>60</v>
      </c>
      <c r="D578" t="s">
        <v>61</v>
      </c>
      <c r="E578" t="s">
        <v>512</v>
      </c>
      <c r="F578" t="s">
        <v>513</v>
      </c>
      <c r="G578" t="s">
        <v>159</v>
      </c>
      <c r="H578" t="s">
        <v>160</v>
      </c>
      <c r="I578" t="s">
        <v>102</v>
      </c>
      <c r="J578" t="s">
        <v>103</v>
      </c>
      <c r="K578">
        <v>3850</v>
      </c>
      <c r="L578" t="s">
        <v>1564</v>
      </c>
      <c r="M578" t="s">
        <v>1564</v>
      </c>
      <c r="N578" t="s">
        <v>1111</v>
      </c>
      <c r="O578" t="s">
        <v>1111</v>
      </c>
      <c r="P578" t="s">
        <v>1159</v>
      </c>
      <c r="Q578" t="s">
        <v>1160</v>
      </c>
      <c r="R578" t="s">
        <v>515</v>
      </c>
      <c r="S578" t="s">
        <v>166</v>
      </c>
      <c r="T578" t="s">
        <v>107</v>
      </c>
      <c r="U578" t="s">
        <v>108</v>
      </c>
      <c r="V578" t="s">
        <v>77</v>
      </c>
      <c r="W578" t="s">
        <v>108</v>
      </c>
      <c r="X578" t="s">
        <v>109</v>
      </c>
    </row>
    <row r="579" spans="1:24" x14ac:dyDescent="0.2">
      <c r="A579" t="s">
        <v>1565</v>
      </c>
      <c r="B579">
        <v>920</v>
      </c>
      <c r="C579" t="s">
        <v>60</v>
      </c>
      <c r="D579" t="s">
        <v>61</v>
      </c>
      <c r="E579" t="s">
        <v>445</v>
      </c>
      <c r="F579" t="s">
        <v>446</v>
      </c>
      <c r="H579" t="s">
        <v>64</v>
      </c>
      <c r="I579" t="s">
        <v>65</v>
      </c>
      <c r="J579" t="s">
        <v>66</v>
      </c>
      <c r="K579" t="s">
        <v>67</v>
      </c>
      <c r="L579" t="s">
        <v>1566</v>
      </c>
      <c r="M579" t="s">
        <v>1567</v>
      </c>
      <c r="N579" t="s">
        <v>1568</v>
      </c>
      <c r="O579" t="s">
        <v>1568</v>
      </c>
      <c r="P579" t="s">
        <v>1569</v>
      </c>
      <c r="Q579" t="s">
        <v>1570</v>
      </c>
      <c r="R579" t="s">
        <v>449</v>
      </c>
      <c r="S579" t="s">
        <v>74</v>
      </c>
      <c r="T579" t="s">
        <v>75</v>
      </c>
      <c r="U579" t="s">
        <v>76</v>
      </c>
      <c r="V579" t="s">
        <v>77</v>
      </c>
      <c r="W579" t="s">
        <v>76</v>
      </c>
      <c r="X579" t="s">
        <v>78</v>
      </c>
    </row>
    <row r="580" spans="1:24" x14ac:dyDescent="0.2">
      <c r="A580" t="s">
        <v>1571</v>
      </c>
      <c r="B580">
        <v>920</v>
      </c>
      <c r="C580" t="s">
        <v>60</v>
      </c>
      <c r="D580" t="s">
        <v>61</v>
      </c>
      <c r="E580" t="s">
        <v>650</v>
      </c>
      <c r="F580" t="s">
        <v>1572</v>
      </c>
      <c r="H580" t="s">
        <v>64</v>
      </c>
      <c r="I580" t="s">
        <v>82</v>
      </c>
      <c r="J580" t="s">
        <v>83</v>
      </c>
      <c r="K580" t="s">
        <v>67</v>
      </c>
      <c r="L580" t="s">
        <v>1573</v>
      </c>
      <c r="M580" t="s">
        <v>1574</v>
      </c>
      <c r="N580" t="s">
        <v>1568</v>
      </c>
      <c r="O580" t="s">
        <v>1568</v>
      </c>
      <c r="P580" t="s">
        <v>1569</v>
      </c>
      <c r="Q580" t="s">
        <v>1570</v>
      </c>
      <c r="R580" t="s">
        <v>1481</v>
      </c>
      <c r="S580" t="s">
        <v>87</v>
      </c>
      <c r="T580" t="s">
        <v>75</v>
      </c>
      <c r="U580" t="s">
        <v>76</v>
      </c>
      <c r="V580" t="s">
        <v>77</v>
      </c>
      <c r="W580" t="s">
        <v>76</v>
      </c>
      <c r="X580" t="s">
        <v>78</v>
      </c>
    </row>
    <row r="581" spans="1:24" x14ac:dyDescent="0.2">
      <c r="A581" t="s">
        <v>1575</v>
      </c>
      <c r="B581">
        <v>920</v>
      </c>
      <c r="C581" t="s">
        <v>60</v>
      </c>
      <c r="D581" t="s">
        <v>61</v>
      </c>
      <c r="E581" t="s">
        <v>1212</v>
      </c>
      <c r="F581" t="s">
        <v>1576</v>
      </c>
      <c r="H581" t="s">
        <v>64</v>
      </c>
      <c r="I581" t="s">
        <v>91</v>
      </c>
      <c r="J581" t="s">
        <v>92</v>
      </c>
      <c r="K581" t="s">
        <v>67</v>
      </c>
      <c r="L581" t="s">
        <v>1577</v>
      </c>
      <c r="M581" t="s">
        <v>1578</v>
      </c>
      <c r="N581" t="s">
        <v>1568</v>
      </c>
      <c r="O581" t="s">
        <v>1568</v>
      </c>
      <c r="P581" t="s">
        <v>1569</v>
      </c>
      <c r="Q581" t="s">
        <v>1570</v>
      </c>
      <c r="R581" t="s">
        <v>1215</v>
      </c>
      <c r="S581" t="s">
        <v>96</v>
      </c>
      <c r="T581" t="s">
        <v>97</v>
      </c>
      <c r="U581" t="s">
        <v>98</v>
      </c>
      <c r="V581" t="s">
        <v>99</v>
      </c>
      <c r="W581" t="s">
        <v>98</v>
      </c>
      <c r="X581" t="s">
        <v>100</v>
      </c>
    </row>
    <row r="582" spans="1:24" x14ac:dyDescent="0.2">
      <c r="A582" t="s">
        <v>1579</v>
      </c>
      <c r="B582">
        <v>920</v>
      </c>
      <c r="C582" t="s">
        <v>60</v>
      </c>
      <c r="D582" t="s">
        <v>61</v>
      </c>
      <c r="E582" t="s">
        <v>1212</v>
      </c>
      <c r="F582" t="s">
        <v>1576</v>
      </c>
      <c r="H582" t="s">
        <v>64</v>
      </c>
      <c r="I582" t="s">
        <v>102</v>
      </c>
      <c r="J582" t="s">
        <v>103</v>
      </c>
      <c r="K582" t="s">
        <v>67</v>
      </c>
      <c r="L582" t="s">
        <v>1580</v>
      </c>
      <c r="M582" t="s">
        <v>1581</v>
      </c>
      <c r="N582" t="s">
        <v>1568</v>
      </c>
      <c r="O582" t="s">
        <v>1568</v>
      </c>
      <c r="P582" t="s">
        <v>1569</v>
      </c>
      <c r="Q582" t="s">
        <v>1570</v>
      </c>
      <c r="R582" t="s">
        <v>1215</v>
      </c>
      <c r="S582" t="s">
        <v>106</v>
      </c>
      <c r="T582" t="s">
        <v>107</v>
      </c>
      <c r="U582" t="s">
        <v>108</v>
      </c>
      <c r="V582" t="s">
        <v>77</v>
      </c>
      <c r="W582" t="s">
        <v>108</v>
      </c>
      <c r="X582" t="s">
        <v>109</v>
      </c>
    </row>
    <row r="583" spans="1:24" x14ac:dyDescent="0.2">
      <c r="A583" t="s">
        <v>1582</v>
      </c>
      <c r="B583">
        <v>920</v>
      </c>
      <c r="C583" t="s">
        <v>60</v>
      </c>
      <c r="D583" t="s">
        <v>61</v>
      </c>
      <c r="E583" t="s">
        <v>445</v>
      </c>
      <c r="F583" t="s">
        <v>446</v>
      </c>
      <c r="G583" t="s">
        <v>111</v>
      </c>
      <c r="H583" t="s">
        <v>112</v>
      </c>
      <c r="I583" t="s">
        <v>65</v>
      </c>
      <c r="J583" t="s">
        <v>66</v>
      </c>
      <c r="K583" t="s">
        <v>67</v>
      </c>
      <c r="L583" t="s">
        <v>1583</v>
      </c>
      <c r="M583" t="s">
        <v>1584</v>
      </c>
      <c r="N583" t="s">
        <v>1568</v>
      </c>
      <c r="O583" t="s">
        <v>1568</v>
      </c>
      <c r="P583" t="s">
        <v>1569</v>
      </c>
      <c r="Q583" t="s">
        <v>1570</v>
      </c>
      <c r="R583" t="s">
        <v>449</v>
      </c>
      <c r="S583" t="s">
        <v>114</v>
      </c>
      <c r="T583" t="s">
        <v>75</v>
      </c>
      <c r="U583" t="s">
        <v>76</v>
      </c>
      <c r="V583" t="s">
        <v>77</v>
      </c>
      <c r="W583" t="s">
        <v>76</v>
      </c>
      <c r="X583" t="s">
        <v>78</v>
      </c>
    </row>
    <row r="584" spans="1:24" x14ac:dyDescent="0.2">
      <c r="A584" t="s">
        <v>1585</v>
      </c>
      <c r="B584">
        <v>920</v>
      </c>
      <c r="C584" t="s">
        <v>60</v>
      </c>
      <c r="D584" t="s">
        <v>61</v>
      </c>
      <c r="E584" t="s">
        <v>650</v>
      </c>
      <c r="F584" t="s">
        <v>1572</v>
      </c>
      <c r="G584" t="s">
        <v>111</v>
      </c>
      <c r="H584" t="s">
        <v>112</v>
      </c>
      <c r="I584" t="s">
        <v>82</v>
      </c>
      <c r="J584" t="s">
        <v>83</v>
      </c>
      <c r="K584" t="s">
        <v>67</v>
      </c>
      <c r="L584" t="s">
        <v>1586</v>
      </c>
      <c r="M584" t="s">
        <v>1587</v>
      </c>
      <c r="N584" t="s">
        <v>1568</v>
      </c>
      <c r="O584" t="s">
        <v>1568</v>
      </c>
      <c r="P584" t="s">
        <v>1569</v>
      </c>
      <c r="Q584" t="s">
        <v>1570</v>
      </c>
      <c r="R584" t="s">
        <v>1481</v>
      </c>
      <c r="S584" t="s">
        <v>118</v>
      </c>
      <c r="T584" t="s">
        <v>75</v>
      </c>
      <c r="U584" t="s">
        <v>76</v>
      </c>
      <c r="V584" t="s">
        <v>77</v>
      </c>
      <c r="W584" t="s">
        <v>76</v>
      </c>
      <c r="X584" t="s">
        <v>78</v>
      </c>
    </row>
    <row r="585" spans="1:24" x14ac:dyDescent="0.2">
      <c r="A585" t="s">
        <v>1588</v>
      </c>
      <c r="B585">
        <v>920</v>
      </c>
      <c r="C585" t="s">
        <v>60</v>
      </c>
      <c r="D585" t="s">
        <v>61</v>
      </c>
      <c r="E585" t="s">
        <v>1212</v>
      </c>
      <c r="F585" t="s">
        <v>1576</v>
      </c>
      <c r="G585" t="s">
        <v>111</v>
      </c>
      <c r="H585" t="s">
        <v>112</v>
      </c>
      <c r="I585" t="s">
        <v>91</v>
      </c>
      <c r="J585" t="s">
        <v>92</v>
      </c>
      <c r="K585" t="s">
        <v>67</v>
      </c>
      <c r="L585" t="s">
        <v>1589</v>
      </c>
      <c r="M585" t="s">
        <v>1590</v>
      </c>
      <c r="N585" t="s">
        <v>1568</v>
      </c>
      <c r="O585" t="s">
        <v>1568</v>
      </c>
      <c r="P585" t="s">
        <v>1569</v>
      </c>
      <c r="Q585" t="s">
        <v>1570</v>
      </c>
      <c r="R585" t="s">
        <v>1215</v>
      </c>
      <c r="S585" t="s">
        <v>122</v>
      </c>
      <c r="T585" t="s">
        <v>97</v>
      </c>
      <c r="U585" t="s">
        <v>98</v>
      </c>
      <c r="V585" t="s">
        <v>99</v>
      </c>
      <c r="W585" t="s">
        <v>98</v>
      </c>
      <c r="X585" t="s">
        <v>100</v>
      </c>
    </row>
    <row r="586" spans="1:24" x14ac:dyDescent="0.2">
      <c r="A586" t="s">
        <v>1591</v>
      </c>
      <c r="B586">
        <v>920</v>
      </c>
      <c r="C586" t="s">
        <v>60</v>
      </c>
      <c r="D586" t="s">
        <v>61</v>
      </c>
      <c r="E586" t="s">
        <v>1212</v>
      </c>
      <c r="F586" t="s">
        <v>1576</v>
      </c>
      <c r="G586" t="s">
        <v>111</v>
      </c>
      <c r="H586" t="s">
        <v>112</v>
      </c>
      <c r="I586" t="s">
        <v>102</v>
      </c>
      <c r="J586" t="s">
        <v>103</v>
      </c>
      <c r="K586" t="s">
        <v>67</v>
      </c>
      <c r="L586" t="s">
        <v>1592</v>
      </c>
      <c r="M586" t="s">
        <v>1593</v>
      </c>
      <c r="N586" t="s">
        <v>1568</v>
      </c>
      <c r="O586" t="s">
        <v>1568</v>
      </c>
      <c r="P586" t="s">
        <v>1569</v>
      </c>
      <c r="Q586" t="s">
        <v>1570</v>
      </c>
      <c r="R586" t="s">
        <v>1215</v>
      </c>
      <c r="S586" t="s">
        <v>126</v>
      </c>
      <c r="T586" t="s">
        <v>127</v>
      </c>
      <c r="U586" t="s">
        <v>128</v>
      </c>
      <c r="V586" t="s">
        <v>77</v>
      </c>
      <c r="W586" t="s">
        <v>128</v>
      </c>
      <c r="X586" t="s">
        <v>129</v>
      </c>
    </row>
    <row r="587" spans="1:24" x14ac:dyDescent="0.2">
      <c r="A587" t="s">
        <v>1594</v>
      </c>
      <c r="B587">
        <v>920</v>
      </c>
      <c r="C587" t="s">
        <v>60</v>
      </c>
      <c r="D587" t="s">
        <v>61</v>
      </c>
      <c r="E587" t="s">
        <v>1212</v>
      </c>
      <c r="F587" t="s">
        <v>1576</v>
      </c>
      <c r="G587" t="s">
        <v>111</v>
      </c>
      <c r="H587" t="s">
        <v>112</v>
      </c>
      <c r="I587" t="s">
        <v>131</v>
      </c>
      <c r="J587" t="s">
        <v>132</v>
      </c>
      <c r="K587" t="s">
        <v>67</v>
      </c>
      <c r="L587" t="s">
        <v>1595</v>
      </c>
      <c r="M587" t="s">
        <v>1596</v>
      </c>
      <c r="N587" t="s">
        <v>1568</v>
      </c>
      <c r="O587" t="s">
        <v>1568</v>
      </c>
      <c r="P587" t="s">
        <v>1569</v>
      </c>
      <c r="Q587" t="s">
        <v>1570</v>
      </c>
      <c r="R587" t="s">
        <v>1215</v>
      </c>
      <c r="S587" t="s">
        <v>135</v>
      </c>
      <c r="T587" t="s">
        <v>136</v>
      </c>
      <c r="U587" t="s">
        <v>131</v>
      </c>
      <c r="V587" t="s">
        <v>77</v>
      </c>
      <c r="W587" t="s">
        <v>131</v>
      </c>
      <c r="X587" t="s">
        <v>137</v>
      </c>
    </row>
    <row r="588" spans="1:24" x14ac:dyDescent="0.2">
      <c r="A588" t="s">
        <v>1597</v>
      </c>
      <c r="B588">
        <v>920</v>
      </c>
      <c r="C588" t="s">
        <v>60</v>
      </c>
      <c r="D588" t="s">
        <v>61</v>
      </c>
      <c r="E588" t="s">
        <v>1212</v>
      </c>
      <c r="F588" t="s">
        <v>1576</v>
      </c>
      <c r="G588" t="s">
        <v>111</v>
      </c>
      <c r="H588" t="s">
        <v>112</v>
      </c>
      <c r="I588" t="s">
        <v>139</v>
      </c>
      <c r="J588" t="s">
        <v>140</v>
      </c>
      <c r="K588" t="s">
        <v>67</v>
      </c>
      <c r="L588" t="s">
        <v>1598</v>
      </c>
      <c r="M588" t="s">
        <v>1599</v>
      </c>
      <c r="N588" t="s">
        <v>1568</v>
      </c>
      <c r="O588" t="s">
        <v>1568</v>
      </c>
      <c r="P588" t="s">
        <v>1569</v>
      </c>
      <c r="Q588" t="s">
        <v>1570</v>
      </c>
      <c r="R588" t="s">
        <v>1215</v>
      </c>
      <c r="S588" t="s">
        <v>143</v>
      </c>
      <c r="T588" t="s">
        <v>144</v>
      </c>
      <c r="U588" t="s">
        <v>139</v>
      </c>
      <c r="V588" t="s">
        <v>99</v>
      </c>
      <c r="W588" t="s">
        <v>139</v>
      </c>
      <c r="X588" t="s">
        <v>145</v>
      </c>
    </row>
    <row r="589" spans="1:24" x14ac:dyDescent="0.2">
      <c r="A589" t="s">
        <v>1600</v>
      </c>
      <c r="B589">
        <v>920</v>
      </c>
      <c r="C589" t="s">
        <v>60</v>
      </c>
      <c r="D589" t="s">
        <v>61</v>
      </c>
      <c r="E589" t="s">
        <v>1212</v>
      </c>
      <c r="F589" t="s">
        <v>1576</v>
      </c>
      <c r="H589" t="s">
        <v>64</v>
      </c>
      <c r="I589" t="s">
        <v>131</v>
      </c>
      <c r="J589" t="s">
        <v>132</v>
      </c>
      <c r="K589" t="s">
        <v>67</v>
      </c>
      <c r="L589" t="s">
        <v>1601</v>
      </c>
      <c r="M589" t="s">
        <v>1602</v>
      </c>
      <c r="N589" t="s">
        <v>1568</v>
      </c>
      <c r="O589" t="s">
        <v>1568</v>
      </c>
      <c r="P589" t="s">
        <v>1569</v>
      </c>
      <c r="Q589" t="s">
        <v>1570</v>
      </c>
      <c r="R589" t="s">
        <v>1215</v>
      </c>
      <c r="S589" t="s">
        <v>149</v>
      </c>
      <c r="T589" t="s">
        <v>136</v>
      </c>
      <c r="U589" t="s">
        <v>131</v>
      </c>
      <c r="V589" t="s">
        <v>77</v>
      </c>
      <c r="W589" t="s">
        <v>131</v>
      </c>
      <c r="X589" t="s">
        <v>137</v>
      </c>
    </row>
    <row r="590" spans="1:24" x14ac:dyDescent="0.2">
      <c r="A590" t="s">
        <v>1603</v>
      </c>
      <c r="B590">
        <v>920</v>
      </c>
      <c r="C590" t="s">
        <v>60</v>
      </c>
      <c r="D590" t="s">
        <v>61</v>
      </c>
      <c r="E590" t="s">
        <v>1212</v>
      </c>
      <c r="F590" t="s">
        <v>1576</v>
      </c>
      <c r="H590" t="s">
        <v>64</v>
      </c>
      <c r="I590" t="s">
        <v>139</v>
      </c>
      <c r="J590" t="s">
        <v>140</v>
      </c>
      <c r="K590" t="s">
        <v>67</v>
      </c>
      <c r="L590" t="s">
        <v>1604</v>
      </c>
      <c r="M590" t="s">
        <v>1605</v>
      </c>
      <c r="N590" t="s">
        <v>1568</v>
      </c>
      <c r="O590" t="s">
        <v>1568</v>
      </c>
      <c r="P590" t="s">
        <v>1569</v>
      </c>
      <c r="Q590" t="s">
        <v>1570</v>
      </c>
      <c r="R590" t="s">
        <v>1215</v>
      </c>
      <c r="S590" t="s">
        <v>153</v>
      </c>
      <c r="T590" t="s">
        <v>144</v>
      </c>
      <c r="U590" t="s">
        <v>139</v>
      </c>
      <c r="V590" t="s">
        <v>99</v>
      </c>
      <c r="W590" t="s">
        <v>139</v>
      </c>
      <c r="X590" t="s">
        <v>145</v>
      </c>
    </row>
    <row r="591" spans="1:24" x14ac:dyDescent="0.2">
      <c r="A591" t="s">
        <v>1606</v>
      </c>
      <c r="B591">
        <v>845.58399999999995</v>
      </c>
      <c r="C591" t="s">
        <v>60</v>
      </c>
      <c r="D591" t="s">
        <v>61</v>
      </c>
      <c r="E591" t="s">
        <v>1212</v>
      </c>
      <c r="F591" t="s">
        <v>1213</v>
      </c>
      <c r="G591" t="s">
        <v>159</v>
      </c>
      <c r="H591" t="s">
        <v>160</v>
      </c>
      <c r="I591" t="s">
        <v>102</v>
      </c>
      <c r="J591" t="s">
        <v>103</v>
      </c>
      <c r="K591">
        <v>3850</v>
      </c>
      <c r="L591" t="s">
        <v>1607</v>
      </c>
      <c r="M591" t="s">
        <v>1607</v>
      </c>
      <c r="N591" t="s">
        <v>170</v>
      </c>
      <c r="O591" t="s">
        <v>170</v>
      </c>
      <c r="P591" t="s">
        <v>1204</v>
      </c>
      <c r="Q591" t="s">
        <v>1205</v>
      </c>
      <c r="R591" t="s">
        <v>1215</v>
      </c>
      <c r="S591" t="s">
        <v>166</v>
      </c>
      <c r="T591" t="s">
        <v>107</v>
      </c>
      <c r="U591" t="s">
        <v>108</v>
      </c>
      <c r="V591" t="s">
        <v>77</v>
      </c>
      <c r="W591" t="s">
        <v>108</v>
      </c>
      <c r="X591" t="s">
        <v>109</v>
      </c>
    </row>
    <row r="592" spans="1:24" x14ac:dyDescent="0.2">
      <c r="A592" t="s">
        <v>1608</v>
      </c>
      <c r="B592">
        <v>935</v>
      </c>
      <c r="C592" t="s">
        <v>60</v>
      </c>
      <c r="D592" t="s">
        <v>61</v>
      </c>
      <c r="E592" t="s">
        <v>445</v>
      </c>
      <c r="F592" t="s">
        <v>928</v>
      </c>
      <c r="H592" t="s">
        <v>64</v>
      </c>
      <c r="I592" t="s">
        <v>65</v>
      </c>
      <c r="J592" t="s">
        <v>66</v>
      </c>
      <c r="K592">
        <v>6250</v>
      </c>
      <c r="L592" t="s">
        <v>1609</v>
      </c>
      <c r="M592" t="s">
        <v>1609</v>
      </c>
      <c r="N592" t="s">
        <v>1610</v>
      </c>
      <c r="O592" t="s">
        <v>1610</v>
      </c>
      <c r="P592" t="s">
        <v>1611</v>
      </c>
      <c r="Q592" t="s">
        <v>1612</v>
      </c>
      <c r="R592" t="s">
        <v>449</v>
      </c>
      <c r="S592" t="s">
        <v>74</v>
      </c>
      <c r="T592" t="s">
        <v>75</v>
      </c>
      <c r="U592" t="s">
        <v>76</v>
      </c>
      <c r="V592" t="s">
        <v>77</v>
      </c>
      <c r="W592" t="s">
        <v>76</v>
      </c>
      <c r="X592" t="s">
        <v>78</v>
      </c>
    </row>
    <row r="593" spans="1:24" x14ac:dyDescent="0.2">
      <c r="A593" t="s">
        <v>1613</v>
      </c>
      <c r="B593">
        <v>935</v>
      </c>
      <c r="C593" t="s">
        <v>60</v>
      </c>
      <c r="D593" t="s">
        <v>61</v>
      </c>
      <c r="E593" t="s">
        <v>1212</v>
      </c>
      <c r="F593" t="s">
        <v>1213</v>
      </c>
      <c r="H593" t="s">
        <v>64</v>
      </c>
      <c r="I593" t="s">
        <v>139</v>
      </c>
      <c r="J593" t="s">
        <v>140</v>
      </c>
      <c r="K593">
        <v>4250</v>
      </c>
      <c r="L593" t="s">
        <v>1614</v>
      </c>
      <c r="M593" t="s">
        <v>1614</v>
      </c>
      <c r="N593" t="s">
        <v>1610</v>
      </c>
      <c r="O593" t="s">
        <v>1610</v>
      </c>
      <c r="P593" t="s">
        <v>1611</v>
      </c>
      <c r="Q593" t="s">
        <v>1612</v>
      </c>
      <c r="R593" t="s">
        <v>1215</v>
      </c>
      <c r="S593" t="s">
        <v>153</v>
      </c>
      <c r="T593" t="s">
        <v>144</v>
      </c>
      <c r="U593" t="s">
        <v>139</v>
      </c>
      <c r="V593" t="s">
        <v>99</v>
      </c>
      <c r="W593" t="s">
        <v>139</v>
      </c>
      <c r="X593" t="s">
        <v>145</v>
      </c>
    </row>
    <row r="594" spans="1:24" x14ac:dyDescent="0.2">
      <c r="A594" t="s">
        <v>1615</v>
      </c>
      <c r="B594">
        <v>935</v>
      </c>
      <c r="C594" t="s">
        <v>60</v>
      </c>
      <c r="D594" t="s">
        <v>61</v>
      </c>
      <c r="E594" t="s">
        <v>1212</v>
      </c>
      <c r="F594" t="s">
        <v>1213</v>
      </c>
      <c r="G594" t="s">
        <v>111</v>
      </c>
      <c r="H594" t="s">
        <v>112</v>
      </c>
      <c r="I594" t="s">
        <v>139</v>
      </c>
      <c r="J594" t="s">
        <v>140</v>
      </c>
      <c r="K594">
        <v>4950</v>
      </c>
      <c r="L594" t="s">
        <v>1616</v>
      </c>
      <c r="M594" t="s">
        <v>1616</v>
      </c>
      <c r="N594" t="s">
        <v>1610</v>
      </c>
      <c r="O594" t="s">
        <v>1610</v>
      </c>
      <c r="P594" t="s">
        <v>1611</v>
      </c>
      <c r="Q594" t="s">
        <v>1612</v>
      </c>
      <c r="R594" t="s">
        <v>1215</v>
      </c>
      <c r="S594" t="s">
        <v>143</v>
      </c>
      <c r="T594" t="s">
        <v>144</v>
      </c>
      <c r="U594" t="s">
        <v>139</v>
      </c>
      <c r="V594" t="s">
        <v>99</v>
      </c>
      <c r="W594" t="s">
        <v>139</v>
      </c>
      <c r="X594" t="s">
        <v>145</v>
      </c>
    </row>
    <row r="595" spans="1:24" x14ac:dyDescent="0.2">
      <c r="A595" t="s">
        <v>1617</v>
      </c>
      <c r="B595">
        <v>935</v>
      </c>
      <c r="C595" t="s">
        <v>60</v>
      </c>
      <c r="D595" t="s">
        <v>61</v>
      </c>
      <c r="E595" t="s">
        <v>650</v>
      </c>
      <c r="F595" t="s">
        <v>1479</v>
      </c>
      <c r="H595" t="s">
        <v>64</v>
      </c>
      <c r="I595" t="s">
        <v>82</v>
      </c>
      <c r="J595" t="s">
        <v>83</v>
      </c>
      <c r="K595">
        <v>6750</v>
      </c>
      <c r="L595" t="s">
        <v>1618</v>
      </c>
      <c r="M595" t="s">
        <v>1618</v>
      </c>
      <c r="N595" t="s">
        <v>1610</v>
      </c>
      <c r="O595" t="s">
        <v>1610</v>
      </c>
      <c r="P595" t="s">
        <v>1611</v>
      </c>
      <c r="Q595" t="s">
        <v>1612</v>
      </c>
      <c r="R595" t="s">
        <v>1481</v>
      </c>
      <c r="S595" t="s">
        <v>87</v>
      </c>
      <c r="T595" t="s">
        <v>75</v>
      </c>
      <c r="U595" t="s">
        <v>76</v>
      </c>
      <c r="V595" t="s">
        <v>77</v>
      </c>
      <c r="W595" t="s">
        <v>76</v>
      </c>
      <c r="X595" t="s">
        <v>78</v>
      </c>
    </row>
    <row r="596" spans="1:24" x14ac:dyDescent="0.2">
      <c r="A596" t="s">
        <v>1619</v>
      </c>
      <c r="B596">
        <v>935</v>
      </c>
      <c r="C596" t="s">
        <v>60</v>
      </c>
      <c r="D596" t="s">
        <v>61</v>
      </c>
      <c r="E596" t="s">
        <v>1212</v>
      </c>
      <c r="F596" t="s">
        <v>1213</v>
      </c>
      <c r="H596" t="s">
        <v>64</v>
      </c>
      <c r="I596" t="s">
        <v>91</v>
      </c>
      <c r="J596" t="s">
        <v>92</v>
      </c>
      <c r="K596">
        <v>3850</v>
      </c>
      <c r="L596" t="s">
        <v>1620</v>
      </c>
      <c r="M596" t="s">
        <v>1620</v>
      </c>
      <c r="N596" t="s">
        <v>1610</v>
      </c>
      <c r="O596" t="s">
        <v>1610</v>
      </c>
      <c r="P596" t="s">
        <v>1611</v>
      </c>
      <c r="Q596" t="s">
        <v>1612</v>
      </c>
      <c r="R596" t="s">
        <v>1215</v>
      </c>
      <c r="S596" t="s">
        <v>96</v>
      </c>
      <c r="T596" t="s">
        <v>97</v>
      </c>
      <c r="U596" t="s">
        <v>98</v>
      </c>
      <c r="V596" t="s">
        <v>99</v>
      </c>
      <c r="W596" t="s">
        <v>98</v>
      </c>
      <c r="X596" t="s">
        <v>100</v>
      </c>
    </row>
    <row r="597" spans="1:24" x14ac:dyDescent="0.2">
      <c r="A597" t="s">
        <v>1621</v>
      </c>
      <c r="B597">
        <v>935</v>
      </c>
      <c r="C597" t="s">
        <v>60</v>
      </c>
      <c r="D597" t="s">
        <v>61</v>
      </c>
      <c r="E597" t="s">
        <v>1212</v>
      </c>
      <c r="F597" t="s">
        <v>1213</v>
      </c>
      <c r="H597" t="s">
        <v>64</v>
      </c>
      <c r="I597" t="s">
        <v>102</v>
      </c>
      <c r="J597" t="s">
        <v>103</v>
      </c>
      <c r="K597">
        <v>3750</v>
      </c>
      <c r="L597" t="s">
        <v>1622</v>
      </c>
      <c r="M597" t="s">
        <v>1622</v>
      </c>
      <c r="N597" t="s">
        <v>1610</v>
      </c>
      <c r="O597" t="s">
        <v>1610</v>
      </c>
      <c r="P597" t="s">
        <v>1611</v>
      </c>
      <c r="Q597" t="s">
        <v>1612</v>
      </c>
      <c r="R597" t="s">
        <v>1215</v>
      </c>
      <c r="S597" t="s">
        <v>106</v>
      </c>
      <c r="T597" t="s">
        <v>107</v>
      </c>
      <c r="U597" t="s">
        <v>108</v>
      </c>
      <c r="V597" t="s">
        <v>77</v>
      </c>
      <c r="W597" t="s">
        <v>108</v>
      </c>
      <c r="X597" t="s">
        <v>109</v>
      </c>
    </row>
    <row r="598" spans="1:24" x14ac:dyDescent="0.2">
      <c r="A598" t="s">
        <v>1623</v>
      </c>
      <c r="B598">
        <v>935</v>
      </c>
      <c r="C598" t="s">
        <v>60</v>
      </c>
      <c r="D598" t="s">
        <v>61</v>
      </c>
      <c r="E598" t="s">
        <v>445</v>
      </c>
      <c r="F598" t="s">
        <v>928</v>
      </c>
      <c r="G598" t="s">
        <v>111</v>
      </c>
      <c r="H598" t="s">
        <v>112</v>
      </c>
      <c r="I598" t="s">
        <v>65</v>
      </c>
      <c r="J598" t="s">
        <v>66</v>
      </c>
      <c r="K598">
        <v>6950</v>
      </c>
      <c r="L598" t="s">
        <v>1624</v>
      </c>
      <c r="M598" t="s">
        <v>1624</v>
      </c>
      <c r="N598" t="s">
        <v>1610</v>
      </c>
      <c r="O598" t="s">
        <v>1610</v>
      </c>
      <c r="P598" t="s">
        <v>1611</v>
      </c>
      <c r="Q598" t="s">
        <v>1612</v>
      </c>
      <c r="R598" t="s">
        <v>449</v>
      </c>
      <c r="S598" t="s">
        <v>114</v>
      </c>
      <c r="T598" t="s">
        <v>75</v>
      </c>
      <c r="U598" t="s">
        <v>76</v>
      </c>
      <c r="V598" t="s">
        <v>77</v>
      </c>
      <c r="W598" t="s">
        <v>76</v>
      </c>
      <c r="X598" t="s">
        <v>78</v>
      </c>
    </row>
    <row r="599" spans="1:24" x14ac:dyDescent="0.2">
      <c r="A599" t="s">
        <v>1625</v>
      </c>
      <c r="B599">
        <v>935</v>
      </c>
      <c r="C599" t="s">
        <v>60</v>
      </c>
      <c r="D599" t="s">
        <v>61</v>
      </c>
      <c r="E599" t="s">
        <v>650</v>
      </c>
      <c r="F599" t="s">
        <v>1479</v>
      </c>
      <c r="G599" t="s">
        <v>111</v>
      </c>
      <c r="H599" t="s">
        <v>112</v>
      </c>
      <c r="I599" t="s">
        <v>82</v>
      </c>
      <c r="J599" t="s">
        <v>83</v>
      </c>
      <c r="K599">
        <v>7450</v>
      </c>
      <c r="L599" t="s">
        <v>1626</v>
      </c>
      <c r="M599" t="s">
        <v>1626</v>
      </c>
      <c r="N599" t="s">
        <v>1610</v>
      </c>
      <c r="O599" t="s">
        <v>1610</v>
      </c>
      <c r="P599" t="s">
        <v>1611</v>
      </c>
      <c r="Q599" t="s">
        <v>1612</v>
      </c>
      <c r="R599" t="s">
        <v>1481</v>
      </c>
      <c r="S599" t="s">
        <v>118</v>
      </c>
      <c r="T599" t="s">
        <v>75</v>
      </c>
      <c r="U599" t="s">
        <v>76</v>
      </c>
      <c r="V599" t="s">
        <v>77</v>
      </c>
      <c r="W599" t="s">
        <v>76</v>
      </c>
      <c r="X599" t="s">
        <v>78</v>
      </c>
    </row>
    <row r="600" spans="1:24" x14ac:dyDescent="0.2">
      <c r="A600" t="s">
        <v>1627</v>
      </c>
      <c r="B600">
        <v>935</v>
      </c>
      <c r="C600" t="s">
        <v>60</v>
      </c>
      <c r="D600" t="s">
        <v>61</v>
      </c>
      <c r="E600" t="s">
        <v>1212</v>
      </c>
      <c r="F600" t="s">
        <v>1213</v>
      </c>
      <c r="G600" t="s">
        <v>111</v>
      </c>
      <c r="H600" t="s">
        <v>112</v>
      </c>
      <c r="I600" t="s">
        <v>91</v>
      </c>
      <c r="J600" t="s">
        <v>92</v>
      </c>
      <c r="K600">
        <v>4550</v>
      </c>
      <c r="L600" t="s">
        <v>1628</v>
      </c>
      <c r="M600" t="s">
        <v>1628</v>
      </c>
      <c r="N600" t="s">
        <v>1610</v>
      </c>
      <c r="O600" t="s">
        <v>1610</v>
      </c>
      <c r="P600" t="s">
        <v>1611</v>
      </c>
      <c r="Q600" t="s">
        <v>1612</v>
      </c>
      <c r="R600" t="s">
        <v>1215</v>
      </c>
      <c r="S600" t="s">
        <v>122</v>
      </c>
      <c r="T600" t="s">
        <v>97</v>
      </c>
      <c r="U600" t="s">
        <v>98</v>
      </c>
      <c r="V600" t="s">
        <v>99</v>
      </c>
      <c r="W600" t="s">
        <v>98</v>
      </c>
      <c r="X600" t="s">
        <v>100</v>
      </c>
    </row>
    <row r="601" spans="1:24" x14ac:dyDescent="0.2">
      <c r="A601" t="s">
        <v>1629</v>
      </c>
      <c r="B601">
        <v>935</v>
      </c>
      <c r="C601" t="s">
        <v>60</v>
      </c>
      <c r="D601" t="s">
        <v>61</v>
      </c>
      <c r="E601" t="s">
        <v>1212</v>
      </c>
      <c r="F601" t="s">
        <v>1213</v>
      </c>
      <c r="G601" t="s">
        <v>111</v>
      </c>
      <c r="H601" t="s">
        <v>112</v>
      </c>
      <c r="I601" t="s">
        <v>102</v>
      </c>
      <c r="J601" t="s">
        <v>103</v>
      </c>
      <c r="K601">
        <v>4450</v>
      </c>
      <c r="L601" t="s">
        <v>1630</v>
      </c>
      <c r="M601" t="s">
        <v>1630</v>
      </c>
      <c r="N601" t="s">
        <v>1610</v>
      </c>
      <c r="O601" t="s">
        <v>1610</v>
      </c>
      <c r="P601" t="s">
        <v>1611</v>
      </c>
      <c r="Q601" t="s">
        <v>1612</v>
      </c>
      <c r="R601" t="s">
        <v>1215</v>
      </c>
      <c r="S601" t="s">
        <v>126</v>
      </c>
      <c r="T601" t="s">
        <v>127</v>
      </c>
      <c r="U601" t="s">
        <v>128</v>
      </c>
      <c r="V601" t="s">
        <v>77</v>
      </c>
      <c r="W601" t="s">
        <v>128</v>
      </c>
      <c r="X601" t="s">
        <v>129</v>
      </c>
    </row>
    <row r="602" spans="1:24" x14ac:dyDescent="0.2">
      <c r="A602" t="s">
        <v>1631</v>
      </c>
      <c r="B602">
        <v>935</v>
      </c>
      <c r="C602" t="s">
        <v>60</v>
      </c>
      <c r="D602" t="s">
        <v>61</v>
      </c>
      <c r="E602" t="s">
        <v>1212</v>
      </c>
      <c r="F602" t="s">
        <v>1213</v>
      </c>
      <c r="G602" t="s">
        <v>111</v>
      </c>
      <c r="H602" t="s">
        <v>112</v>
      </c>
      <c r="I602" t="s">
        <v>131</v>
      </c>
      <c r="J602" t="s">
        <v>132</v>
      </c>
      <c r="K602">
        <v>4950</v>
      </c>
      <c r="L602" t="s">
        <v>1632</v>
      </c>
      <c r="M602" t="s">
        <v>1632</v>
      </c>
      <c r="N602" t="s">
        <v>1610</v>
      </c>
      <c r="O602" t="s">
        <v>1610</v>
      </c>
      <c r="P602" t="s">
        <v>1611</v>
      </c>
      <c r="Q602" t="s">
        <v>1612</v>
      </c>
      <c r="R602" t="s">
        <v>1215</v>
      </c>
      <c r="S602" t="s">
        <v>135</v>
      </c>
      <c r="T602" t="s">
        <v>136</v>
      </c>
      <c r="U602" t="s">
        <v>131</v>
      </c>
      <c r="V602" t="s">
        <v>77</v>
      </c>
      <c r="W602" t="s">
        <v>131</v>
      </c>
      <c r="X602" t="s">
        <v>137</v>
      </c>
    </row>
    <row r="603" spans="1:24" x14ac:dyDescent="0.2">
      <c r="A603" t="s">
        <v>1633</v>
      </c>
      <c r="B603">
        <v>935</v>
      </c>
      <c r="C603" t="s">
        <v>60</v>
      </c>
      <c r="D603" t="s">
        <v>61</v>
      </c>
      <c r="E603" t="s">
        <v>1212</v>
      </c>
      <c r="F603" t="s">
        <v>1213</v>
      </c>
      <c r="H603" t="s">
        <v>64</v>
      </c>
      <c r="I603" t="s">
        <v>131</v>
      </c>
      <c r="J603" t="s">
        <v>132</v>
      </c>
      <c r="K603">
        <v>4250</v>
      </c>
      <c r="L603" t="s">
        <v>1634</v>
      </c>
      <c r="M603" t="s">
        <v>1634</v>
      </c>
      <c r="N603" t="s">
        <v>1610</v>
      </c>
      <c r="O603" t="s">
        <v>1610</v>
      </c>
      <c r="P603" t="s">
        <v>1611</v>
      </c>
      <c r="Q603" t="s">
        <v>1612</v>
      </c>
      <c r="R603" t="s">
        <v>1215</v>
      </c>
      <c r="S603" t="s">
        <v>149</v>
      </c>
      <c r="T603" t="s">
        <v>136</v>
      </c>
      <c r="U603" t="s">
        <v>131</v>
      </c>
      <c r="V603" t="s">
        <v>77</v>
      </c>
      <c r="W603" t="s">
        <v>131</v>
      </c>
      <c r="X603" t="s">
        <v>137</v>
      </c>
    </row>
    <row r="604" spans="1:24" x14ac:dyDescent="0.2">
      <c r="A604" t="s">
        <v>1635</v>
      </c>
      <c r="B604" t="s">
        <v>1636</v>
      </c>
      <c r="C604" t="s">
        <v>60</v>
      </c>
      <c r="D604" t="s">
        <v>61</v>
      </c>
      <c r="E604" t="s">
        <v>1212</v>
      </c>
      <c r="F604" t="s">
        <v>1213</v>
      </c>
      <c r="G604" t="s">
        <v>159</v>
      </c>
      <c r="H604" t="s">
        <v>160</v>
      </c>
      <c r="I604" t="s">
        <v>102</v>
      </c>
      <c r="J604" t="s">
        <v>103</v>
      </c>
      <c r="K604">
        <v>3850</v>
      </c>
      <c r="L604" t="s">
        <v>1637</v>
      </c>
      <c r="M604" t="s">
        <v>1637</v>
      </c>
      <c r="N604" t="s">
        <v>385</v>
      </c>
      <c r="O604" t="s">
        <v>385</v>
      </c>
      <c r="P604" t="s">
        <v>1266</v>
      </c>
      <c r="Q604" t="s">
        <v>1267</v>
      </c>
      <c r="R604" t="s">
        <v>1215</v>
      </c>
      <c r="S604" t="s">
        <v>166</v>
      </c>
      <c r="T604" t="s">
        <v>107</v>
      </c>
      <c r="U604" t="s">
        <v>108</v>
      </c>
      <c r="V604" t="s">
        <v>77</v>
      </c>
      <c r="W604" t="s">
        <v>108</v>
      </c>
      <c r="X604" t="s">
        <v>109</v>
      </c>
    </row>
    <row r="605" spans="1:24" x14ac:dyDescent="0.2">
      <c r="A605" t="s">
        <v>1638</v>
      </c>
      <c r="B605">
        <v>976</v>
      </c>
      <c r="C605" t="s">
        <v>60</v>
      </c>
      <c r="D605" t="s">
        <v>61</v>
      </c>
      <c r="E605" t="s">
        <v>157</v>
      </c>
      <c r="F605" t="s">
        <v>1639</v>
      </c>
      <c r="H605" t="s">
        <v>64</v>
      </c>
      <c r="I605" t="s">
        <v>65</v>
      </c>
      <c r="J605" t="s">
        <v>66</v>
      </c>
      <c r="K605">
        <v>6250</v>
      </c>
      <c r="L605" t="s">
        <v>1640</v>
      </c>
      <c r="M605" t="s">
        <v>1640</v>
      </c>
      <c r="N605" t="s">
        <v>70</v>
      </c>
      <c r="O605" t="s">
        <v>70</v>
      </c>
      <c r="P605" t="s">
        <v>1641</v>
      </c>
      <c r="Q605" t="s">
        <v>1642</v>
      </c>
      <c r="R605" t="s">
        <v>1643</v>
      </c>
      <c r="S605" t="s">
        <v>74</v>
      </c>
      <c r="T605" t="s">
        <v>75</v>
      </c>
      <c r="U605" t="s">
        <v>76</v>
      </c>
      <c r="V605" t="s">
        <v>77</v>
      </c>
      <c r="W605" t="s">
        <v>76</v>
      </c>
      <c r="X605" t="s">
        <v>78</v>
      </c>
    </row>
    <row r="606" spans="1:24" x14ac:dyDescent="0.2">
      <c r="A606" t="s">
        <v>1644</v>
      </c>
      <c r="B606">
        <v>976</v>
      </c>
      <c r="C606" t="s">
        <v>60</v>
      </c>
      <c r="D606" t="s">
        <v>61</v>
      </c>
      <c r="E606" t="s">
        <v>62</v>
      </c>
      <c r="F606" t="s">
        <v>330</v>
      </c>
      <c r="H606" t="s">
        <v>64</v>
      </c>
      <c r="I606" t="s">
        <v>82</v>
      </c>
      <c r="J606" t="s">
        <v>83</v>
      </c>
      <c r="K606">
        <v>6750</v>
      </c>
      <c r="L606" t="s">
        <v>1645</v>
      </c>
      <c r="M606" t="s">
        <v>1645</v>
      </c>
      <c r="N606" t="s">
        <v>70</v>
      </c>
      <c r="O606" t="s">
        <v>70</v>
      </c>
      <c r="P606" t="s">
        <v>1641</v>
      </c>
      <c r="Q606" t="s">
        <v>1642</v>
      </c>
      <c r="R606" t="s">
        <v>73</v>
      </c>
      <c r="S606" t="s">
        <v>87</v>
      </c>
      <c r="T606" t="s">
        <v>75</v>
      </c>
      <c r="U606" t="s">
        <v>76</v>
      </c>
      <c r="V606" t="s">
        <v>77</v>
      </c>
      <c r="W606" t="s">
        <v>76</v>
      </c>
      <c r="X606" t="s">
        <v>78</v>
      </c>
    </row>
    <row r="607" spans="1:24" x14ac:dyDescent="0.2">
      <c r="A607" t="s">
        <v>1646</v>
      </c>
      <c r="B607">
        <v>976</v>
      </c>
      <c r="C607" t="s">
        <v>60</v>
      </c>
      <c r="D607" t="s">
        <v>61</v>
      </c>
      <c r="E607" t="s">
        <v>1647</v>
      </c>
      <c r="F607" t="s">
        <v>1648</v>
      </c>
      <c r="H607" t="s">
        <v>64</v>
      </c>
      <c r="I607" t="s">
        <v>91</v>
      </c>
      <c r="J607" t="s">
        <v>92</v>
      </c>
      <c r="K607">
        <v>3850</v>
      </c>
      <c r="L607" t="s">
        <v>1649</v>
      </c>
      <c r="M607" t="s">
        <v>1649</v>
      </c>
      <c r="N607" t="s">
        <v>70</v>
      </c>
      <c r="O607" t="s">
        <v>70</v>
      </c>
      <c r="P607" t="s">
        <v>1641</v>
      </c>
      <c r="Q607" t="s">
        <v>1642</v>
      </c>
      <c r="R607" t="s">
        <v>1650</v>
      </c>
      <c r="S607" t="s">
        <v>96</v>
      </c>
      <c r="T607" t="s">
        <v>97</v>
      </c>
      <c r="U607" t="s">
        <v>98</v>
      </c>
      <c r="V607" t="s">
        <v>99</v>
      </c>
      <c r="W607" t="s">
        <v>98</v>
      </c>
      <c r="X607" t="s">
        <v>100</v>
      </c>
    </row>
    <row r="608" spans="1:24" x14ac:dyDescent="0.2">
      <c r="A608" t="s">
        <v>1651</v>
      </c>
      <c r="B608">
        <v>976</v>
      </c>
      <c r="C608" t="s">
        <v>60</v>
      </c>
      <c r="D608" t="s">
        <v>61</v>
      </c>
      <c r="E608" t="s">
        <v>1647</v>
      </c>
      <c r="F608" t="s">
        <v>1648</v>
      </c>
      <c r="H608" t="s">
        <v>64</v>
      </c>
      <c r="I608" t="s">
        <v>102</v>
      </c>
      <c r="J608" t="s">
        <v>103</v>
      </c>
      <c r="K608">
        <v>3750</v>
      </c>
      <c r="L608" t="s">
        <v>1652</v>
      </c>
      <c r="M608" t="s">
        <v>1652</v>
      </c>
      <c r="N608" t="s">
        <v>70</v>
      </c>
      <c r="O608" t="s">
        <v>70</v>
      </c>
      <c r="P608" t="s">
        <v>1641</v>
      </c>
      <c r="Q608" t="s">
        <v>1642</v>
      </c>
      <c r="R608" t="s">
        <v>1650</v>
      </c>
      <c r="S608" t="s">
        <v>106</v>
      </c>
      <c r="T608" t="s">
        <v>107</v>
      </c>
      <c r="U608" t="s">
        <v>108</v>
      </c>
      <c r="V608" t="s">
        <v>77</v>
      </c>
      <c r="W608" t="s">
        <v>108</v>
      </c>
      <c r="X608" t="s">
        <v>109</v>
      </c>
    </row>
    <row r="609" spans="1:24" x14ac:dyDescent="0.2">
      <c r="A609" t="s">
        <v>1653</v>
      </c>
      <c r="B609">
        <v>976</v>
      </c>
      <c r="C609" t="s">
        <v>60</v>
      </c>
      <c r="D609" t="s">
        <v>61</v>
      </c>
      <c r="E609" t="s">
        <v>157</v>
      </c>
      <c r="F609" t="s">
        <v>1639</v>
      </c>
      <c r="G609" t="s">
        <v>111</v>
      </c>
      <c r="H609" t="s">
        <v>112</v>
      </c>
      <c r="I609" t="s">
        <v>65</v>
      </c>
      <c r="J609" t="s">
        <v>66</v>
      </c>
      <c r="K609">
        <v>6950</v>
      </c>
      <c r="L609" t="s">
        <v>1654</v>
      </c>
      <c r="M609" t="s">
        <v>1654</v>
      </c>
      <c r="N609" t="s">
        <v>70</v>
      </c>
      <c r="O609" t="s">
        <v>70</v>
      </c>
      <c r="P609" t="s">
        <v>1641</v>
      </c>
      <c r="Q609" t="s">
        <v>1642</v>
      </c>
      <c r="R609" t="s">
        <v>1643</v>
      </c>
      <c r="S609" t="s">
        <v>114</v>
      </c>
      <c r="T609" t="s">
        <v>75</v>
      </c>
      <c r="U609" t="s">
        <v>76</v>
      </c>
      <c r="V609" t="s">
        <v>77</v>
      </c>
      <c r="W609" t="s">
        <v>76</v>
      </c>
      <c r="X609" t="s">
        <v>78</v>
      </c>
    </row>
    <row r="610" spans="1:24" x14ac:dyDescent="0.2">
      <c r="A610" t="s">
        <v>1655</v>
      </c>
      <c r="B610">
        <v>976</v>
      </c>
      <c r="C610" t="s">
        <v>60</v>
      </c>
      <c r="D610" t="s">
        <v>61</v>
      </c>
      <c r="E610" t="s">
        <v>62</v>
      </c>
      <c r="F610" t="s">
        <v>330</v>
      </c>
      <c r="G610" t="s">
        <v>111</v>
      </c>
      <c r="H610" t="s">
        <v>112</v>
      </c>
      <c r="I610" t="s">
        <v>82</v>
      </c>
      <c r="J610" t="s">
        <v>83</v>
      </c>
      <c r="K610">
        <v>7450</v>
      </c>
      <c r="L610" t="s">
        <v>1656</v>
      </c>
      <c r="M610" t="s">
        <v>1656</v>
      </c>
      <c r="N610" t="s">
        <v>70</v>
      </c>
      <c r="O610" t="s">
        <v>70</v>
      </c>
      <c r="P610" t="s">
        <v>1641</v>
      </c>
      <c r="Q610" t="s">
        <v>1642</v>
      </c>
      <c r="R610" t="s">
        <v>73</v>
      </c>
      <c r="S610" t="s">
        <v>118</v>
      </c>
      <c r="T610" t="s">
        <v>75</v>
      </c>
      <c r="U610" t="s">
        <v>76</v>
      </c>
      <c r="V610" t="s">
        <v>77</v>
      </c>
      <c r="W610" t="s">
        <v>76</v>
      </c>
      <c r="X610" t="s">
        <v>78</v>
      </c>
    </row>
    <row r="611" spans="1:24" x14ac:dyDescent="0.2">
      <c r="A611" t="s">
        <v>1657</v>
      </c>
      <c r="B611">
        <v>976</v>
      </c>
      <c r="C611" t="s">
        <v>60</v>
      </c>
      <c r="D611" t="s">
        <v>61</v>
      </c>
      <c r="E611" t="s">
        <v>1647</v>
      </c>
      <c r="F611" t="s">
        <v>1648</v>
      </c>
      <c r="G611" t="s">
        <v>111</v>
      </c>
      <c r="H611" t="s">
        <v>112</v>
      </c>
      <c r="I611" t="s">
        <v>91</v>
      </c>
      <c r="J611" t="s">
        <v>92</v>
      </c>
      <c r="K611">
        <v>4550</v>
      </c>
      <c r="L611" t="s">
        <v>1658</v>
      </c>
      <c r="M611" t="s">
        <v>1658</v>
      </c>
      <c r="N611" t="s">
        <v>70</v>
      </c>
      <c r="O611" t="s">
        <v>70</v>
      </c>
      <c r="P611" t="s">
        <v>1641</v>
      </c>
      <c r="Q611" t="s">
        <v>1642</v>
      </c>
      <c r="R611" t="s">
        <v>1650</v>
      </c>
      <c r="S611" t="s">
        <v>122</v>
      </c>
      <c r="T611" t="s">
        <v>97</v>
      </c>
      <c r="U611" t="s">
        <v>98</v>
      </c>
      <c r="V611" t="s">
        <v>99</v>
      </c>
      <c r="W611" t="s">
        <v>98</v>
      </c>
      <c r="X611" t="s">
        <v>100</v>
      </c>
    </row>
    <row r="612" spans="1:24" x14ac:dyDescent="0.2">
      <c r="A612" t="s">
        <v>1659</v>
      </c>
      <c r="B612">
        <v>976</v>
      </c>
      <c r="C612" t="s">
        <v>60</v>
      </c>
      <c r="D612" t="s">
        <v>61</v>
      </c>
      <c r="E612" t="s">
        <v>1647</v>
      </c>
      <c r="F612" t="s">
        <v>1648</v>
      </c>
      <c r="G612" t="s">
        <v>111</v>
      </c>
      <c r="H612" t="s">
        <v>112</v>
      </c>
      <c r="I612" t="s">
        <v>102</v>
      </c>
      <c r="J612" t="s">
        <v>103</v>
      </c>
      <c r="K612">
        <v>4450</v>
      </c>
      <c r="L612" t="s">
        <v>1660</v>
      </c>
      <c r="M612" t="s">
        <v>1660</v>
      </c>
      <c r="N612" t="s">
        <v>70</v>
      </c>
      <c r="O612" t="s">
        <v>70</v>
      </c>
      <c r="P612" t="s">
        <v>1641</v>
      </c>
      <c r="Q612" t="s">
        <v>1642</v>
      </c>
      <c r="R612" t="s">
        <v>1650</v>
      </c>
      <c r="S612" t="s">
        <v>126</v>
      </c>
      <c r="T612" t="s">
        <v>127</v>
      </c>
      <c r="U612" t="s">
        <v>128</v>
      </c>
      <c r="V612" t="s">
        <v>77</v>
      </c>
      <c r="W612" t="s">
        <v>128</v>
      </c>
      <c r="X612" t="s">
        <v>129</v>
      </c>
    </row>
    <row r="613" spans="1:24" x14ac:dyDescent="0.2">
      <c r="A613" t="s">
        <v>1661</v>
      </c>
      <c r="B613">
        <v>976</v>
      </c>
      <c r="C613" t="s">
        <v>60</v>
      </c>
      <c r="D613" t="s">
        <v>61</v>
      </c>
      <c r="E613" t="s">
        <v>1647</v>
      </c>
      <c r="F613" t="s">
        <v>1648</v>
      </c>
      <c r="G613" t="s">
        <v>111</v>
      </c>
      <c r="H613" t="s">
        <v>112</v>
      </c>
      <c r="I613" t="s">
        <v>131</v>
      </c>
      <c r="J613" t="s">
        <v>132</v>
      </c>
      <c r="K613">
        <v>4950</v>
      </c>
      <c r="L613" t="s">
        <v>1662</v>
      </c>
      <c r="M613" t="s">
        <v>1662</v>
      </c>
      <c r="N613" t="s">
        <v>70</v>
      </c>
      <c r="O613" t="s">
        <v>70</v>
      </c>
      <c r="P613" t="s">
        <v>1641</v>
      </c>
      <c r="Q613" t="s">
        <v>1642</v>
      </c>
      <c r="R613" t="s">
        <v>1650</v>
      </c>
      <c r="S613" t="s">
        <v>135</v>
      </c>
      <c r="T613" t="s">
        <v>136</v>
      </c>
      <c r="U613" t="s">
        <v>131</v>
      </c>
      <c r="V613" t="s">
        <v>77</v>
      </c>
      <c r="W613" t="s">
        <v>131</v>
      </c>
      <c r="X613" t="s">
        <v>137</v>
      </c>
    </row>
    <row r="614" spans="1:24" x14ac:dyDescent="0.2">
      <c r="A614" t="s">
        <v>1663</v>
      </c>
      <c r="B614">
        <v>976</v>
      </c>
      <c r="C614" t="s">
        <v>60</v>
      </c>
      <c r="D614" t="s">
        <v>61</v>
      </c>
      <c r="E614" t="s">
        <v>1647</v>
      </c>
      <c r="F614" t="s">
        <v>1648</v>
      </c>
      <c r="H614" t="s">
        <v>64</v>
      </c>
      <c r="I614" t="s">
        <v>131</v>
      </c>
      <c r="J614" t="s">
        <v>132</v>
      </c>
      <c r="K614">
        <v>4250</v>
      </c>
      <c r="L614" t="s">
        <v>1664</v>
      </c>
      <c r="M614" t="s">
        <v>1664</v>
      </c>
      <c r="N614" t="s">
        <v>70</v>
      </c>
      <c r="O614" t="s">
        <v>70</v>
      </c>
      <c r="P614" t="s">
        <v>1641</v>
      </c>
      <c r="Q614" t="s">
        <v>1642</v>
      </c>
      <c r="R614" t="s">
        <v>1650</v>
      </c>
      <c r="S614" t="s">
        <v>149</v>
      </c>
      <c r="T614" t="s">
        <v>136</v>
      </c>
      <c r="U614" t="s">
        <v>131</v>
      </c>
      <c r="V614" t="s">
        <v>77</v>
      </c>
      <c r="W614" t="s">
        <v>131</v>
      </c>
      <c r="X614" t="s">
        <v>137</v>
      </c>
    </row>
    <row r="615" spans="1:24" x14ac:dyDescent="0.2">
      <c r="A615" t="s">
        <v>1665</v>
      </c>
      <c r="B615">
        <v>976</v>
      </c>
      <c r="C615" t="s">
        <v>60</v>
      </c>
      <c r="D615" t="s">
        <v>156</v>
      </c>
      <c r="E615" t="s">
        <v>1666</v>
      </c>
      <c r="F615" t="s">
        <v>1667</v>
      </c>
      <c r="H615" t="s">
        <v>64</v>
      </c>
      <c r="I615" t="s">
        <v>642</v>
      </c>
      <c r="J615" t="s">
        <v>643</v>
      </c>
      <c r="K615">
        <v>2900</v>
      </c>
      <c r="L615" t="s">
        <v>1668</v>
      </c>
      <c r="M615" t="s">
        <v>1668</v>
      </c>
      <c r="N615" t="s">
        <v>70</v>
      </c>
      <c r="O615" t="s">
        <v>70</v>
      </c>
      <c r="P615" t="s">
        <v>1641</v>
      </c>
      <c r="Q615" t="s">
        <v>1642</v>
      </c>
      <c r="R615" t="s">
        <v>1669</v>
      </c>
      <c r="S615" t="s">
        <v>645</v>
      </c>
      <c r="T615" t="s">
        <v>646</v>
      </c>
      <c r="U615" t="s">
        <v>647</v>
      </c>
      <c r="V615" t="s">
        <v>77</v>
      </c>
      <c r="W615" t="s">
        <v>647</v>
      </c>
      <c r="X615" t="s">
        <v>648</v>
      </c>
    </row>
    <row r="616" spans="1:24" x14ac:dyDescent="0.2">
      <c r="A616" t="s">
        <v>1670</v>
      </c>
      <c r="B616">
        <v>976</v>
      </c>
      <c r="C616" t="s">
        <v>60</v>
      </c>
      <c r="D616" t="s">
        <v>156</v>
      </c>
      <c r="E616" t="s">
        <v>1671</v>
      </c>
      <c r="F616" t="s">
        <v>1672</v>
      </c>
      <c r="H616" t="s">
        <v>64</v>
      </c>
      <c r="I616" t="s">
        <v>65</v>
      </c>
      <c r="J616" t="s">
        <v>66</v>
      </c>
      <c r="K616">
        <v>5250</v>
      </c>
      <c r="L616" t="s">
        <v>1673</v>
      </c>
      <c r="M616" t="s">
        <v>1673</v>
      </c>
      <c r="N616" t="s">
        <v>70</v>
      </c>
      <c r="O616" t="s">
        <v>70</v>
      </c>
      <c r="P616" t="s">
        <v>1641</v>
      </c>
      <c r="Q616" t="s">
        <v>1642</v>
      </c>
      <c r="R616" t="s">
        <v>1674</v>
      </c>
      <c r="S616" t="s">
        <v>74</v>
      </c>
      <c r="T616" t="s">
        <v>75</v>
      </c>
      <c r="U616" t="s">
        <v>76</v>
      </c>
      <c r="V616" t="s">
        <v>77</v>
      </c>
      <c r="W616" t="s">
        <v>76</v>
      </c>
      <c r="X616" t="s">
        <v>78</v>
      </c>
    </row>
    <row r="617" spans="1:24" x14ac:dyDescent="0.2">
      <c r="A617" t="s">
        <v>1675</v>
      </c>
      <c r="B617">
        <v>976</v>
      </c>
      <c r="C617" t="s">
        <v>60</v>
      </c>
      <c r="D617" t="s">
        <v>156</v>
      </c>
      <c r="E617" t="s">
        <v>1676</v>
      </c>
      <c r="F617" t="s">
        <v>1677</v>
      </c>
      <c r="H617" t="s">
        <v>64</v>
      </c>
      <c r="I617" t="s">
        <v>82</v>
      </c>
      <c r="J617" t="s">
        <v>83</v>
      </c>
      <c r="K617">
        <v>5750</v>
      </c>
      <c r="L617" t="s">
        <v>1678</v>
      </c>
      <c r="M617" t="s">
        <v>1678</v>
      </c>
      <c r="N617" t="s">
        <v>70</v>
      </c>
      <c r="O617" t="s">
        <v>70</v>
      </c>
      <c r="P617" t="s">
        <v>1641</v>
      </c>
      <c r="Q617" t="s">
        <v>1642</v>
      </c>
      <c r="R617" t="s">
        <v>1679</v>
      </c>
      <c r="S617" t="s">
        <v>87</v>
      </c>
      <c r="T617" t="s">
        <v>75</v>
      </c>
      <c r="U617" t="s">
        <v>76</v>
      </c>
      <c r="V617" t="s">
        <v>77</v>
      </c>
      <c r="W617" t="s">
        <v>76</v>
      </c>
      <c r="X617" t="s">
        <v>78</v>
      </c>
    </row>
    <row r="618" spans="1:24" x14ac:dyDescent="0.2">
      <c r="A618" t="s">
        <v>1680</v>
      </c>
      <c r="B618">
        <v>976</v>
      </c>
      <c r="C618" t="s">
        <v>60</v>
      </c>
      <c r="D618" t="s">
        <v>156</v>
      </c>
      <c r="E618" t="s">
        <v>1666</v>
      </c>
      <c r="F618" t="s">
        <v>1667</v>
      </c>
      <c r="H618" t="s">
        <v>64</v>
      </c>
      <c r="I618" t="s">
        <v>91</v>
      </c>
      <c r="J618" t="s">
        <v>92</v>
      </c>
      <c r="K618">
        <v>2850</v>
      </c>
      <c r="L618" t="s">
        <v>1681</v>
      </c>
      <c r="M618" t="s">
        <v>1681</v>
      </c>
      <c r="N618" t="s">
        <v>70</v>
      </c>
      <c r="O618" t="s">
        <v>70</v>
      </c>
      <c r="P618" t="s">
        <v>1641</v>
      </c>
      <c r="Q618" t="s">
        <v>1642</v>
      </c>
      <c r="R618" t="s">
        <v>1669</v>
      </c>
      <c r="S618" t="s">
        <v>96</v>
      </c>
      <c r="T618" t="s">
        <v>97</v>
      </c>
      <c r="U618" t="s">
        <v>98</v>
      </c>
      <c r="V618" t="s">
        <v>99</v>
      </c>
      <c r="W618" t="s">
        <v>98</v>
      </c>
      <c r="X618" t="s">
        <v>100</v>
      </c>
    </row>
    <row r="619" spans="1:24" x14ac:dyDescent="0.2">
      <c r="A619" t="s">
        <v>1682</v>
      </c>
      <c r="B619">
        <v>976</v>
      </c>
      <c r="C619" t="s">
        <v>60</v>
      </c>
      <c r="D619" t="s">
        <v>156</v>
      </c>
      <c r="E619" t="s">
        <v>1666</v>
      </c>
      <c r="F619" t="s">
        <v>1667</v>
      </c>
      <c r="H619" t="s">
        <v>64</v>
      </c>
      <c r="I619" t="s">
        <v>102</v>
      </c>
      <c r="J619" t="s">
        <v>103</v>
      </c>
      <c r="K619">
        <v>2750</v>
      </c>
      <c r="L619" t="s">
        <v>1683</v>
      </c>
      <c r="M619" t="s">
        <v>1683</v>
      </c>
      <c r="N619" t="s">
        <v>70</v>
      </c>
      <c r="O619" t="s">
        <v>70</v>
      </c>
      <c r="P619" t="s">
        <v>1641</v>
      </c>
      <c r="Q619" t="s">
        <v>1642</v>
      </c>
      <c r="R619" t="s">
        <v>1669</v>
      </c>
      <c r="S619" t="s">
        <v>106</v>
      </c>
      <c r="T619" t="s">
        <v>107</v>
      </c>
      <c r="U619" t="s">
        <v>108</v>
      </c>
      <c r="V619" t="s">
        <v>77</v>
      </c>
      <c r="W619" t="s">
        <v>108</v>
      </c>
      <c r="X619" t="s">
        <v>109</v>
      </c>
    </row>
    <row r="620" spans="1:24" x14ac:dyDescent="0.2">
      <c r="A620" t="s">
        <v>1684</v>
      </c>
      <c r="B620">
        <v>976</v>
      </c>
      <c r="C620" t="s">
        <v>60</v>
      </c>
      <c r="D620" t="s">
        <v>156</v>
      </c>
      <c r="E620" t="s">
        <v>1671</v>
      </c>
      <c r="F620" t="s">
        <v>1672</v>
      </c>
      <c r="G620" t="s">
        <v>111</v>
      </c>
      <c r="H620" t="s">
        <v>112</v>
      </c>
      <c r="I620" t="s">
        <v>65</v>
      </c>
      <c r="J620" t="s">
        <v>66</v>
      </c>
      <c r="K620">
        <v>5950</v>
      </c>
      <c r="L620" t="s">
        <v>1685</v>
      </c>
      <c r="M620" t="s">
        <v>1685</v>
      </c>
      <c r="N620" t="s">
        <v>70</v>
      </c>
      <c r="O620" t="s">
        <v>70</v>
      </c>
      <c r="P620" t="s">
        <v>1641</v>
      </c>
      <c r="Q620" t="s">
        <v>1642</v>
      </c>
      <c r="R620" t="s">
        <v>1674</v>
      </c>
      <c r="S620" t="s">
        <v>114</v>
      </c>
      <c r="T620" t="s">
        <v>75</v>
      </c>
      <c r="U620" t="s">
        <v>76</v>
      </c>
      <c r="V620" t="s">
        <v>77</v>
      </c>
      <c r="W620" t="s">
        <v>76</v>
      </c>
      <c r="X620" t="s">
        <v>78</v>
      </c>
    </row>
    <row r="621" spans="1:24" x14ac:dyDescent="0.2">
      <c r="A621" t="s">
        <v>1686</v>
      </c>
      <c r="B621">
        <v>976</v>
      </c>
      <c r="C621" t="s">
        <v>60</v>
      </c>
      <c r="D621" t="s">
        <v>156</v>
      </c>
      <c r="E621" t="s">
        <v>1676</v>
      </c>
      <c r="F621" t="s">
        <v>1677</v>
      </c>
      <c r="G621" t="s">
        <v>111</v>
      </c>
      <c r="H621" t="s">
        <v>112</v>
      </c>
      <c r="I621" t="s">
        <v>82</v>
      </c>
      <c r="J621" t="s">
        <v>83</v>
      </c>
      <c r="K621">
        <v>6450</v>
      </c>
      <c r="L621" t="s">
        <v>1687</v>
      </c>
      <c r="M621" t="s">
        <v>1687</v>
      </c>
      <c r="N621" t="s">
        <v>70</v>
      </c>
      <c r="O621" t="s">
        <v>70</v>
      </c>
      <c r="P621" t="s">
        <v>1641</v>
      </c>
      <c r="Q621" t="s">
        <v>1642</v>
      </c>
      <c r="R621" t="s">
        <v>1679</v>
      </c>
      <c r="S621" t="s">
        <v>118</v>
      </c>
      <c r="T621" t="s">
        <v>75</v>
      </c>
      <c r="U621" t="s">
        <v>76</v>
      </c>
      <c r="V621" t="s">
        <v>77</v>
      </c>
      <c r="W621" t="s">
        <v>76</v>
      </c>
      <c r="X621" t="s">
        <v>78</v>
      </c>
    </row>
    <row r="622" spans="1:24" x14ac:dyDescent="0.2">
      <c r="A622" t="s">
        <v>1688</v>
      </c>
      <c r="B622">
        <v>976</v>
      </c>
      <c r="C622" t="s">
        <v>60</v>
      </c>
      <c r="D622" t="s">
        <v>156</v>
      </c>
      <c r="E622" t="s">
        <v>1666</v>
      </c>
      <c r="F622" t="s">
        <v>1667</v>
      </c>
      <c r="G622" t="s">
        <v>111</v>
      </c>
      <c r="H622" t="s">
        <v>112</v>
      </c>
      <c r="I622" t="s">
        <v>91</v>
      </c>
      <c r="J622" t="s">
        <v>92</v>
      </c>
      <c r="K622">
        <v>3550</v>
      </c>
      <c r="L622" t="s">
        <v>1689</v>
      </c>
      <c r="M622" t="s">
        <v>1689</v>
      </c>
      <c r="N622" t="s">
        <v>70</v>
      </c>
      <c r="O622" t="s">
        <v>70</v>
      </c>
      <c r="P622" t="s">
        <v>1641</v>
      </c>
      <c r="Q622" t="s">
        <v>1642</v>
      </c>
      <c r="R622" t="s">
        <v>1669</v>
      </c>
      <c r="S622" t="s">
        <v>122</v>
      </c>
      <c r="T622" t="s">
        <v>97</v>
      </c>
      <c r="U622" t="s">
        <v>98</v>
      </c>
      <c r="V622" t="s">
        <v>99</v>
      </c>
      <c r="W622" t="s">
        <v>98</v>
      </c>
      <c r="X622" t="s">
        <v>100</v>
      </c>
    </row>
    <row r="623" spans="1:24" x14ac:dyDescent="0.2">
      <c r="A623" t="s">
        <v>1690</v>
      </c>
      <c r="B623">
        <v>976</v>
      </c>
      <c r="C623" t="s">
        <v>60</v>
      </c>
      <c r="D623" t="s">
        <v>156</v>
      </c>
      <c r="E623" t="s">
        <v>1666</v>
      </c>
      <c r="F623" t="s">
        <v>1667</v>
      </c>
      <c r="G623" t="s">
        <v>111</v>
      </c>
      <c r="H623" t="s">
        <v>112</v>
      </c>
      <c r="I623" t="s">
        <v>102</v>
      </c>
      <c r="J623" t="s">
        <v>103</v>
      </c>
      <c r="K623">
        <v>3450</v>
      </c>
      <c r="L623" t="s">
        <v>1691</v>
      </c>
      <c r="M623" t="s">
        <v>1691</v>
      </c>
      <c r="N623" t="s">
        <v>70</v>
      </c>
      <c r="O623" t="s">
        <v>70</v>
      </c>
      <c r="P623" t="s">
        <v>1641</v>
      </c>
      <c r="Q623" t="s">
        <v>1642</v>
      </c>
      <c r="R623" t="s">
        <v>1669</v>
      </c>
      <c r="S623" t="s">
        <v>126</v>
      </c>
      <c r="T623" t="s">
        <v>127</v>
      </c>
      <c r="U623" t="s">
        <v>128</v>
      </c>
      <c r="V623" t="s">
        <v>77</v>
      </c>
      <c r="W623" t="s">
        <v>128</v>
      </c>
      <c r="X623" t="s">
        <v>129</v>
      </c>
    </row>
    <row r="624" spans="1:24" x14ac:dyDescent="0.2">
      <c r="A624" t="s">
        <v>1692</v>
      </c>
      <c r="B624">
        <v>976</v>
      </c>
      <c r="C624" t="s">
        <v>60</v>
      </c>
      <c r="D624" t="s">
        <v>156</v>
      </c>
      <c r="E624" t="s">
        <v>1666</v>
      </c>
      <c r="F624" t="s">
        <v>1667</v>
      </c>
      <c r="G624" t="s">
        <v>111</v>
      </c>
      <c r="H624" t="s">
        <v>112</v>
      </c>
      <c r="I624" t="s">
        <v>131</v>
      </c>
      <c r="J624" t="s">
        <v>132</v>
      </c>
      <c r="K624">
        <v>3950</v>
      </c>
      <c r="L624" t="s">
        <v>1693</v>
      </c>
      <c r="M624" t="s">
        <v>1693</v>
      </c>
      <c r="N624" t="s">
        <v>70</v>
      </c>
      <c r="O624" t="s">
        <v>70</v>
      </c>
      <c r="P624" t="s">
        <v>1641</v>
      </c>
      <c r="Q624" t="s">
        <v>1642</v>
      </c>
      <c r="R624" t="s">
        <v>1669</v>
      </c>
      <c r="S624" t="s">
        <v>135</v>
      </c>
      <c r="T624" t="s">
        <v>136</v>
      </c>
      <c r="U624" t="s">
        <v>131</v>
      </c>
      <c r="V624" t="s">
        <v>77</v>
      </c>
      <c r="W624" t="s">
        <v>131</v>
      </c>
      <c r="X624" t="s">
        <v>137</v>
      </c>
    </row>
    <row r="625" spans="1:24" x14ac:dyDescent="0.2">
      <c r="A625" t="s">
        <v>1694</v>
      </c>
      <c r="B625">
        <v>976</v>
      </c>
      <c r="C625" t="s">
        <v>60</v>
      </c>
      <c r="D625" t="s">
        <v>156</v>
      </c>
      <c r="E625" t="s">
        <v>1666</v>
      </c>
      <c r="F625" t="s">
        <v>1667</v>
      </c>
      <c r="G625" t="s">
        <v>111</v>
      </c>
      <c r="H625" t="s">
        <v>112</v>
      </c>
      <c r="I625" t="s">
        <v>139</v>
      </c>
      <c r="J625" t="s">
        <v>140</v>
      </c>
      <c r="K625">
        <v>3950</v>
      </c>
      <c r="L625" t="s">
        <v>1695</v>
      </c>
      <c r="M625" t="s">
        <v>1695</v>
      </c>
      <c r="N625" t="s">
        <v>70</v>
      </c>
      <c r="O625" t="s">
        <v>70</v>
      </c>
      <c r="P625" t="s">
        <v>1641</v>
      </c>
      <c r="Q625" t="s">
        <v>1642</v>
      </c>
      <c r="R625" t="s">
        <v>1669</v>
      </c>
      <c r="S625" t="s">
        <v>143</v>
      </c>
      <c r="T625" t="s">
        <v>144</v>
      </c>
      <c r="U625" t="s">
        <v>139</v>
      </c>
      <c r="V625" t="s">
        <v>99</v>
      </c>
      <c r="W625" t="s">
        <v>139</v>
      </c>
      <c r="X625" t="s">
        <v>145</v>
      </c>
    </row>
    <row r="626" spans="1:24" x14ac:dyDescent="0.2">
      <c r="A626" t="s">
        <v>1696</v>
      </c>
      <c r="B626">
        <v>976</v>
      </c>
      <c r="C626" t="s">
        <v>60</v>
      </c>
      <c r="D626" t="s">
        <v>61</v>
      </c>
      <c r="E626" t="s">
        <v>1647</v>
      </c>
      <c r="F626" t="s">
        <v>1648</v>
      </c>
      <c r="H626" t="s">
        <v>64</v>
      </c>
      <c r="I626" t="s">
        <v>139</v>
      </c>
      <c r="J626" t="s">
        <v>140</v>
      </c>
      <c r="K626">
        <v>4250</v>
      </c>
      <c r="L626" t="s">
        <v>1697</v>
      </c>
      <c r="M626" t="s">
        <v>1697</v>
      </c>
      <c r="N626" t="s">
        <v>70</v>
      </c>
      <c r="O626" t="s">
        <v>70</v>
      </c>
      <c r="P626" t="s">
        <v>1641</v>
      </c>
      <c r="Q626" t="s">
        <v>1642</v>
      </c>
      <c r="R626" t="s">
        <v>1650</v>
      </c>
      <c r="S626" t="s">
        <v>153</v>
      </c>
      <c r="T626" t="s">
        <v>144</v>
      </c>
      <c r="U626" t="s">
        <v>139</v>
      </c>
      <c r="V626" t="s">
        <v>99</v>
      </c>
      <c r="W626" t="s">
        <v>139</v>
      </c>
      <c r="X626" t="s">
        <v>145</v>
      </c>
    </row>
    <row r="627" spans="1:24" x14ac:dyDescent="0.2">
      <c r="A627" t="s">
        <v>1698</v>
      </c>
      <c r="B627">
        <v>976</v>
      </c>
      <c r="C627" t="s">
        <v>60</v>
      </c>
      <c r="D627" t="s">
        <v>61</v>
      </c>
      <c r="E627" t="s">
        <v>1647</v>
      </c>
      <c r="F627" t="s">
        <v>1648</v>
      </c>
      <c r="G627" t="s">
        <v>111</v>
      </c>
      <c r="H627" t="s">
        <v>112</v>
      </c>
      <c r="I627" t="s">
        <v>139</v>
      </c>
      <c r="J627" t="s">
        <v>140</v>
      </c>
      <c r="K627">
        <v>4950</v>
      </c>
      <c r="L627" t="s">
        <v>1699</v>
      </c>
      <c r="M627" t="s">
        <v>1699</v>
      </c>
      <c r="N627" t="s">
        <v>70</v>
      </c>
      <c r="O627" t="s">
        <v>70</v>
      </c>
      <c r="P627" t="s">
        <v>1641</v>
      </c>
      <c r="Q627" t="s">
        <v>1642</v>
      </c>
      <c r="R627" t="s">
        <v>1650</v>
      </c>
      <c r="S627" t="s">
        <v>143</v>
      </c>
      <c r="T627" t="s">
        <v>144</v>
      </c>
      <c r="U627" t="s">
        <v>139</v>
      </c>
      <c r="V627" t="s">
        <v>99</v>
      </c>
      <c r="W627" t="s">
        <v>139</v>
      </c>
      <c r="X627" t="s">
        <v>145</v>
      </c>
    </row>
    <row r="628" spans="1:24" x14ac:dyDescent="0.2">
      <c r="A628" t="s">
        <v>1700</v>
      </c>
      <c r="B628">
        <v>976</v>
      </c>
      <c r="C628" t="s">
        <v>60</v>
      </c>
      <c r="D628" t="s">
        <v>156</v>
      </c>
      <c r="E628" t="s">
        <v>1666</v>
      </c>
      <c r="F628" t="s">
        <v>1667</v>
      </c>
      <c r="H628" t="s">
        <v>64</v>
      </c>
      <c r="I628" t="s">
        <v>131</v>
      </c>
      <c r="J628" t="s">
        <v>132</v>
      </c>
      <c r="K628">
        <v>3250</v>
      </c>
      <c r="L628" t="s">
        <v>1701</v>
      </c>
      <c r="M628" t="s">
        <v>1701</v>
      </c>
      <c r="N628" t="s">
        <v>70</v>
      </c>
      <c r="O628" t="s">
        <v>70</v>
      </c>
      <c r="P628" t="s">
        <v>1641</v>
      </c>
      <c r="Q628" t="s">
        <v>1642</v>
      </c>
      <c r="R628" t="s">
        <v>1669</v>
      </c>
      <c r="S628" t="s">
        <v>149</v>
      </c>
      <c r="T628" t="s">
        <v>136</v>
      </c>
      <c r="U628" t="s">
        <v>131</v>
      </c>
      <c r="V628" t="s">
        <v>77</v>
      </c>
      <c r="W628" t="s">
        <v>131</v>
      </c>
      <c r="X628" t="s">
        <v>137</v>
      </c>
    </row>
    <row r="629" spans="1:24" x14ac:dyDescent="0.2">
      <c r="A629" t="s">
        <v>1702</v>
      </c>
      <c r="B629">
        <v>976</v>
      </c>
      <c r="C629" t="s">
        <v>60</v>
      </c>
      <c r="D629" t="s">
        <v>156</v>
      </c>
      <c r="E629" t="s">
        <v>1666</v>
      </c>
      <c r="F629" t="s">
        <v>1667</v>
      </c>
      <c r="H629" t="s">
        <v>64</v>
      </c>
      <c r="I629" t="s">
        <v>139</v>
      </c>
      <c r="J629" t="s">
        <v>140</v>
      </c>
      <c r="K629">
        <v>3250</v>
      </c>
      <c r="L629" t="s">
        <v>1703</v>
      </c>
      <c r="M629" t="s">
        <v>1703</v>
      </c>
      <c r="N629" t="s">
        <v>70</v>
      </c>
      <c r="O629" t="s">
        <v>70</v>
      </c>
      <c r="P629" t="s">
        <v>1641</v>
      </c>
      <c r="Q629" t="s">
        <v>1642</v>
      </c>
      <c r="R629" t="s">
        <v>1669</v>
      </c>
      <c r="S629" t="s">
        <v>153</v>
      </c>
      <c r="T629" t="s">
        <v>144</v>
      </c>
      <c r="U629" t="s">
        <v>139</v>
      </c>
      <c r="V629" t="s">
        <v>99</v>
      </c>
      <c r="W629" t="s">
        <v>139</v>
      </c>
      <c r="X629" t="s">
        <v>145</v>
      </c>
    </row>
    <row r="630" spans="1:24" x14ac:dyDescent="0.2">
      <c r="A630" t="s">
        <v>1704</v>
      </c>
      <c r="B630" t="s">
        <v>1636</v>
      </c>
      <c r="C630" t="s">
        <v>60</v>
      </c>
      <c r="D630" t="s">
        <v>612</v>
      </c>
      <c r="E630" t="s">
        <v>613</v>
      </c>
      <c r="F630" t="s">
        <v>614</v>
      </c>
      <c r="G630" t="s">
        <v>159</v>
      </c>
      <c r="H630" t="s">
        <v>160</v>
      </c>
      <c r="I630" t="s">
        <v>102</v>
      </c>
      <c r="J630" t="s">
        <v>103</v>
      </c>
      <c r="K630">
        <v>4350</v>
      </c>
      <c r="L630" t="s">
        <v>1705</v>
      </c>
      <c r="M630" t="s">
        <v>1705</v>
      </c>
      <c r="N630" t="s">
        <v>385</v>
      </c>
      <c r="O630" t="s">
        <v>385</v>
      </c>
      <c r="P630" t="s">
        <v>1266</v>
      </c>
      <c r="Q630" t="s">
        <v>1267</v>
      </c>
      <c r="R630" t="s">
        <v>616</v>
      </c>
      <c r="S630" t="s">
        <v>166</v>
      </c>
      <c r="T630" t="s">
        <v>107</v>
      </c>
      <c r="U630" t="s">
        <v>108</v>
      </c>
      <c r="V630" t="s">
        <v>77</v>
      </c>
      <c r="W630" t="s">
        <v>108</v>
      </c>
      <c r="X630" t="s">
        <v>109</v>
      </c>
    </row>
    <row r="631" spans="1:24" x14ac:dyDescent="0.2">
      <c r="A631" t="s">
        <v>1706</v>
      </c>
      <c r="B631" t="s">
        <v>1636</v>
      </c>
      <c r="C631" t="s">
        <v>60</v>
      </c>
      <c r="D631" t="s">
        <v>156</v>
      </c>
      <c r="E631" t="s">
        <v>89</v>
      </c>
      <c r="F631" t="s">
        <v>606</v>
      </c>
      <c r="G631" t="s">
        <v>159</v>
      </c>
      <c r="H631" t="s">
        <v>160</v>
      </c>
      <c r="I631" t="s">
        <v>102</v>
      </c>
      <c r="J631" t="s">
        <v>103</v>
      </c>
      <c r="K631">
        <v>2850</v>
      </c>
      <c r="L631" t="s">
        <v>1707</v>
      </c>
      <c r="M631" t="s">
        <v>1707</v>
      </c>
      <c r="N631" t="s">
        <v>385</v>
      </c>
      <c r="O631" t="s">
        <v>385</v>
      </c>
      <c r="P631" t="s">
        <v>1266</v>
      </c>
      <c r="Q631" t="s">
        <v>1267</v>
      </c>
      <c r="R631" t="s">
        <v>608</v>
      </c>
      <c r="S631" t="s">
        <v>166</v>
      </c>
      <c r="T631" t="s">
        <v>107</v>
      </c>
      <c r="U631" t="s">
        <v>108</v>
      </c>
      <c r="V631" t="s">
        <v>77</v>
      </c>
      <c r="W631" t="s">
        <v>108</v>
      </c>
      <c r="X631" t="s">
        <v>109</v>
      </c>
    </row>
    <row r="632" spans="1:24" x14ac:dyDescent="0.2">
      <c r="A632" t="s">
        <v>1708</v>
      </c>
      <c r="B632">
        <v>1036</v>
      </c>
      <c r="C632" t="s">
        <v>60</v>
      </c>
      <c r="D632" t="s">
        <v>156</v>
      </c>
      <c r="E632" t="s">
        <v>157</v>
      </c>
      <c r="F632" t="s">
        <v>158</v>
      </c>
      <c r="H632" t="s">
        <v>64</v>
      </c>
      <c r="I632" t="s">
        <v>642</v>
      </c>
      <c r="J632" t="s">
        <v>643</v>
      </c>
      <c r="K632">
        <v>2900</v>
      </c>
      <c r="L632" t="s">
        <v>1709</v>
      </c>
      <c r="M632" t="s">
        <v>1709</v>
      </c>
      <c r="N632" t="s">
        <v>162</v>
      </c>
      <c r="O632" t="s">
        <v>162</v>
      </c>
      <c r="P632" t="s">
        <v>163</v>
      </c>
      <c r="Q632" t="s">
        <v>164</v>
      </c>
      <c r="R632" t="s">
        <v>165</v>
      </c>
      <c r="S632" t="s">
        <v>645</v>
      </c>
      <c r="T632" t="s">
        <v>646</v>
      </c>
      <c r="U632" t="s">
        <v>647</v>
      </c>
      <c r="V632" t="s">
        <v>77</v>
      </c>
      <c r="W632" t="s">
        <v>647</v>
      </c>
      <c r="X632" t="s">
        <v>648</v>
      </c>
    </row>
    <row r="633" spans="1:24" x14ac:dyDescent="0.2">
      <c r="A633" t="s">
        <v>1710</v>
      </c>
      <c r="B633">
        <v>1036</v>
      </c>
      <c r="C633" t="s">
        <v>60</v>
      </c>
      <c r="D633" t="s">
        <v>156</v>
      </c>
      <c r="E633" t="s">
        <v>1711</v>
      </c>
      <c r="F633" t="s">
        <v>1712</v>
      </c>
      <c r="H633" t="s">
        <v>64</v>
      </c>
      <c r="I633" t="s">
        <v>65</v>
      </c>
      <c r="J633" t="s">
        <v>66</v>
      </c>
      <c r="K633">
        <v>5250</v>
      </c>
      <c r="L633" t="s">
        <v>1713</v>
      </c>
      <c r="M633" t="s">
        <v>1713</v>
      </c>
      <c r="N633" t="s">
        <v>162</v>
      </c>
      <c r="O633" t="s">
        <v>162</v>
      </c>
      <c r="P633" t="s">
        <v>163</v>
      </c>
      <c r="Q633" t="s">
        <v>164</v>
      </c>
      <c r="R633" t="s">
        <v>1714</v>
      </c>
      <c r="S633" t="s">
        <v>74</v>
      </c>
      <c r="T633" t="s">
        <v>75</v>
      </c>
      <c r="U633" t="s">
        <v>76</v>
      </c>
      <c r="V633" t="s">
        <v>77</v>
      </c>
      <c r="W633" t="s">
        <v>76</v>
      </c>
      <c r="X633" t="s">
        <v>78</v>
      </c>
    </row>
    <row r="634" spans="1:24" x14ac:dyDescent="0.2">
      <c r="A634" t="s">
        <v>1715</v>
      </c>
      <c r="B634">
        <v>1036</v>
      </c>
      <c r="C634" t="s">
        <v>60</v>
      </c>
      <c r="D634" t="s">
        <v>156</v>
      </c>
      <c r="E634" t="s">
        <v>1716</v>
      </c>
      <c r="F634" t="s">
        <v>1717</v>
      </c>
      <c r="H634" t="s">
        <v>64</v>
      </c>
      <c r="I634" t="s">
        <v>82</v>
      </c>
      <c r="J634" t="s">
        <v>83</v>
      </c>
      <c r="K634">
        <v>5750</v>
      </c>
      <c r="L634" t="s">
        <v>1718</v>
      </c>
      <c r="M634" t="s">
        <v>1718</v>
      </c>
      <c r="N634" t="s">
        <v>162</v>
      </c>
      <c r="O634" t="s">
        <v>162</v>
      </c>
      <c r="P634" t="s">
        <v>163</v>
      </c>
      <c r="Q634" t="s">
        <v>164</v>
      </c>
      <c r="R634" t="s">
        <v>1719</v>
      </c>
      <c r="S634" t="s">
        <v>87</v>
      </c>
      <c r="T634" t="s">
        <v>75</v>
      </c>
      <c r="U634" t="s">
        <v>76</v>
      </c>
      <c r="V634" t="s">
        <v>77</v>
      </c>
      <c r="W634" t="s">
        <v>76</v>
      </c>
      <c r="X634" t="s">
        <v>78</v>
      </c>
    </row>
    <row r="635" spans="1:24" x14ac:dyDescent="0.2">
      <c r="A635" t="s">
        <v>1720</v>
      </c>
      <c r="B635">
        <v>1036</v>
      </c>
      <c r="C635" t="s">
        <v>60</v>
      </c>
      <c r="D635" t="s">
        <v>156</v>
      </c>
      <c r="E635" t="s">
        <v>157</v>
      </c>
      <c r="F635" t="s">
        <v>158</v>
      </c>
      <c r="H635" t="s">
        <v>64</v>
      </c>
      <c r="I635" t="s">
        <v>91</v>
      </c>
      <c r="J635" t="s">
        <v>92</v>
      </c>
      <c r="K635">
        <v>2850</v>
      </c>
      <c r="L635" t="s">
        <v>1721</v>
      </c>
      <c r="M635" t="s">
        <v>1721</v>
      </c>
      <c r="N635" t="s">
        <v>162</v>
      </c>
      <c r="O635" t="s">
        <v>162</v>
      </c>
      <c r="P635" t="s">
        <v>163</v>
      </c>
      <c r="Q635" t="s">
        <v>164</v>
      </c>
      <c r="R635" t="s">
        <v>165</v>
      </c>
      <c r="S635" t="s">
        <v>96</v>
      </c>
      <c r="T635" t="s">
        <v>97</v>
      </c>
      <c r="U635" t="s">
        <v>98</v>
      </c>
      <c r="V635" t="s">
        <v>99</v>
      </c>
      <c r="W635" t="s">
        <v>98</v>
      </c>
      <c r="X635" t="s">
        <v>100</v>
      </c>
    </row>
    <row r="636" spans="1:24" x14ac:dyDescent="0.2">
      <c r="A636" t="s">
        <v>1722</v>
      </c>
      <c r="B636">
        <v>1036</v>
      </c>
      <c r="C636" t="s">
        <v>60</v>
      </c>
      <c r="D636" t="s">
        <v>156</v>
      </c>
      <c r="E636" t="s">
        <v>157</v>
      </c>
      <c r="F636" t="s">
        <v>158</v>
      </c>
      <c r="H636" t="s">
        <v>64</v>
      </c>
      <c r="I636" t="s">
        <v>102</v>
      </c>
      <c r="J636" t="s">
        <v>103</v>
      </c>
      <c r="K636">
        <v>2750</v>
      </c>
      <c r="L636" t="s">
        <v>1723</v>
      </c>
      <c r="M636" t="s">
        <v>1723</v>
      </c>
      <c r="N636" t="s">
        <v>162</v>
      </c>
      <c r="O636" t="s">
        <v>162</v>
      </c>
      <c r="P636" t="s">
        <v>163</v>
      </c>
      <c r="Q636" t="s">
        <v>164</v>
      </c>
      <c r="R636" t="s">
        <v>165</v>
      </c>
      <c r="S636" t="s">
        <v>106</v>
      </c>
      <c r="T636" t="s">
        <v>107</v>
      </c>
      <c r="U636" t="s">
        <v>108</v>
      </c>
      <c r="V636" t="s">
        <v>77</v>
      </c>
      <c r="W636" t="s">
        <v>108</v>
      </c>
      <c r="X636" t="s">
        <v>109</v>
      </c>
    </row>
    <row r="637" spans="1:24" x14ac:dyDescent="0.2">
      <c r="A637" t="s">
        <v>1724</v>
      </c>
      <c r="B637">
        <v>1036</v>
      </c>
      <c r="C637" t="s">
        <v>60</v>
      </c>
      <c r="D637" t="s">
        <v>156</v>
      </c>
      <c r="E637" t="s">
        <v>1711</v>
      </c>
      <c r="F637" t="s">
        <v>1712</v>
      </c>
      <c r="G637" t="s">
        <v>111</v>
      </c>
      <c r="H637" t="s">
        <v>112</v>
      </c>
      <c r="I637" t="s">
        <v>65</v>
      </c>
      <c r="J637" t="s">
        <v>66</v>
      </c>
      <c r="K637">
        <v>5950</v>
      </c>
      <c r="L637" t="s">
        <v>1725</v>
      </c>
      <c r="M637" t="s">
        <v>1725</v>
      </c>
      <c r="N637" t="s">
        <v>162</v>
      </c>
      <c r="O637" t="s">
        <v>162</v>
      </c>
      <c r="P637" t="s">
        <v>163</v>
      </c>
      <c r="Q637" t="s">
        <v>164</v>
      </c>
      <c r="R637" t="s">
        <v>1714</v>
      </c>
      <c r="S637" t="s">
        <v>114</v>
      </c>
      <c r="T637" t="s">
        <v>75</v>
      </c>
      <c r="U637" t="s">
        <v>76</v>
      </c>
      <c r="V637" t="s">
        <v>77</v>
      </c>
      <c r="W637" t="s">
        <v>76</v>
      </c>
      <c r="X637" t="s">
        <v>78</v>
      </c>
    </row>
    <row r="638" spans="1:24" x14ac:dyDescent="0.2">
      <c r="A638" t="s">
        <v>1726</v>
      </c>
      <c r="B638">
        <v>1036</v>
      </c>
      <c r="C638" t="s">
        <v>60</v>
      </c>
      <c r="D638" t="s">
        <v>156</v>
      </c>
      <c r="E638" t="s">
        <v>1716</v>
      </c>
      <c r="F638" t="s">
        <v>1717</v>
      </c>
      <c r="G638" t="s">
        <v>111</v>
      </c>
      <c r="H638" t="s">
        <v>112</v>
      </c>
      <c r="I638" t="s">
        <v>82</v>
      </c>
      <c r="J638" t="s">
        <v>83</v>
      </c>
      <c r="K638">
        <v>6450</v>
      </c>
      <c r="L638" t="s">
        <v>1727</v>
      </c>
      <c r="M638" t="s">
        <v>1727</v>
      </c>
      <c r="N638" t="s">
        <v>162</v>
      </c>
      <c r="O638" t="s">
        <v>162</v>
      </c>
      <c r="P638" t="s">
        <v>163</v>
      </c>
      <c r="Q638" t="s">
        <v>164</v>
      </c>
      <c r="R638" t="s">
        <v>1719</v>
      </c>
      <c r="S638" t="s">
        <v>118</v>
      </c>
      <c r="T638" t="s">
        <v>75</v>
      </c>
      <c r="U638" t="s">
        <v>76</v>
      </c>
      <c r="V638" t="s">
        <v>99</v>
      </c>
      <c r="W638" t="s">
        <v>76</v>
      </c>
      <c r="X638" t="s">
        <v>684</v>
      </c>
    </row>
    <row r="639" spans="1:24" x14ac:dyDescent="0.2">
      <c r="A639" t="s">
        <v>1728</v>
      </c>
      <c r="B639">
        <v>1036</v>
      </c>
      <c r="C639" t="s">
        <v>60</v>
      </c>
      <c r="D639" t="s">
        <v>156</v>
      </c>
      <c r="E639" t="s">
        <v>157</v>
      </c>
      <c r="F639" t="s">
        <v>158</v>
      </c>
      <c r="G639" t="s">
        <v>111</v>
      </c>
      <c r="H639" t="s">
        <v>112</v>
      </c>
      <c r="I639" t="s">
        <v>91</v>
      </c>
      <c r="J639" t="s">
        <v>92</v>
      </c>
      <c r="K639">
        <v>3550</v>
      </c>
      <c r="L639" t="s">
        <v>1729</v>
      </c>
      <c r="M639" t="s">
        <v>1729</v>
      </c>
      <c r="N639" t="s">
        <v>162</v>
      </c>
      <c r="O639" t="s">
        <v>162</v>
      </c>
      <c r="P639" t="s">
        <v>163</v>
      </c>
      <c r="Q639" t="s">
        <v>164</v>
      </c>
      <c r="R639" t="s">
        <v>165</v>
      </c>
      <c r="S639" t="s">
        <v>122</v>
      </c>
      <c r="T639" t="s">
        <v>97</v>
      </c>
      <c r="U639" t="s">
        <v>98</v>
      </c>
      <c r="V639" t="s">
        <v>99</v>
      </c>
      <c r="W639" t="s">
        <v>98</v>
      </c>
      <c r="X639" t="s">
        <v>100</v>
      </c>
    </row>
    <row r="640" spans="1:24" x14ac:dyDescent="0.2">
      <c r="A640" t="s">
        <v>1730</v>
      </c>
      <c r="B640">
        <v>1036</v>
      </c>
      <c r="C640" t="s">
        <v>60</v>
      </c>
      <c r="D640" t="s">
        <v>156</v>
      </c>
      <c r="E640" t="s">
        <v>157</v>
      </c>
      <c r="F640" t="s">
        <v>158</v>
      </c>
      <c r="G640" t="s">
        <v>111</v>
      </c>
      <c r="H640" t="s">
        <v>112</v>
      </c>
      <c r="I640" t="s">
        <v>102</v>
      </c>
      <c r="J640" t="s">
        <v>103</v>
      </c>
      <c r="K640">
        <v>3450</v>
      </c>
      <c r="L640" t="s">
        <v>1731</v>
      </c>
      <c r="M640" t="s">
        <v>1731</v>
      </c>
      <c r="N640" t="s">
        <v>162</v>
      </c>
      <c r="O640" t="s">
        <v>162</v>
      </c>
      <c r="P640" t="s">
        <v>163</v>
      </c>
      <c r="Q640" t="s">
        <v>164</v>
      </c>
      <c r="R640" t="s">
        <v>165</v>
      </c>
      <c r="S640" t="s">
        <v>126</v>
      </c>
      <c r="T640" t="s">
        <v>127</v>
      </c>
      <c r="U640" t="s">
        <v>128</v>
      </c>
      <c r="V640" t="s">
        <v>99</v>
      </c>
      <c r="W640" t="s">
        <v>128</v>
      </c>
      <c r="X640" t="s">
        <v>708</v>
      </c>
    </row>
    <row r="641" spans="1:24" x14ac:dyDescent="0.2">
      <c r="A641" t="s">
        <v>1732</v>
      </c>
      <c r="B641">
        <v>1036</v>
      </c>
      <c r="C641" t="s">
        <v>60</v>
      </c>
      <c r="D641" t="s">
        <v>156</v>
      </c>
      <c r="E641" t="s">
        <v>157</v>
      </c>
      <c r="F641" t="s">
        <v>158</v>
      </c>
      <c r="G641" t="s">
        <v>111</v>
      </c>
      <c r="H641" t="s">
        <v>112</v>
      </c>
      <c r="I641" t="s">
        <v>131</v>
      </c>
      <c r="J641" t="s">
        <v>132</v>
      </c>
      <c r="K641">
        <v>3950</v>
      </c>
      <c r="L641" t="s">
        <v>1733</v>
      </c>
      <c r="M641" t="s">
        <v>1733</v>
      </c>
      <c r="N641" t="s">
        <v>162</v>
      </c>
      <c r="O641" t="s">
        <v>162</v>
      </c>
      <c r="P641" t="s">
        <v>163</v>
      </c>
      <c r="Q641" t="s">
        <v>164</v>
      </c>
      <c r="R641" t="s">
        <v>165</v>
      </c>
      <c r="S641" t="s">
        <v>135</v>
      </c>
      <c r="T641" t="s">
        <v>136</v>
      </c>
      <c r="U641" t="s">
        <v>131</v>
      </c>
      <c r="V641" t="s">
        <v>99</v>
      </c>
      <c r="W641" t="s">
        <v>131</v>
      </c>
      <c r="X641" t="s">
        <v>660</v>
      </c>
    </row>
    <row r="642" spans="1:24" x14ac:dyDescent="0.2">
      <c r="A642" t="s">
        <v>1734</v>
      </c>
      <c r="B642">
        <v>1036</v>
      </c>
      <c r="C642" t="s">
        <v>60</v>
      </c>
      <c r="D642" t="s">
        <v>156</v>
      </c>
      <c r="E642" t="s">
        <v>157</v>
      </c>
      <c r="F642" t="s">
        <v>158</v>
      </c>
      <c r="G642" t="s">
        <v>111</v>
      </c>
      <c r="H642" t="s">
        <v>112</v>
      </c>
      <c r="I642" t="s">
        <v>139</v>
      </c>
      <c r="J642" t="s">
        <v>140</v>
      </c>
      <c r="K642">
        <v>3950</v>
      </c>
      <c r="L642" t="s">
        <v>1735</v>
      </c>
      <c r="M642" t="s">
        <v>1735</v>
      </c>
      <c r="N642" t="s">
        <v>162</v>
      </c>
      <c r="O642" t="s">
        <v>162</v>
      </c>
      <c r="P642" t="s">
        <v>163</v>
      </c>
      <c r="Q642" t="s">
        <v>164</v>
      </c>
      <c r="R642" t="s">
        <v>165</v>
      </c>
      <c r="S642" t="s">
        <v>143</v>
      </c>
      <c r="T642" t="s">
        <v>144</v>
      </c>
      <c r="U642" t="s">
        <v>139</v>
      </c>
      <c r="V642" t="s">
        <v>99</v>
      </c>
      <c r="W642" t="s">
        <v>139</v>
      </c>
      <c r="X642" t="s">
        <v>145</v>
      </c>
    </row>
    <row r="643" spans="1:24" x14ac:dyDescent="0.2">
      <c r="A643" t="s">
        <v>1736</v>
      </c>
      <c r="B643">
        <v>1036</v>
      </c>
      <c r="C643" t="s">
        <v>60</v>
      </c>
      <c r="D643" t="s">
        <v>156</v>
      </c>
      <c r="E643" t="s">
        <v>157</v>
      </c>
      <c r="F643" t="s">
        <v>158</v>
      </c>
      <c r="H643" t="s">
        <v>64</v>
      </c>
      <c r="I643" t="s">
        <v>131</v>
      </c>
      <c r="J643" t="s">
        <v>132</v>
      </c>
      <c r="K643">
        <v>3250</v>
      </c>
      <c r="L643" t="s">
        <v>1737</v>
      </c>
      <c r="M643" t="s">
        <v>1737</v>
      </c>
      <c r="N643" t="s">
        <v>162</v>
      </c>
      <c r="O643" t="s">
        <v>162</v>
      </c>
      <c r="P643" t="s">
        <v>163</v>
      </c>
      <c r="Q643" t="s">
        <v>164</v>
      </c>
      <c r="R643" t="s">
        <v>165</v>
      </c>
      <c r="S643" t="s">
        <v>149</v>
      </c>
      <c r="T643" t="s">
        <v>136</v>
      </c>
      <c r="U643" t="s">
        <v>131</v>
      </c>
      <c r="V643" t="s">
        <v>99</v>
      </c>
      <c r="W643" t="s">
        <v>131</v>
      </c>
      <c r="X643" t="s">
        <v>660</v>
      </c>
    </row>
    <row r="644" spans="1:24" x14ac:dyDescent="0.2">
      <c r="A644" t="s">
        <v>1738</v>
      </c>
      <c r="B644">
        <v>1036</v>
      </c>
      <c r="C644" t="s">
        <v>60</v>
      </c>
      <c r="D644" t="s">
        <v>156</v>
      </c>
      <c r="E644" t="s">
        <v>157</v>
      </c>
      <c r="F644" t="s">
        <v>158</v>
      </c>
      <c r="H644" t="s">
        <v>64</v>
      </c>
      <c r="I644" t="s">
        <v>139</v>
      </c>
      <c r="J644" t="s">
        <v>140</v>
      </c>
      <c r="K644">
        <v>3250</v>
      </c>
      <c r="L644" t="s">
        <v>1739</v>
      </c>
      <c r="M644" t="s">
        <v>1739</v>
      </c>
      <c r="N644" t="s">
        <v>162</v>
      </c>
      <c r="O644" t="s">
        <v>162</v>
      </c>
      <c r="P644" t="s">
        <v>163</v>
      </c>
      <c r="Q644" t="s">
        <v>164</v>
      </c>
      <c r="R644" t="s">
        <v>165</v>
      </c>
      <c r="S644" t="s">
        <v>153</v>
      </c>
      <c r="T644" t="s">
        <v>144</v>
      </c>
      <c r="U644" t="s">
        <v>139</v>
      </c>
      <c r="V644" t="s">
        <v>99</v>
      </c>
      <c r="W644" t="s">
        <v>139</v>
      </c>
      <c r="X644" t="s">
        <v>145</v>
      </c>
    </row>
    <row r="645" spans="1:24" x14ac:dyDescent="0.2">
      <c r="A645" t="s">
        <v>1740</v>
      </c>
      <c r="B645" t="s">
        <v>1741</v>
      </c>
      <c r="C645" t="s">
        <v>60</v>
      </c>
      <c r="D645" t="s">
        <v>61</v>
      </c>
      <c r="E645" t="s">
        <v>1212</v>
      </c>
      <c r="F645" t="s">
        <v>1213</v>
      </c>
      <c r="G645" t="s">
        <v>159</v>
      </c>
      <c r="H645" t="s">
        <v>160</v>
      </c>
      <c r="I645" t="s">
        <v>102</v>
      </c>
      <c r="J645" t="s">
        <v>103</v>
      </c>
      <c r="K645">
        <v>3850</v>
      </c>
      <c r="L645" t="s">
        <v>1742</v>
      </c>
      <c r="M645" t="s">
        <v>1742</v>
      </c>
      <c r="N645" t="s">
        <v>170</v>
      </c>
      <c r="O645" t="s">
        <v>170</v>
      </c>
      <c r="P645" t="s">
        <v>1382</v>
      </c>
      <c r="Q645" t="s">
        <v>1383</v>
      </c>
      <c r="R645" t="s">
        <v>1215</v>
      </c>
      <c r="S645" t="s">
        <v>166</v>
      </c>
      <c r="T645" t="s">
        <v>107</v>
      </c>
      <c r="U645" t="s">
        <v>108</v>
      </c>
      <c r="V645" t="s">
        <v>77</v>
      </c>
      <c r="W645" t="s">
        <v>108</v>
      </c>
      <c r="X645" t="s">
        <v>109</v>
      </c>
    </row>
    <row r="646" spans="1:24" x14ac:dyDescent="0.2">
      <c r="A646" t="s">
        <v>1743</v>
      </c>
      <c r="B646">
        <v>1039</v>
      </c>
      <c r="C646" t="s">
        <v>60</v>
      </c>
      <c r="D646" t="s">
        <v>156</v>
      </c>
      <c r="E646" t="s">
        <v>157</v>
      </c>
      <c r="F646" t="s">
        <v>158</v>
      </c>
      <c r="H646" t="s">
        <v>64</v>
      </c>
      <c r="I646" t="s">
        <v>642</v>
      </c>
      <c r="J646" t="s">
        <v>643</v>
      </c>
      <c r="K646">
        <v>2900</v>
      </c>
      <c r="L646" t="s">
        <v>1744</v>
      </c>
      <c r="M646" t="s">
        <v>1744</v>
      </c>
      <c r="N646" t="s">
        <v>210</v>
      </c>
      <c r="O646" t="s">
        <v>210</v>
      </c>
      <c r="P646" t="s">
        <v>211</v>
      </c>
      <c r="Q646" t="s">
        <v>212</v>
      </c>
      <c r="R646" t="s">
        <v>165</v>
      </c>
      <c r="S646" t="s">
        <v>645</v>
      </c>
      <c r="T646" t="s">
        <v>646</v>
      </c>
      <c r="U646" t="s">
        <v>647</v>
      </c>
      <c r="V646" t="s">
        <v>99</v>
      </c>
      <c r="W646" t="s">
        <v>647</v>
      </c>
      <c r="X646" t="s">
        <v>679</v>
      </c>
    </row>
    <row r="647" spans="1:24" x14ac:dyDescent="0.2">
      <c r="A647" t="s">
        <v>1745</v>
      </c>
      <c r="B647">
        <v>1039</v>
      </c>
      <c r="C647" t="s">
        <v>60</v>
      </c>
      <c r="D647" t="s">
        <v>156</v>
      </c>
      <c r="E647" t="s">
        <v>1711</v>
      </c>
      <c r="F647" t="s">
        <v>1712</v>
      </c>
      <c r="H647" t="s">
        <v>64</v>
      </c>
      <c r="I647" t="s">
        <v>65</v>
      </c>
      <c r="J647" t="s">
        <v>66</v>
      </c>
      <c r="K647">
        <v>5250</v>
      </c>
      <c r="L647" t="s">
        <v>1746</v>
      </c>
      <c r="M647" t="s">
        <v>1746</v>
      </c>
      <c r="N647" t="s">
        <v>210</v>
      </c>
      <c r="O647" t="s">
        <v>210</v>
      </c>
      <c r="P647" t="s">
        <v>211</v>
      </c>
      <c r="Q647" t="s">
        <v>212</v>
      </c>
      <c r="R647" t="s">
        <v>1714</v>
      </c>
      <c r="S647" t="s">
        <v>74</v>
      </c>
      <c r="T647" t="s">
        <v>75</v>
      </c>
      <c r="U647" t="s">
        <v>76</v>
      </c>
      <c r="V647" t="s">
        <v>99</v>
      </c>
      <c r="W647" t="s">
        <v>76</v>
      </c>
      <c r="X647" t="s">
        <v>684</v>
      </c>
    </row>
    <row r="648" spans="1:24" x14ac:dyDescent="0.2">
      <c r="A648" t="s">
        <v>1747</v>
      </c>
      <c r="B648">
        <v>1039</v>
      </c>
      <c r="C648" t="s">
        <v>60</v>
      </c>
      <c r="D648" t="s">
        <v>156</v>
      </c>
      <c r="E648" t="s">
        <v>1716</v>
      </c>
      <c r="F648" t="s">
        <v>1717</v>
      </c>
      <c r="H648" t="s">
        <v>64</v>
      </c>
      <c r="I648" t="s">
        <v>82</v>
      </c>
      <c r="J648" t="s">
        <v>83</v>
      </c>
      <c r="K648">
        <v>5750</v>
      </c>
      <c r="L648" t="s">
        <v>1748</v>
      </c>
      <c r="M648" t="s">
        <v>1748</v>
      </c>
      <c r="N648" t="s">
        <v>210</v>
      </c>
      <c r="O648" t="s">
        <v>210</v>
      </c>
      <c r="P648" t="s">
        <v>211</v>
      </c>
      <c r="Q648" t="s">
        <v>212</v>
      </c>
      <c r="R648" t="s">
        <v>1719</v>
      </c>
      <c r="S648" t="s">
        <v>87</v>
      </c>
      <c r="T648" t="s">
        <v>75</v>
      </c>
      <c r="U648" t="s">
        <v>76</v>
      </c>
      <c r="V648" t="s">
        <v>99</v>
      </c>
      <c r="W648" t="s">
        <v>76</v>
      </c>
      <c r="X648" t="s">
        <v>684</v>
      </c>
    </row>
    <row r="649" spans="1:24" x14ac:dyDescent="0.2">
      <c r="A649" t="s">
        <v>1749</v>
      </c>
      <c r="B649">
        <v>1039</v>
      </c>
      <c r="C649" t="s">
        <v>60</v>
      </c>
      <c r="D649" t="s">
        <v>156</v>
      </c>
      <c r="E649" t="s">
        <v>157</v>
      </c>
      <c r="F649" t="s">
        <v>158</v>
      </c>
      <c r="H649" t="s">
        <v>64</v>
      </c>
      <c r="I649" t="s">
        <v>91</v>
      </c>
      <c r="J649" t="s">
        <v>92</v>
      </c>
      <c r="K649">
        <v>2850</v>
      </c>
      <c r="L649" t="s">
        <v>1750</v>
      </c>
      <c r="M649" t="s">
        <v>1750</v>
      </c>
      <c r="N649" t="s">
        <v>210</v>
      </c>
      <c r="O649" t="s">
        <v>210</v>
      </c>
      <c r="P649" t="s">
        <v>211</v>
      </c>
      <c r="Q649" t="s">
        <v>212</v>
      </c>
      <c r="R649" t="s">
        <v>165</v>
      </c>
      <c r="S649" t="s">
        <v>96</v>
      </c>
      <c r="T649" t="s">
        <v>97</v>
      </c>
      <c r="U649" t="s">
        <v>98</v>
      </c>
      <c r="V649" t="s">
        <v>99</v>
      </c>
      <c r="W649" t="s">
        <v>98</v>
      </c>
      <c r="X649" t="s">
        <v>100</v>
      </c>
    </row>
    <row r="650" spans="1:24" x14ac:dyDescent="0.2">
      <c r="A650" t="s">
        <v>1751</v>
      </c>
      <c r="B650">
        <v>1039</v>
      </c>
      <c r="C650" t="s">
        <v>60</v>
      </c>
      <c r="D650" t="s">
        <v>156</v>
      </c>
      <c r="E650" t="s">
        <v>157</v>
      </c>
      <c r="F650" t="s">
        <v>158</v>
      </c>
      <c r="H650" t="s">
        <v>64</v>
      </c>
      <c r="I650" t="s">
        <v>102</v>
      </c>
      <c r="J650" t="s">
        <v>103</v>
      </c>
      <c r="K650">
        <v>2750</v>
      </c>
      <c r="L650" t="s">
        <v>1752</v>
      </c>
      <c r="M650" t="s">
        <v>1752</v>
      </c>
      <c r="N650" t="s">
        <v>210</v>
      </c>
      <c r="O650" t="s">
        <v>210</v>
      </c>
      <c r="P650" t="s">
        <v>211</v>
      </c>
      <c r="Q650" t="s">
        <v>212</v>
      </c>
      <c r="R650" t="s">
        <v>165</v>
      </c>
      <c r="S650" t="s">
        <v>106</v>
      </c>
      <c r="T650" t="s">
        <v>107</v>
      </c>
      <c r="U650" t="s">
        <v>108</v>
      </c>
      <c r="V650" t="s">
        <v>99</v>
      </c>
      <c r="W650" t="s">
        <v>108</v>
      </c>
      <c r="X650" t="s">
        <v>693</v>
      </c>
    </row>
    <row r="651" spans="1:24" x14ac:dyDescent="0.2">
      <c r="A651" t="s">
        <v>1753</v>
      </c>
      <c r="B651">
        <v>1039</v>
      </c>
      <c r="C651" t="s">
        <v>60</v>
      </c>
      <c r="D651" t="s">
        <v>156</v>
      </c>
      <c r="E651" t="s">
        <v>1711</v>
      </c>
      <c r="F651" t="s">
        <v>1712</v>
      </c>
      <c r="G651" t="s">
        <v>111</v>
      </c>
      <c r="H651" t="s">
        <v>112</v>
      </c>
      <c r="I651" t="s">
        <v>65</v>
      </c>
      <c r="J651" t="s">
        <v>66</v>
      </c>
      <c r="K651">
        <v>5950</v>
      </c>
      <c r="L651" t="s">
        <v>1754</v>
      </c>
      <c r="M651" t="s">
        <v>1754</v>
      </c>
      <c r="N651" t="s">
        <v>210</v>
      </c>
      <c r="O651" t="s">
        <v>210</v>
      </c>
      <c r="P651" t="s">
        <v>211</v>
      </c>
      <c r="Q651" t="s">
        <v>212</v>
      </c>
      <c r="R651" t="s">
        <v>1714</v>
      </c>
      <c r="S651" t="s">
        <v>114</v>
      </c>
      <c r="T651" t="s">
        <v>75</v>
      </c>
      <c r="U651" t="s">
        <v>76</v>
      </c>
      <c r="V651" t="s">
        <v>99</v>
      </c>
      <c r="W651" t="s">
        <v>76</v>
      </c>
      <c r="X651" t="s">
        <v>684</v>
      </c>
    </row>
    <row r="652" spans="1:24" x14ac:dyDescent="0.2">
      <c r="A652" t="s">
        <v>1755</v>
      </c>
      <c r="B652">
        <v>1039</v>
      </c>
      <c r="C652" t="s">
        <v>60</v>
      </c>
      <c r="D652" t="s">
        <v>156</v>
      </c>
      <c r="E652" t="s">
        <v>1716</v>
      </c>
      <c r="F652" t="s">
        <v>1717</v>
      </c>
      <c r="G652" t="s">
        <v>111</v>
      </c>
      <c r="H652" t="s">
        <v>112</v>
      </c>
      <c r="I652" t="s">
        <v>82</v>
      </c>
      <c r="J652" t="s">
        <v>83</v>
      </c>
      <c r="K652">
        <v>6450</v>
      </c>
      <c r="L652" t="s">
        <v>1756</v>
      </c>
      <c r="M652" t="s">
        <v>1756</v>
      </c>
      <c r="N652" t="s">
        <v>210</v>
      </c>
      <c r="O652" t="s">
        <v>210</v>
      </c>
      <c r="P652" t="s">
        <v>211</v>
      </c>
      <c r="Q652" t="s">
        <v>212</v>
      </c>
      <c r="R652" t="s">
        <v>1719</v>
      </c>
      <c r="S652" t="s">
        <v>118</v>
      </c>
      <c r="T652" t="s">
        <v>75</v>
      </c>
      <c r="U652" t="s">
        <v>76</v>
      </c>
      <c r="V652" t="s">
        <v>99</v>
      </c>
      <c r="W652" t="s">
        <v>76</v>
      </c>
      <c r="X652" t="s">
        <v>684</v>
      </c>
    </row>
    <row r="653" spans="1:24" x14ac:dyDescent="0.2">
      <c r="A653" t="s">
        <v>1757</v>
      </c>
      <c r="B653">
        <v>1039</v>
      </c>
      <c r="C653" t="s">
        <v>60</v>
      </c>
      <c r="D653" t="s">
        <v>156</v>
      </c>
      <c r="E653" t="s">
        <v>157</v>
      </c>
      <c r="F653" t="s">
        <v>158</v>
      </c>
      <c r="G653" t="s">
        <v>111</v>
      </c>
      <c r="H653" t="s">
        <v>112</v>
      </c>
      <c r="I653" t="s">
        <v>91</v>
      </c>
      <c r="J653" t="s">
        <v>92</v>
      </c>
      <c r="K653">
        <v>3550</v>
      </c>
      <c r="L653" t="s">
        <v>1758</v>
      </c>
      <c r="M653" t="s">
        <v>1758</v>
      </c>
      <c r="N653" t="s">
        <v>210</v>
      </c>
      <c r="O653" t="s">
        <v>210</v>
      </c>
      <c r="P653" t="s">
        <v>211</v>
      </c>
      <c r="Q653" t="s">
        <v>212</v>
      </c>
      <c r="R653" t="s">
        <v>165</v>
      </c>
      <c r="S653" t="s">
        <v>122</v>
      </c>
      <c r="T653" t="s">
        <v>97</v>
      </c>
      <c r="U653" t="s">
        <v>98</v>
      </c>
      <c r="V653" t="s">
        <v>99</v>
      </c>
      <c r="W653" t="s">
        <v>98</v>
      </c>
      <c r="X653" t="s">
        <v>100</v>
      </c>
    </row>
    <row r="654" spans="1:24" x14ac:dyDescent="0.2">
      <c r="A654" t="s">
        <v>1759</v>
      </c>
      <c r="B654">
        <v>1039</v>
      </c>
      <c r="C654" t="s">
        <v>60</v>
      </c>
      <c r="D654" t="s">
        <v>156</v>
      </c>
      <c r="E654" t="s">
        <v>157</v>
      </c>
      <c r="F654" t="s">
        <v>158</v>
      </c>
      <c r="G654" t="s">
        <v>111</v>
      </c>
      <c r="H654" t="s">
        <v>112</v>
      </c>
      <c r="I654" t="s">
        <v>102</v>
      </c>
      <c r="J654" t="s">
        <v>103</v>
      </c>
      <c r="K654">
        <v>3450</v>
      </c>
      <c r="L654" t="s">
        <v>1760</v>
      </c>
      <c r="M654" t="s">
        <v>1760</v>
      </c>
      <c r="N654" t="s">
        <v>210</v>
      </c>
      <c r="O654" t="s">
        <v>210</v>
      </c>
      <c r="P654" t="s">
        <v>211</v>
      </c>
      <c r="Q654" t="s">
        <v>212</v>
      </c>
      <c r="R654" t="s">
        <v>165</v>
      </c>
      <c r="S654" t="s">
        <v>126</v>
      </c>
      <c r="T654" t="s">
        <v>127</v>
      </c>
      <c r="U654" t="s">
        <v>128</v>
      </c>
      <c r="V654" t="s">
        <v>99</v>
      </c>
      <c r="W654" t="s">
        <v>128</v>
      </c>
      <c r="X654" t="s">
        <v>708</v>
      </c>
    </row>
    <row r="655" spans="1:24" x14ac:dyDescent="0.2">
      <c r="A655" t="s">
        <v>1761</v>
      </c>
      <c r="B655">
        <v>1039</v>
      </c>
      <c r="C655" t="s">
        <v>60</v>
      </c>
      <c r="D655" t="s">
        <v>156</v>
      </c>
      <c r="E655" t="s">
        <v>157</v>
      </c>
      <c r="F655" t="s">
        <v>158</v>
      </c>
      <c r="G655" t="s">
        <v>111</v>
      </c>
      <c r="H655" t="s">
        <v>112</v>
      </c>
      <c r="I655" t="s">
        <v>131</v>
      </c>
      <c r="J655" t="s">
        <v>132</v>
      </c>
      <c r="K655">
        <v>3950</v>
      </c>
      <c r="L655" t="s">
        <v>1762</v>
      </c>
      <c r="M655" t="s">
        <v>1762</v>
      </c>
      <c r="N655" t="s">
        <v>210</v>
      </c>
      <c r="O655" t="s">
        <v>210</v>
      </c>
      <c r="P655" t="s">
        <v>211</v>
      </c>
      <c r="Q655" t="s">
        <v>212</v>
      </c>
      <c r="R655" t="s">
        <v>165</v>
      </c>
      <c r="S655" t="s">
        <v>135</v>
      </c>
      <c r="T655" t="s">
        <v>136</v>
      </c>
      <c r="U655" t="s">
        <v>131</v>
      </c>
      <c r="V655" t="s">
        <v>99</v>
      </c>
      <c r="W655" t="s">
        <v>131</v>
      </c>
      <c r="X655" t="s">
        <v>660</v>
      </c>
    </row>
    <row r="656" spans="1:24" x14ac:dyDescent="0.2">
      <c r="A656" t="s">
        <v>1763</v>
      </c>
      <c r="B656">
        <v>1039</v>
      </c>
      <c r="C656" t="s">
        <v>60</v>
      </c>
      <c r="D656" t="s">
        <v>156</v>
      </c>
      <c r="E656" t="s">
        <v>157</v>
      </c>
      <c r="F656" t="s">
        <v>158</v>
      </c>
      <c r="G656" t="s">
        <v>111</v>
      </c>
      <c r="H656" t="s">
        <v>112</v>
      </c>
      <c r="I656" t="s">
        <v>139</v>
      </c>
      <c r="J656" t="s">
        <v>140</v>
      </c>
      <c r="K656">
        <v>3950</v>
      </c>
      <c r="L656" t="s">
        <v>1764</v>
      </c>
      <c r="M656" t="s">
        <v>1764</v>
      </c>
      <c r="N656" t="s">
        <v>210</v>
      </c>
      <c r="O656" t="s">
        <v>210</v>
      </c>
      <c r="P656" t="s">
        <v>211</v>
      </c>
      <c r="Q656" t="s">
        <v>212</v>
      </c>
      <c r="R656" t="s">
        <v>165</v>
      </c>
      <c r="S656" t="s">
        <v>143</v>
      </c>
      <c r="T656" t="s">
        <v>144</v>
      </c>
      <c r="U656" t="s">
        <v>139</v>
      </c>
      <c r="V656" t="s">
        <v>99</v>
      </c>
      <c r="W656" t="s">
        <v>139</v>
      </c>
      <c r="X656" t="s">
        <v>145</v>
      </c>
    </row>
    <row r="657" spans="1:24" x14ac:dyDescent="0.2">
      <c r="A657" t="s">
        <v>1765</v>
      </c>
      <c r="B657">
        <v>1039</v>
      </c>
      <c r="C657" t="s">
        <v>60</v>
      </c>
      <c r="D657" t="s">
        <v>156</v>
      </c>
      <c r="E657" t="s">
        <v>157</v>
      </c>
      <c r="F657" t="s">
        <v>158</v>
      </c>
      <c r="H657" t="s">
        <v>64</v>
      </c>
      <c r="I657" t="s">
        <v>131</v>
      </c>
      <c r="J657" t="s">
        <v>132</v>
      </c>
      <c r="K657">
        <v>3250</v>
      </c>
      <c r="L657" t="s">
        <v>1766</v>
      </c>
      <c r="M657" t="s">
        <v>1766</v>
      </c>
      <c r="N657" t="s">
        <v>210</v>
      </c>
      <c r="O657" t="s">
        <v>210</v>
      </c>
      <c r="P657" t="s">
        <v>211</v>
      </c>
      <c r="Q657" t="s">
        <v>212</v>
      </c>
      <c r="R657" t="s">
        <v>165</v>
      </c>
      <c r="S657" t="s">
        <v>149</v>
      </c>
      <c r="T657" t="s">
        <v>136</v>
      </c>
      <c r="U657" t="s">
        <v>131</v>
      </c>
      <c r="V657" t="s">
        <v>99</v>
      </c>
      <c r="W657" t="s">
        <v>131</v>
      </c>
      <c r="X657" t="s">
        <v>660</v>
      </c>
    </row>
    <row r="658" spans="1:24" x14ac:dyDescent="0.2">
      <c r="A658" t="s">
        <v>1767</v>
      </c>
      <c r="B658">
        <v>1039</v>
      </c>
      <c r="C658" t="s">
        <v>60</v>
      </c>
      <c r="D658" t="s">
        <v>156</v>
      </c>
      <c r="E658" t="s">
        <v>157</v>
      </c>
      <c r="F658" t="s">
        <v>158</v>
      </c>
      <c r="H658" t="s">
        <v>64</v>
      </c>
      <c r="I658" t="s">
        <v>139</v>
      </c>
      <c r="J658" t="s">
        <v>140</v>
      </c>
      <c r="K658">
        <v>3250</v>
      </c>
      <c r="L658" t="s">
        <v>1768</v>
      </c>
      <c r="M658" t="s">
        <v>1768</v>
      </c>
      <c r="N658" t="s">
        <v>210</v>
      </c>
      <c r="O658" t="s">
        <v>210</v>
      </c>
      <c r="P658" t="s">
        <v>211</v>
      </c>
      <c r="Q658" t="s">
        <v>212</v>
      </c>
      <c r="R658" t="s">
        <v>165</v>
      </c>
      <c r="S658" t="s">
        <v>153</v>
      </c>
      <c r="T658" t="s">
        <v>144</v>
      </c>
      <c r="U658" t="s">
        <v>139</v>
      </c>
      <c r="V658" t="s">
        <v>99</v>
      </c>
      <c r="W658" t="s">
        <v>139</v>
      </c>
      <c r="X658" t="s">
        <v>145</v>
      </c>
    </row>
    <row r="659" spans="1:24" x14ac:dyDescent="0.2">
      <c r="A659" t="s">
        <v>1769</v>
      </c>
      <c r="B659" t="s">
        <v>1770</v>
      </c>
      <c r="C659" t="s">
        <v>60</v>
      </c>
      <c r="D659" t="s">
        <v>61</v>
      </c>
      <c r="E659" t="s">
        <v>1212</v>
      </c>
      <c r="F659" t="s">
        <v>1213</v>
      </c>
      <c r="G659" t="s">
        <v>159</v>
      </c>
      <c r="H659" t="s">
        <v>160</v>
      </c>
      <c r="I659" t="s">
        <v>102</v>
      </c>
      <c r="J659" t="s">
        <v>103</v>
      </c>
      <c r="K659">
        <v>3850</v>
      </c>
      <c r="L659" t="s">
        <v>1771</v>
      </c>
      <c r="M659" t="s">
        <v>1771</v>
      </c>
      <c r="N659" t="s">
        <v>170</v>
      </c>
      <c r="O659" t="s">
        <v>170</v>
      </c>
      <c r="P659" t="s">
        <v>1431</v>
      </c>
      <c r="Q659" t="s">
        <v>1432</v>
      </c>
      <c r="R659" t="s">
        <v>1215</v>
      </c>
      <c r="S659" t="s">
        <v>166</v>
      </c>
      <c r="T659" t="s">
        <v>107</v>
      </c>
      <c r="U659" t="s">
        <v>108</v>
      </c>
      <c r="V659" t="s">
        <v>77</v>
      </c>
      <c r="W659" t="s">
        <v>108</v>
      </c>
      <c r="X659" t="s">
        <v>109</v>
      </c>
    </row>
    <row r="660" spans="1:24" x14ac:dyDescent="0.2">
      <c r="A660" t="s">
        <v>1772</v>
      </c>
      <c r="B660">
        <v>1064</v>
      </c>
      <c r="C660" t="s">
        <v>60</v>
      </c>
      <c r="D660" t="s">
        <v>61</v>
      </c>
      <c r="E660" t="s">
        <v>1773</v>
      </c>
      <c r="F660" t="s">
        <v>1774</v>
      </c>
      <c r="H660" t="s">
        <v>64</v>
      </c>
      <c r="I660" t="s">
        <v>65</v>
      </c>
      <c r="J660" t="s">
        <v>66</v>
      </c>
      <c r="K660">
        <v>6250</v>
      </c>
      <c r="L660" t="s">
        <v>1775</v>
      </c>
      <c r="M660" t="s">
        <v>1775</v>
      </c>
      <c r="N660" t="s">
        <v>162</v>
      </c>
      <c r="O660" t="s">
        <v>162</v>
      </c>
      <c r="P660" t="s">
        <v>256</v>
      </c>
      <c r="Q660" t="s">
        <v>257</v>
      </c>
      <c r="R660" t="s">
        <v>1776</v>
      </c>
      <c r="S660" t="s">
        <v>74</v>
      </c>
      <c r="T660" t="s">
        <v>75</v>
      </c>
      <c r="U660" t="s">
        <v>76</v>
      </c>
      <c r="V660" t="s">
        <v>99</v>
      </c>
      <c r="W660" t="s">
        <v>76</v>
      </c>
      <c r="X660" t="s">
        <v>684</v>
      </c>
    </row>
    <row r="661" spans="1:24" x14ac:dyDescent="0.2">
      <c r="A661" t="s">
        <v>1777</v>
      </c>
      <c r="B661">
        <v>1064</v>
      </c>
      <c r="C661" t="s">
        <v>60</v>
      </c>
      <c r="D661" t="s">
        <v>61</v>
      </c>
      <c r="E661" t="s">
        <v>1778</v>
      </c>
      <c r="F661" t="s">
        <v>1779</v>
      </c>
      <c r="H661" t="s">
        <v>64</v>
      </c>
      <c r="I661" t="s">
        <v>82</v>
      </c>
      <c r="J661" t="s">
        <v>83</v>
      </c>
      <c r="K661">
        <v>6750</v>
      </c>
      <c r="L661" t="s">
        <v>1780</v>
      </c>
      <c r="M661" t="s">
        <v>1780</v>
      </c>
      <c r="N661" t="s">
        <v>162</v>
      </c>
      <c r="O661" t="s">
        <v>162</v>
      </c>
      <c r="P661" t="s">
        <v>256</v>
      </c>
      <c r="Q661" t="s">
        <v>257</v>
      </c>
      <c r="R661" t="s">
        <v>1781</v>
      </c>
      <c r="S661" t="s">
        <v>87</v>
      </c>
      <c r="T661" t="s">
        <v>75</v>
      </c>
      <c r="U661" t="s">
        <v>76</v>
      </c>
      <c r="V661" t="s">
        <v>99</v>
      </c>
      <c r="W661" t="s">
        <v>76</v>
      </c>
      <c r="X661" t="s">
        <v>684</v>
      </c>
    </row>
    <row r="662" spans="1:24" x14ac:dyDescent="0.2">
      <c r="A662" t="s">
        <v>1782</v>
      </c>
      <c r="B662">
        <v>1064</v>
      </c>
      <c r="C662" t="s">
        <v>60</v>
      </c>
      <c r="D662" t="s">
        <v>61</v>
      </c>
      <c r="E662" t="s">
        <v>253</v>
      </c>
      <c r="F662" t="s">
        <v>254</v>
      </c>
      <c r="H662" t="s">
        <v>64</v>
      </c>
      <c r="I662" t="s">
        <v>91</v>
      </c>
      <c r="J662" t="s">
        <v>92</v>
      </c>
      <c r="K662">
        <v>3850</v>
      </c>
      <c r="L662" t="s">
        <v>1783</v>
      </c>
      <c r="M662" t="s">
        <v>1783</v>
      </c>
      <c r="N662" t="s">
        <v>162</v>
      </c>
      <c r="O662" t="s">
        <v>162</v>
      </c>
      <c r="P662" t="s">
        <v>256</v>
      </c>
      <c r="Q662" t="s">
        <v>257</v>
      </c>
      <c r="R662" t="s">
        <v>258</v>
      </c>
      <c r="S662" t="s">
        <v>96</v>
      </c>
      <c r="T662" t="s">
        <v>97</v>
      </c>
      <c r="U662" t="s">
        <v>98</v>
      </c>
      <c r="V662" t="s">
        <v>99</v>
      </c>
      <c r="W662" t="s">
        <v>98</v>
      </c>
      <c r="X662" t="s">
        <v>100</v>
      </c>
    </row>
    <row r="663" spans="1:24" x14ac:dyDescent="0.2">
      <c r="A663" t="s">
        <v>1784</v>
      </c>
      <c r="B663">
        <v>1064</v>
      </c>
      <c r="C663" t="s">
        <v>60</v>
      </c>
      <c r="D663" t="s">
        <v>61</v>
      </c>
      <c r="E663" t="s">
        <v>253</v>
      </c>
      <c r="F663" t="s">
        <v>254</v>
      </c>
      <c r="H663" t="s">
        <v>64</v>
      </c>
      <c r="I663" t="s">
        <v>102</v>
      </c>
      <c r="J663" t="s">
        <v>103</v>
      </c>
      <c r="K663">
        <v>3750</v>
      </c>
      <c r="L663" t="s">
        <v>1785</v>
      </c>
      <c r="M663" t="s">
        <v>1785</v>
      </c>
      <c r="N663" t="s">
        <v>162</v>
      </c>
      <c r="O663" t="s">
        <v>162</v>
      </c>
      <c r="P663" t="s">
        <v>256</v>
      </c>
      <c r="Q663" t="s">
        <v>257</v>
      </c>
      <c r="R663" t="s">
        <v>258</v>
      </c>
      <c r="S663" t="s">
        <v>106</v>
      </c>
      <c r="T663" t="s">
        <v>107</v>
      </c>
      <c r="U663" t="s">
        <v>108</v>
      </c>
      <c r="V663" t="s">
        <v>99</v>
      </c>
      <c r="W663" t="s">
        <v>108</v>
      </c>
      <c r="X663" t="s">
        <v>693</v>
      </c>
    </row>
    <row r="664" spans="1:24" x14ac:dyDescent="0.2">
      <c r="A664" t="s">
        <v>1786</v>
      </c>
      <c r="B664">
        <v>1064</v>
      </c>
      <c r="C664" t="s">
        <v>60</v>
      </c>
      <c r="D664" t="s">
        <v>61</v>
      </c>
      <c r="E664" t="s">
        <v>1773</v>
      </c>
      <c r="F664" t="s">
        <v>1774</v>
      </c>
      <c r="G664" t="s">
        <v>111</v>
      </c>
      <c r="H664" t="s">
        <v>112</v>
      </c>
      <c r="I664" t="s">
        <v>65</v>
      </c>
      <c r="J664" t="s">
        <v>66</v>
      </c>
      <c r="K664">
        <v>6950</v>
      </c>
      <c r="L664" t="s">
        <v>1787</v>
      </c>
      <c r="M664" t="s">
        <v>1787</v>
      </c>
      <c r="N664" t="s">
        <v>162</v>
      </c>
      <c r="O664" t="s">
        <v>162</v>
      </c>
      <c r="P664" t="s">
        <v>256</v>
      </c>
      <c r="Q664" t="s">
        <v>257</v>
      </c>
      <c r="R664" t="s">
        <v>1776</v>
      </c>
      <c r="S664" t="s">
        <v>114</v>
      </c>
      <c r="T664" t="s">
        <v>75</v>
      </c>
      <c r="U664" t="s">
        <v>76</v>
      </c>
      <c r="V664" t="s">
        <v>99</v>
      </c>
      <c r="W664" t="s">
        <v>76</v>
      </c>
      <c r="X664" t="s">
        <v>684</v>
      </c>
    </row>
    <row r="665" spans="1:24" x14ac:dyDescent="0.2">
      <c r="A665" t="s">
        <v>1788</v>
      </c>
      <c r="B665">
        <v>1064</v>
      </c>
      <c r="C665" t="s">
        <v>60</v>
      </c>
      <c r="D665" t="s">
        <v>61</v>
      </c>
      <c r="E665" t="s">
        <v>1778</v>
      </c>
      <c r="F665" t="s">
        <v>1779</v>
      </c>
      <c r="G665" t="s">
        <v>111</v>
      </c>
      <c r="H665" t="s">
        <v>112</v>
      </c>
      <c r="I665" t="s">
        <v>82</v>
      </c>
      <c r="J665" t="s">
        <v>83</v>
      </c>
      <c r="K665">
        <v>7450</v>
      </c>
      <c r="L665" t="s">
        <v>1789</v>
      </c>
      <c r="M665" t="s">
        <v>1789</v>
      </c>
      <c r="N665" t="s">
        <v>162</v>
      </c>
      <c r="O665" t="s">
        <v>162</v>
      </c>
      <c r="P665" t="s">
        <v>256</v>
      </c>
      <c r="Q665" t="s">
        <v>257</v>
      </c>
      <c r="R665" t="s">
        <v>1781</v>
      </c>
      <c r="S665" t="s">
        <v>118</v>
      </c>
      <c r="T665" t="s">
        <v>75</v>
      </c>
      <c r="U665" t="s">
        <v>76</v>
      </c>
      <c r="V665" t="s">
        <v>99</v>
      </c>
      <c r="W665" t="s">
        <v>76</v>
      </c>
      <c r="X665" t="s">
        <v>684</v>
      </c>
    </row>
    <row r="666" spans="1:24" x14ac:dyDescent="0.2">
      <c r="A666" t="s">
        <v>1790</v>
      </c>
      <c r="B666">
        <v>1064</v>
      </c>
      <c r="C666" t="s">
        <v>60</v>
      </c>
      <c r="D666" t="s">
        <v>61</v>
      </c>
      <c r="E666" t="s">
        <v>253</v>
      </c>
      <c r="F666" t="s">
        <v>254</v>
      </c>
      <c r="G666" t="s">
        <v>111</v>
      </c>
      <c r="H666" t="s">
        <v>112</v>
      </c>
      <c r="I666" t="s">
        <v>91</v>
      </c>
      <c r="J666" t="s">
        <v>92</v>
      </c>
      <c r="K666">
        <v>4550</v>
      </c>
      <c r="L666" t="s">
        <v>1791</v>
      </c>
      <c r="M666" t="s">
        <v>1791</v>
      </c>
      <c r="N666" t="s">
        <v>162</v>
      </c>
      <c r="O666" t="s">
        <v>162</v>
      </c>
      <c r="P666" t="s">
        <v>256</v>
      </c>
      <c r="Q666" t="s">
        <v>257</v>
      </c>
      <c r="R666" t="s">
        <v>258</v>
      </c>
      <c r="S666" t="s">
        <v>122</v>
      </c>
      <c r="T666" t="s">
        <v>97</v>
      </c>
      <c r="U666" t="s">
        <v>98</v>
      </c>
      <c r="V666" t="s">
        <v>99</v>
      </c>
      <c r="W666" t="s">
        <v>98</v>
      </c>
      <c r="X666" t="s">
        <v>100</v>
      </c>
    </row>
    <row r="667" spans="1:24" x14ac:dyDescent="0.2">
      <c r="A667" t="s">
        <v>1792</v>
      </c>
      <c r="B667">
        <v>1064</v>
      </c>
      <c r="C667" t="s">
        <v>60</v>
      </c>
      <c r="D667" t="s">
        <v>61</v>
      </c>
      <c r="E667" t="s">
        <v>253</v>
      </c>
      <c r="F667" t="s">
        <v>254</v>
      </c>
      <c r="G667" t="s">
        <v>111</v>
      </c>
      <c r="H667" t="s">
        <v>112</v>
      </c>
      <c r="I667" t="s">
        <v>102</v>
      </c>
      <c r="J667" t="s">
        <v>103</v>
      </c>
      <c r="K667">
        <v>4450</v>
      </c>
      <c r="L667" t="s">
        <v>1793</v>
      </c>
      <c r="M667" t="s">
        <v>1793</v>
      </c>
      <c r="N667" t="s">
        <v>162</v>
      </c>
      <c r="O667" t="s">
        <v>162</v>
      </c>
      <c r="P667" t="s">
        <v>256</v>
      </c>
      <c r="Q667" t="s">
        <v>257</v>
      </c>
      <c r="R667" t="s">
        <v>258</v>
      </c>
      <c r="S667" t="s">
        <v>126</v>
      </c>
      <c r="T667" t="s">
        <v>127</v>
      </c>
      <c r="U667" t="s">
        <v>128</v>
      </c>
      <c r="V667" t="s">
        <v>99</v>
      </c>
      <c r="W667" t="s">
        <v>128</v>
      </c>
      <c r="X667" t="s">
        <v>708</v>
      </c>
    </row>
    <row r="668" spans="1:24" x14ac:dyDescent="0.2">
      <c r="A668" t="s">
        <v>1794</v>
      </c>
      <c r="B668">
        <v>1064</v>
      </c>
      <c r="C668" t="s">
        <v>60</v>
      </c>
      <c r="D668" t="s">
        <v>61</v>
      </c>
      <c r="E668" t="s">
        <v>253</v>
      </c>
      <c r="F668" t="s">
        <v>254</v>
      </c>
      <c r="G668" t="s">
        <v>111</v>
      </c>
      <c r="H668" t="s">
        <v>112</v>
      </c>
      <c r="I668" t="s">
        <v>131</v>
      </c>
      <c r="J668" t="s">
        <v>132</v>
      </c>
      <c r="K668">
        <v>4950</v>
      </c>
      <c r="L668" t="s">
        <v>1795</v>
      </c>
      <c r="M668" t="s">
        <v>1795</v>
      </c>
      <c r="N668" t="s">
        <v>162</v>
      </c>
      <c r="O668" t="s">
        <v>162</v>
      </c>
      <c r="P668" t="s">
        <v>256</v>
      </c>
      <c r="Q668" t="s">
        <v>257</v>
      </c>
      <c r="R668" t="s">
        <v>258</v>
      </c>
      <c r="S668" t="s">
        <v>135</v>
      </c>
      <c r="T668" t="s">
        <v>136</v>
      </c>
      <c r="U668" t="s">
        <v>131</v>
      </c>
      <c r="V668" t="s">
        <v>99</v>
      </c>
      <c r="W668" t="s">
        <v>131</v>
      </c>
      <c r="X668" t="s">
        <v>660</v>
      </c>
    </row>
    <row r="669" spans="1:24" x14ac:dyDescent="0.2">
      <c r="A669" t="s">
        <v>1796</v>
      </c>
      <c r="B669">
        <v>1064</v>
      </c>
      <c r="C669" t="s">
        <v>60</v>
      </c>
      <c r="D669" t="s">
        <v>61</v>
      </c>
      <c r="E669" t="s">
        <v>253</v>
      </c>
      <c r="F669" t="s">
        <v>254</v>
      </c>
      <c r="H669" t="s">
        <v>64</v>
      </c>
      <c r="I669" t="s">
        <v>131</v>
      </c>
      <c r="J669" t="s">
        <v>132</v>
      </c>
      <c r="K669">
        <v>4250</v>
      </c>
      <c r="L669" t="s">
        <v>1797</v>
      </c>
      <c r="M669" t="s">
        <v>1797</v>
      </c>
      <c r="N669" t="s">
        <v>162</v>
      </c>
      <c r="O669" t="s">
        <v>162</v>
      </c>
      <c r="P669" t="s">
        <v>256</v>
      </c>
      <c r="Q669" t="s">
        <v>257</v>
      </c>
      <c r="R669" t="s">
        <v>258</v>
      </c>
      <c r="S669" t="s">
        <v>149</v>
      </c>
      <c r="T669" t="s">
        <v>136</v>
      </c>
      <c r="U669" t="s">
        <v>131</v>
      </c>
      <c r="V669" t="s">
        <v>99</v>
      </c>
      <c r="W669" t="s">
        <v>131</v>
      </c>
      <c r="X669" t="s">
        <v>660</v>
      </c>
    </row>
    <row r="670" spans="1:24" x14ac:dyDescent="0.2">
      <c r="A670" t="s">
        <v>1798</v>
      </c>
      <c r="B670">
        <v>1064</v>
      </c>
      <c r="C670" t="s">
        <v>60</v>
      </c>
      <c r="D670" t="s">
        <v>156</v>
      </c>
      <c r="E670" t="s">
        <v>157</v>
      </c>
      <c r="F670" t="s">
        <v>158</v>
      </c>
      <c r="H670" t="s">
        <v>64</v>
      </c>
      <c r="I670" t="s">
        <v>642</v>
      </c>
      <c r="J670" t="s">
        <v>643</v>
      </c>
      <c r="K670">
        <v>2900</v>
      </c>
      <c r="L670" t="s">
        <v>1799</v>
      </c>
      <c r="M670" t="s">
        <v>1799</v>
      </c>
      <c r="N670" t="s">
        <v>162</v>
      </c>
      <c r="O670" t="s">
        <v>162</v>
      </c>
      <c r="P670" t="s">
        <v>256</v>
      </c>
      <c r="Q670" t="s">
        <v>257</v>
      </c>
      <c r="R670" t="s">
        <v>165</v>
      </c>
      <c r="S670" t="s">
        <v>645</v>
      </c>
      <c r="T670" t="s">
        <v>646</v>
      </c>
      <c r="U670" t="s">
        <v>647</v>
      </c>
      <c r="V670" t="s">
        <v>99</v>
      </c>
      <c r="W670" t="s">
        <v>647</v>
      </c>
      <c r="X670" t="s">
        <v>679</v>
      </c>
    </row>
    <row r="671" spans="1:24" x14ac:dyDescent="0.2">
      <c r="A671" t="s">
        <v>1800</v>
      </c>
      <c r="B671">
        <v>1064</v>
      </c>
      <c r="C671" t="s">
        <v>60</v>
      </c>
      <c r="D671" t="s">
        <v>156</v>
      </c>
      <c r="E671" t="s">
        <v>1801</v>
      </c>
      <c r="F671" t="s">
        <v>1802</v>
      </c>
      <c r="H671" t="s">
        <v>64</v>
      </c>
      <c r="I671" t="s">
        <v>65</v>
      </c>
      <c r="J671" t="s">
        <v>66</v>
      </c>
      <c r="K671">
        <v>5250</v>
      </c>
      <c r="L671" t="s">
        <v>1803</v>
      </c>
      <c r="M671" t="s">
        <v>1803</v>
      </c>
      <c r="N671" t="s">
        <v>162</v>
      </c>
      <c r="O671" t="s">
        <v>162</v>
      </c>
      <c r="P671" t="s">
        <v>256</v>
      </c>
      <c r="Q671" t="s">
        <v>257</v>
      </c>
      <c r="R671" t="s">
        <v>1804</v>
      </c>
      <c r="S671" t="s">
        <v>74</v>
      </c>
      <c r="T671" t="s">
        <v>75</v>
      </c>
      <c r="U671" t="s">
        <v>76</v>
      </c>
      <c r="V671" t="s">
        <v>99</v>
      </c>
      <c r="W671" t="s">
        <v>76</v>
      </c>
      <c r="X671" t="s">
        <v>684</v>
      </c>
    </row>
    <row r="672" spans="1:24" x14ac:dyDescent="0.2">
      <c r="A672" t="s">
        <v>1805</v>
      </c>
      <c r="B672">
        <v>1064</v>
      </c>
      <c r="C672" t="s">
        <v>60</v>
      </c>
      <c r="D672" t="s">
        <v>156</v>
      </c>
      <c r="E672" t="s">
        <v>1806</v>
      </c>
      <c r="F672" t="s">
        <v>1807</v>
      </c>
      <c r="H672" t="s">
        <v>64</v>
      </c>
      <c r="I672" t="s">
        <v>82</v>
      </c>
      <c r="J672" t="s">
        <v>83</v>
      </c>
      <c r="K672">
        <v>5750</v>
      </c>
      <c r="L672" t="s">
        <v>1808</v>
      </c>
      <c r="M672" t="s">
        <v>1808</v>
      </c>
      <c r="N672" t="s">
        <v>162</v>
      </c>
      <c r="O672" t="s">
        <v>162</v>
      </c>
      <c r="P672" t="s">
        <v>256</v>
      </c>
      <c r="Q672" t="s">
        <v>257</v>
      </c>
      <c r="R672" t="s">
        <v>1809</v>
      </c>
      <c r="S672" t="s">
        <v>87</v>
      </c>
      <c r="T672" t="s">
        <v>75</v>
      </c>
      <c r="U672" t="s">
        <v>76</v>
      </c>
      <c r="V672" t="s">
        <v>99</v>
      </c>
      <c r="W672" t="s">
        <v>76</v>
      </c>
      <c r="X672" t="s">
        <v>684</v>
      </c>
    </row>
    <row r="673" spans="1:24" x14ac:dyDescent="0.2">
      <c r="A673" t="s">
        <v>1810</v>
      </c>
      <c r="B673">
        <v>1064</v>
      </c>
      <c r="C673" t="s">
        <v>60</v>
      </c>
      <c r="D673" t="s">
        <v>156</v>
      </c>
      <c r="E673" t="s">
        <v>157</v>
      </c>
      <c r="F673" t="s">
        <v>158</v>
      </c>
      <c r="H673" t="s">
        <v>64</v>
      </c>
      <c r="I673" t="s">
        <v>91</v>
      </c>
      <c r="J673" t="s">
        <v>92</v>
      </c>
      <c r="K673">
        <v>2850</v>
      </c>
      <c r="L673" t="s">
        <v>1811</v>
      </c>
      <c r="M673" t="s">
        <v>1811</v>
      </c>
      <c r="N673" t="s">
        <v>162</v>
      </c>
      <c r="O673" t="s">
        <v>162</v>
      </c>
      <c r="P673" t="s">
        <v>256</v>
      </c>
      <c r="Q673" t="s">
        <v>257</v>
      </c>
      <c r="R673" t="s">
        <v>165</v>
      </c>
      <c r="S673" t="s">
        <v>96</v>
      </c>
      <c r="T673" t="s">
        <v>144</v>
      </c>
      <c r="U673" t="s">
        <v>98</v>
      </c>
      <c r="V673" t="s">
        <v>99</v>
      </c>
      <c r="W673" t="s">
        <v>98</v>
      </c>
      <c r="X673" t="s">
        <v>100</v>
      </c>
    </row>
    <row r="674" spans="1:24" x14ac:dyDescent="0.2">
      <c r="A674" t="s">
        <v>1812</v>
      </c>
      <c r="B674">
        <v>1064</v>
      </c>
      <c r="C674" t="s">
        <v>60</v>
      </c>
      <c r="D674" t="s">
        <v>156</v>
      </c>
      <c r="E674" t="s">
        <v>157</v>
      </c>
      <c r="F674" t="s">
        <v>158</v>
      </c>
      <c r="H674" t="s">
        <v>64</v>
      </c>
      <c r="I674" t="s">
        <v>102</v>
      </c>
      <c r="J674" t="s">
        <v>103</v>
      </c>
      <c r="K674">
        <v>2750</v>
      </c>
      <c r="L674" t="s">
        <v>1813</v>
      </c>
      <c r="M674" t="s">
        <v>1813</v>
      </c>
      <c r="N674" t="s">
        <v>162</v>
      </c>
      <c r="O674" t="s">
        <v>162</v>
      </c>
      <c r="P674" t="s">
        <v>256</v>
      </c>
      <c r="Q674" t="s">
        <v>257</v>
      </c>
      <c r="R674" t="s">
        <v>165</v>
      </c>
      <c r="S674" t="s">
        <v>106</v>
      </c>
      <c r="T674" t="s">
        <v>107</v>
      </c>
      <c r="U674" t="s">
        <v>108</v>
      </c>
      <c r="V674" t="s">
        <v>99</v>
      </c>
      <c r="W674" t="s">
        <v>108</v>
      </c>
      <c r="X674" t="s">
        <v>693</v>
      </c>
    </row>
    <row r="675" spans="1:24" x14ac:dyDescent="0.2">
      <c r="A675" t="s">
        <v>1814</v>
      </c>
      <c r="B675">
        <v>1064</v>
      </c>
      <c r="C675" t="s">
        <v>60</v>
      </c>
      <c r="D675" t="s">
        <v>156</v>
      </c>
      <c r="E675" t="s">
        <v>157</v>
      </c>
      <c r="F675" t="s">
        <v>158</v>
      </c>
      <c r="G675" t="s">
        <v>156</v>
      </c>
      <c r="H675" t="s">
        <v>278</v>
      </c>
      <c r="I675" t="s">
        <v>91</v>
      </c>
      <c r="J675" t="s">
        <v>92</v>
      </c>
      <c r="K675">
        <v>3550</v>
      </c>
      <c r="L675" t="s">
        <v>1815</v>
      </c>
      <c r="M675" t="s">
        <v>1815</v>
      </c>
      <c r="N675" t="s">
        <v>162</v>
      </c>
      <c r="O675" t="s">
        <v>162</v>
      </c>
      <c r="P675" t="s">
        <v>256</v>
      </c>
      <c r="Q675" t="s">
        <v>257</v>
      </c>
      <c r="R675" t="s">
        <v>165</v>
      </c>
      <c r="S675" t="s">
        <v>280</v>
      </c>
      <c r="T675" t="s">
        <v>97</v>
      </c>
      <c r="U675" t="s">
        <v>98</v>
      </c>
      <c r="V675" t="s">
        <v>99</v>
      </c>
      <c r="W675" t="s">
        <v>98</v>
      </c>
      <c r="X675" t="s">
        <v>100</v>
      </c>
    </row>
    <row r="676" spans="1:24" x14ac:dyDescent="0.2">
      <c r="A676" t="s">
        <v>1816</v>
      </c>
      <c r="B676">
        <v>1064</v>
      </c>
      <c r="C676" t="s">
        <v>60</v>
      </c>
      <c r="D676" t="s">
        <v>156</v>
      </c>
      <c r="E676" t="s">
        <v>157</v>
      </c>
      <c r="F676" t="s">
        <v>158</v>
      </c>
      <c r="G676" t="s">
        <v>156</v>
      </c>
      <c r="H676" t="s">
        <v>278</v>
      </c>
      <c r="I676" t="s">
        <v>102</v>
      </c>
      <c r="J676" t="s">
        <v>103</v>
      </c>
      <c r="K676">
        <v>3450</v>
      </c>
      <c r="L676" t="s">
        <v>1817</v>
      </c>
      <c r="M676" t="s">
        <v>1817</v>
      </c>
      <c r="N676" t="s">
        <v>162</v>
      </c>
      <c r="O676" t="s">
        <v>162</v>
      </c>
      <c r="P676" t="s">
        <v>256</v>
      </c>
      <c r="Q676" t="s">
        <v>257</v>
      </c>
      <c r="R676" t="s">
        <v>165</v>
      </c>
      <c r="S676" t="s">
        <v>283</v>
      </c>
      <c r="T676" t="s">
        <v>284</v>
      </c>
      <c r="U676" t="s">
        <v>285</v>
      </c>
      <c r="V676" t="s">
        <v>99</v>
      </c>
      <c r="W676" t="s">
        <v>285</v>
      </c>
      <c r="X676" t="s">
        <v>672</v>
      </c>
    </row>
    <row r="677" spans="1:24" x14ac:dyDescent="0.2">
      <c r="A677" t="s">
        <v>1818</v>
      </c>
      <c r="B677">
        <v>1064</v>
      </c>
      <c r="C677" t="s">
        <v>60</v>
      </c>
      <c r="D677" t="s">
        <v>156</v>
      </c>
      <c r="E677" t="s">
        <v>157</v>
      </c>
      <c r="F677" t="s">
        <v>158</v>
      </c>
      <c r="G677" t="s">
        <v>156</v>
      </c>
      <c r="H677" t="s">
        <v>278</v>
      </c>
      <c r="I677" t="s">
        <v>131</v>
      </c>
      <c r="J677" t="s">
        <v>132</v>
      </c>
      <c r="K677">
        <v>3950</v>
      </c>
      <c r="L677" t="s">
        <v>1819</v>
      </c>
      <c r="M677" t="s">
        <v>1819</v>
      </c>
      <c r="N677" t="s">
        <v>162</v>
      </c>
      <c r="O677" t="s">
        <v>162</v>
      </c>
      <c r="P677" t="s">
        <v>256</v>
      </c>
      <c r="Q677" t="s">
        <v>257</v>
      </c>
      <c r="R677" t="s">
        <v>165</v>
      </c>
      <c r="S677" t="s">
        <v>289</v>
      </c>
      <c r="T677" t="s">
        <v>136</v>
      </c>
      <c r="U677" t="s">
        <v>131</v>
      </c>
      <c r="V677" t="s">
        <v>99</v>
      </c>
      <c r="W677" t="s">
        <v>131</v>
      </c>
      <c r="X677" t="s">
        <v>660</v>
      </c>
    </row>
    <row r="678" spans="1:24" x14ac:dyDescent="0.2">
      <c r="A678" t="s">
        <v>1820</v>
      </c>
      <c r="B678">
        <v>1064</v>
      </c>
      <c r="C678" t="s">
        <v>60</v>
      </c>
      <c r="D678" t="s">
        <v>156</v>
      </c>
      <c r="E678" t="s">
        <v>157</v>
      </c>
      <c r="F678" t="s">
        <v>158</v>
      </c>
      <c r="G678" t="s">
        <v>156</v>
      </c>
      <c r="H678" t="s">
        <v>278</v>
      </c>
      <c r="I678" t="s">
        <v>139</v>
      </c>
      <c r="J678" t="s">
        <v>140</v>
      </c>
      <c r="K678">
        <v>3950</v>
      </c>
      <c r="L678" t="s">
        <v>1821</v>
      </c>
      <c r="M678" t="s">
        <v>1821</v>
      </c>
      <c r="N678" t="s">
        <v>162</v>
      </c>
      <c r="O678" t="s">
        <v>162</v>
      </c>
      <c r="P678" t="s">
        <v>256</v>
      </c>
      <c r="Q678" t="s">
        <v>257</v>
      </c>
      <c r="R678" t="s">
        <v>165</v>
      </c>
      <c r="S678" t="s">
        <v>292</v>
      </c>
      <c r="T678" t="s">
        <v>144</v>
      </c>
      <c r="U678" t="s">
        <v>139</v>
      </c>
      <c r="V678" t="s">
        <v>99</v>
      </c>
      <c r="W678" t="s">
        <v>139</v>
      </c>
      <c r="X678" t="s">
        <v>145</v>
      </c>
    </row>
    <row r="679" spans="1:24" x14ac:dyDescent="0.2">
      <c r="A679" t="s">
        <v>1822</v>
      </c>
      <c r="B679">
        <v>1064</v>
      </c>
      <c r="C679" t="s">
        <v>60</v>
      </c>
      <c r="D679" t="s">
        <v>156</v>
      </c>
      <c r="E679" t="s">
        <v>1801</v>
      </c>
      <c r="F679" t="s">
        <v>1802</v>
      </c>
      <c r="G679" t="s">
        <v>111</v>
      </c>
      <c r="H679" t="s">
        <v>112</v>
      </c>
      <c r="I679" t="s">
        <v>65</v>
      </c>
      <c r="J679" t="s">
        <v>66</v>
      </c>
      <c r="K679">
        <v>5950</v>
      </c>
      <c r="L679" t="s">
        <v>1823</v>
      </c>
      <c r="M679" t="s">
        <v>1823</v>
      </c>
      <c r="N679" t="s">
        <v>162</v>
      </c>
      <c r="O679" t="s">
        <v>162</v>
      </c>
      <c r="P679" t="s">
        <v>256</v>
      </c>
      <c r="Q679" t="s">
        <v>257</v>
      </c>
      <c r="R679" t="s">
        <v>1804</v>
      </c>
      <c r="S679" t="s">
        <v>114</v>
      </c>
      <c r="T679" t="s">
        <v>75</v>
      </c>
      <c r="U679" t="s">
        <v>76</v>
      </c>
      <c r="V679" t="s">
        <v>99</v>
      </c>
      <c r="W679" t="s">
        <v>76</v>
      </c>
      <c r="X679" t="s">
        <v>684</v>
      </c>
    </row>
    <row r="680" spans="1:24" x14ac:dyDescent="0.2">
      <c r="A680" t="s">
        <v>1824</v>
      </c>
      <c r="B680">
        <v>1064</v>
      </c>
      <c r="C680" t="s">
        <v>60</v>
      </c>
      <c r="D680" t="s">
        <v>156</v>
      </c>
      <c r="E680" t="s">
        <v>1806</v>
      </c>
      <c r="F680" t="s">
        <v>1807</v>
      </c>
      <c r="G680" t="s">
        <v>111</v>
      </c>
      <c r="H680" t="s">
        <v>112</v>
      </c>
      <c r="I680" t="s">
        <v>82</v>
      </c>
      <c r="J680" t="s">
        <v>83</v>
      </c>
      <c r="K680">
        <v>6450</v>
      </c>
      <c r="L680" t="s">
        <v>1825</v>
      </c>
      <c r="M680" t="s">
        <v>1825</v>
      </c>
      <c r="N680" t="s">
        <v>162</v>
      </c>
      <c r="O680" t="s">
        <v>162</v>
      </c>
      <c r="P680" t="s">
        <v>256</v>
      </c>
      <c r="Q680" t="s">
        <v>257</v>
      </c>
      <c r="R680" t="s">
        <v>1809</v>
      </c>
      <c r="S680" t="s">
        <v>118</v>
      </c>
      <c r="T680" t="s">
        <v>75</v>
      </c>
      <c r="U680" t="s">
        <v>76</v>
      </c>
      <c r="V680" t="s">
        <v>99</v>
      </c>
      <c r="W680" t="s">
        <v>76</v>
      </c>
      <c r="X680" t="s">
        <v>684</v>
      </c>
    </row>
    <row r="681" spans="1:24" x14ac:dyDescent="0.2">
      <c r="A681" t="s">
        <v>1826</v>
      </c>
      <c r="B681">
        <v>1064</v>
      </c>
      <c r="C681" t="s">
        <v>60</v>
      </c>
      <c r="D681" t="s">
        <v>156</v>
      </c>
      <c r="E681" t="s">
        <v>157</v>
      </c>
      <c r="F681" t="s">
        <v>158</v>
      </c>
      <c r="G681" t="s">
        <v>111</v>
      </c>
      <c r="H681" t="s">
        <v>112</v>
      </c>
      <c r="I681" t="s">
        <v>91</v>
      </c>
      <c r="J681" t="s">
        <v>92</v>
      </c>
      <c r="K681">
        <v>3550</v>
      </c>
      <c r="L681" t="s">
        <v>1827</v>
      </c>
      <c r="M681" t="s">
        <v>1827</v>
      </c>
      <c r="N681" t="s">
        <v>162</v>
      </c>
      <c r="O681" t="s">
        <v>162</v>
      </c>
      <c r="P681" t="s">
        <v>256</v>
      </c>
      <c r="Q681" t="s">
        <v>257</v>
      </c>
      <c r="R681" t="s">
        <v>165</v>
      </c>
      <c r="S681" t="s">
        <v>122</v>
      </c>
      <c r="T681" t="s">
        <v>97</v>
      </c>
      <c r="U681" t="s">
        <v>98</v>
      </c>
      <c r="V681" t="s">
        <v>99</v>
      </c>
      <c r="W681" t="s">
        <v>98</v>
      </c>
      <c r="X681" t="s">
        <v>100</v>
      </c>
    </row>
    <row r="682" spans="1:24" x14ac:dyDescent="0.2">
      <c r="A682" t="s">
        <v>1828</v>
      </c>
      <c r="B682">
        <v>1064</v>
      </c>
      <c r="C682" t="s">
        <v>60</v>
      </c>
      <c r="D682" t="s">
        <v>156</v>
      </c>
      <c r="E682" t="s">
        <v>157</v>
      </c>
      <c r="F682" t="s">
        <v>158</v>
      </c>
      <c r="G682" t="s">
        <v>111</v>
      </c>
      <c r="H682" t="s">
        <v>112</v>
      </c>
      <c r="I682" t="s">
        <v>102</v>
      </c>
      <c r="J682" t="s">
        <v>103</v>
      </c>
      <c r="K682">
        <v>3450</v>
      </c>
      <c r="L682" t="s">
        <v>1829</v>
      </c>
      <c r="M682" t="s">
        <v>1829</v>
      </c>
      <c r="N682" t="s">
        <v>162</v>
      </c>
      <c r="O682" t="s">
        <v>162</v>
      </c>
      <c r="P682" t="s">
        <v>256</v>
      </c>
      <c r="Q682" t="s">
        <v>257</v>
      </c>
      <c r="R682" t="s">
        <v>165</v>
      </c>
      <c r="S682" t="s">
        <v>126</v>
      </c>
      <c r="T682" t="s">
        <v>127</v>
      </c>
      <c r="U682" t="s">
        <v>128</v>
      </c>
      <c r="V682" t="s">
        <v>99</v>
      </c>
      <c r="W682" t="s">
        <v>128</v>
      </c>
      <c r="X682" t="s">
        <v>708</v>
      </c>
    </row>
    <row r="683" spans="1:24" x14ac:dyDescent="0.2">
      <c r="A683" t="s">
        <v>1830</v>
      </c>
      <c r="B683">
        <v>1064</v>
      </c>
      <c r="C683" t="s">
        <v>60</v>
      </c>
      <c r="D683" t="s">
        <v>156</v>
      </c>
      <c r="E683" t="s">
        <v>157</v>
      </c>
      <c r="F683" t="s">
        <v>158</v>
      </c>
      <c r="G683" t="s">
        <v>111</v>
      </c>
      <c r="H683" t="s">
        <v>112</v>
      </c>
      <c r="I683" t="s">
        <v>131</v>
      </c>
      <c r="J683" t="s">
        <v>132</v>
      </c>
      <c r="K683">
        <v>3950</v>
      </c>
      <c r="L683" t="s">
        <v>1831</v>
      </c>
      <c r="M683" t="s">
        <v>1831</v>
      </c>
      <c r="N683" t="s">
        <v>162</v>
      </c>
      <c r="O683" t="s">
        <v>162</v>
      </c>
      <c r="P683" t="s">
        <v>256</v>
      </c>
      <c r="Q683" t="s">
        <v>257</v>
      </c>
      <c r="R683" t="s">
        <v>165</v>
      </c>
      <c r="S683" t="s">
        <v>135</v>
      </c>
      <c r="T683" t="s">
        <v>136</v>
      </c>
      <c r="U683" t="s">
        <v>131</v>
      </c>
      <c r="V683" t="s">
        <v>99</v>
      </c>
      <c r="W683" t="s">
        <v>131</v>
      </c>
      <c r="X683" t="s">
        <v>660</v>
      </c>
    </row>
    <row r="684" spans="1:24" x14ac:dyDescent="0.2">
      <c r="A684" t="s">
        <v>1832</v>
      </c>
      <c r="B684">
        <v>1064</v>
      </c>
      <c r="C684" t="s">
        <v>60</v>
      </c>
      <c r="D684" t="s">
        <v>156</v>
      </c>
      <c r="E684" t="s">
        <v>157</v>
      </c>
      <c r="F684" t="s">
        <v>158</v>
      </c>
      <c r="G684" t="s">
        <v>111</v>
      </c>
      <c r="H684" t="s">
        <v>112</v>
      </c>
      <c r="I684" t="s">
        <v>139</v>
      </c>
      <c r="J684" t="s">
        <v>140</v>
      </c>
      <c r="K684">
        <v>3950</v>
      </c>
      <c r="L684" t="s">
        <v>1833</v>
      </c>
      <c r="M684" t="s">
        <v>1833</v>
      </c>
      <c r="N684" t="s">
        <v>162</v>
      </c>
      <c r="O684" t="s">
        <v>162</v>
      </c>
      <c r="P684" t="s">
        <v>256</v>
      </c>
      <c r="Q684" t="s">
        <v>257</v>
      </c>
      <c r="R684" t="s">
        <v>165</v>
      </c>
      <c r="S684" t="s">
        <v>143</v>
      </c>
      <c r="T684" t="s">
        <v>144</v>
      </c>
      <c r="U684" t="s">
        <v>139</v>
      </c>
      <c r="V684" t="s">
        <v>99</v>
      </c>
      <c r="W684" t="s">
        <v>139</v>
      </c>
      <c r="X684" t="s">
        <v>145</v>
      </c>
    </row>
    <row r="685" spans="1:24" x14ac:dyDescent="0.2">
      <c r="A685" t="s">
        <v>1834</v>
      </c>
      <c r="B685">
        <v>1064</v>
      </c>
      <c r="C685" t="s">
        <v>60</v>
      </c>
      <c r="D685" t="s">
        <v>61</v>
      </c>
      <c r="E685" t="s">
        <v>253</v>
      </c>
      <c r="F685" t="s">
        <v>254</v>
      </c>
      <c r="G685" t="s">
        <v>111</v>
      </c>
      <c r="H685" t="s">
        <v>112</v>
      </c>
      <c r="I685" t="s">
        <v>139</v>
      </c>
      <c r="J685" t="s">
        <v>140</v>
      </c>
      <c r="K685">
        <v>4950</v>
      </c>
      <c r="L685" t="s">
        <v>1835</v>
      </c>
      <c r="M685" t="s">
        <v>1835</v>
      </c>
      <c r="N685" t="s">
        <v>162</v>
      </c>
      <c r="O685" t="s">
        <v>162</v>
      </c>
      <c r="P685" t="s">
        <v>256</v>
      </c>
      <c r="Q685" t="s">
        <v>257</v>
      </c>
      <c r="R685" t="s">
        <v>258</v>
      </c>
      <c r="S685" t="s">
        <v>143</v>
      </c>
      <c r="T685" t="s">
        <v>144</v>
      </c>
      <c r="U685" t="s">
        <v>139</v>
      </c>
      <c r="V685" t="s">
        <v>99</v>
      </c>
      <c r="W685" t="s">
        <v>139</v>
      </c>
      <c r="X685" t="s">
        <v>145</v>
      </c>
    </row>
    <row r="686" spans="1:24" x14ac:dyDescent="0.2">
      <c r="A686" t="s">
        <v>1836</v>
      </c>
      <c r="B686">
        <v>1064</v>
      </c>
      <c r="C686" t="s">
        <v>60</v>
      </c>
      <c r="D686" t="s">
        <v>156</v>
      </c>
      <c r="E686" t="s">
        <v>157</v>
      </c>
      <c r="F686" t="s">
        <v>158</v>
      </c>
      <c r="G686" t="s">
        <v>306</v>
      </c>
      <c r="H686" t="s">
        <v>307</v>
      </c>
      <c r="I686" t="s">
        <v>91</v>
      </c>
      <c r="J686" t="s">
        <v>92</v>
      </c>
      <c r="K686">
        <v>4250</v>
      </c>
      <c r="L686" t="s">
        <v>1837</v>
      </c>
      <c r="M686" t="s">
        <v>1837</v>
      </c>
      <c r="N686" t="s">
        <v>162</v>
      </c>
      <c r="O686" t="s">
        <v>162</v>
      </c>
      <c r="P686" t="s">
        <v>256</v>
      </c>
      <c r="Q686" t="s">
        <v>257</v>
      </c>
      <c r="R686" t="s">
        <v>165</v>
      </c>
      <c r="S686" t="s">
        <v>309</v>
      </c>
      <c r="T686" t="s">
        <v>97</v>
      </c>
      <c r="U686" t="s">
        <v>98</v>
      </c>
      <c r="V686" t="s">
        <v>99</v>
      </c>
      <c r="W686" t="s">
        <v>98</v>
      </c>
      <c r="X686" t="s">
        <v>100</v>
      </c>
    </row>
    <row r="687" spans="1:24" x14ac:dyDescent="0.2">
      <c r="A687" t="s">
        <v>1838</v>
      </c>
      <c r="B687">
        <v>1064</v>
      </c>
      <c r="C687" t="s">
        <v>60</v>
      </c>
      <c r="D687" t="s">
        <v>156</v>
      </c>
      <c r="E687" t="s">
        <v>157</v>
      </c>
      <c r="F687" t="s">
        <v>158</v>
      </c>
      <c r="G687" t="s">
        <v>306</v>
      </c>
      <c r="H687" t="s">
        <v>307</v>
      </c>
      <c r="I687" t="s">
        <v>102</v>
      </c>
      <c r="J687" t="s">
        <v>103</v>
      </c>
      <c r="K687">
        <v>4150</v>
      </c>
      <c r="L687" t="s">
        <v>1839</v>
      </c>
      <c r="M687" t="s">
        <v>1839</v>
      </c>
      <c r="N687" t="s">
        <v>162</v>
      </c>
      <c r="O687" t="s">
        <v>162</v>
      </c>
      <c r="P687" t="s">
        <v>256</v>
      </c>
      <c r="Q687" t="s">
        <v>257</v>
      </c>
      <c r="R687" t="s">
        <v>165</v>
      </c>
      <c r="S687" t="s">
        <v>312</v>
      </c>
      <c r="T687" t="s">
        <v>313</v>
      </c>
      <c r="U687" t="s">
        <v>314</v>
      </c>
      <c r="V687" t="s">
        <v>99</v>
      </c>
      <c r="W687" t="s">
        <v>314</v>
      </c>
      <c r="X687" t="s">
        <v>715</v>
      </c>
    </row>
    <row r="688" spans="1:24" x14ac:dyDescent="0.2">
      <c r="A688" t="s">
        <v>1840</v>
      </c>
      <c r="B688">
        <v>1064</v>
      </c>
      <c r="C688" t="s">
        <v>60</v>
      </c>
      <c r="D688" t="s">
        <v>156</v>
      </c>
      <c r="E688" t="s">
        <v>157</v>
      </c>
      <c r="F688" t="s">
        <v>158</v>
      </c>
      <c r="G688" t="s">
        <v>306</v>
      </c>
      <c r="H688" t="s">
        <v>307</v>
      </c>
      <c r="I688" t="s">
        <v>131</v>
      </c>
      <c r="J688" t="s">
        <v>132</v>
      </c>
      <c r="K688">
        <v>4650</v>
      </c>
      <c r="L688" t="s">
        <v>1841</v>
      </c>
      <c r="M688" t="s">
        <v>1841</v>
      </c>
      <c r="N688" t="s">
        <v>162</v>
      </c>
      <c r="O688" t="s">
        <v>162</v>
      </c>
      <c r="P688" t="s">
        <v>256</v>
      </c>
      <c r="Q688" t="s">
        <v>257</v>
      </c>
      <c r="R688" t="s">
        <v>165</v>
      </c>
      <c r="S688" t="s">
        <v>318</v>
      </c>
      <c r="T688" t="s">
        <v>136</v>
      </c>
      <c r="U688" t="s">
        <v>131</v>
      </c>
      <c r="V688" t="s">
        <v>99</v>
      </c>
      <c r="W688" t="s">
        <v>131</v>
      </c>
      <c r="X688" t="s">
        <v>660</v>
      </c>
    </row>
    <row r="689" spans="1:24" x14ac:dyDescent="0.2">
      <c r="A689" t="s">
        <v>1842</v>
      </c>
      <c r="B689">
        <v>1064</v>
      </c>
      <c r="C689" t="s">
        <v>60</v>
      </c>
      <c r="D689" t="s">
        <v>156</v>
      </c>
      <c r="E689" t="s">
        <v>157</v>
      </c>
      <c r="F689" t="s">
        <v>158</v>
      </c>
      <c r="G689" t="s">
        <v>306</v>
      </c>
      <c r="H689" t="s">
        <v>307</v>
      </c>
      <c r="I689" t="s">
        <v>139</v>
      </c>
      <c r="J689" t="s">
        <v>140</v>
      </c>
      <c r="K689">
        <v>4650</v>
      </c>
      <c r="L689" t="s">
        <v>1843</v>
      </c>
      <c r="M689" t="s">
        <v>1843</v>
      </c>
      <c r="N689" t="s">
        <v>162</v>
      </c>
      <c r="O689" t="s">
        <v>162</v>
      </c>
      <c r="P689" t="s">
        <v>256</v>
      </c>
      <c r="Q689" t="s">
        <v>257</v>
      </c>
      <c r="R689" t="s">
        <v>165</v>
      </c>
      <c r="S689" t="s">
        <v>321</v>
      </c>
      <c r="T689" t="s">
        <v>144</v>
      </c>
      <c r="U689" t="s">
        <v>139</v>
      </c>
      <c r="V689" t="s">
        <v>99</v>
      </c>
      <c r="W689" t="s">
        <v>139</v>
      </c>
      <c r="X689" t="s">
        <v>145</v>
      </c>
    </row>
    <row r="690" spans="1:24" x14ac:dyDescent="0.2">
      <c r="A690" t="s">
        <v>1844</v>
      </c>
      <c r="B690">
        <v>1064</v>
      </c>
      <c r="C690" t="s">
        <v>60</v>
      </c>
      <c r="D690" t="s">
        <v>156</v>
      </c>
      <c r="E690" t="s">
        <v>157</v>
      </c>
      <c r="F690" t="s">
        <v>158</v>
      </c>
      <c r="H690" t="s">
        <v>64</v>
      </c>
      <c r="I690" t="s">
        <v>131</v>
      </c>
      <c r="J690" t="s">
        <v>132</v>
      </c>
      <c r="K690">
        <v>3250</v>
      </c>
      <c r="L690" t="s">
        <v>1845</v>
      </c>
      <c r="M690" t="s">
        <v>1845</v>
      </c>
      <c r="N690" t="s">
        <v>162</v>
      </c>
      <c r="O690" t="s">
        <v>162</v>
      </c>
      <c r="P690" t="s">
        <v>256</v>
      </c>
      <c r="Q690" t="s">
        <v>257</v>
      </c>
      <c r="R690" t="s">
        <v>165</v>
      </c>
      <c r="S690" t="s">
        <v>149</v>
      </c>
      <c r="T690" t="s">
        <v>136</v>
      </c>
      <c r="U690" t="s">
        <v>131</v>
      </c>
      <c r="V690" t="s">
        <v>99</v>
      </c>
      <c r="W690" t="s">
        <v>131</v>
      </c>
      <c r="X690" t="s">
        <v>660</v>
      </c>
    </row>
    <row r="691" spans="1:24" x14ac:dyDescent="0.2">
      <c r="A691" t="s">
        <v>1846</v>
      </c>
      <c r="B691">
        <v>1064</v>
      </c>
      <c r="C691" t="s">
        <v>60</v>
      </c>
      <c r="D691" t="s">
        <v>61</v>
      </c>
      <c r="E691" t="s">
        <v>253</v>
      </c>
      <c r="F691" t="s">
        <v>254</v>
      </c>
      <c r="H691" t="s">
        <v>64</v>
      </c>
      <c r="I691" t="s">
        <v>139</v>
      </c>
      <c r="J691" t="s">
        <v>140</v>
      </c>
      <c r="K691">
        <v>4250</v>
      </c>
      <c r="L691" t="s">
        <v>1847</v>
      </c>
      <c r="M691" t="s">
        <v>1847</v>
      </c>
      <c r="N691" t="s">
        <v>162</v>
      </c>
      <c r="O691" t="s">
        <v>162</v>
      </c>
      <c r="P691" t="s">
        <v>256</v>
      </c>
      <c r="Q691" t="s">
        <v>257</v>
      </c>
      <c r="R691" t="s">
        <v>258</v>
      </c>
      <c r="S691" t="s">
        <v>153</v>
      </c>
      <c r="T691" t="s">
        <v>144</v>
      </c>
      <c r="U691" t="s">
        <v>139</v>
      </c>
      <c r="V691" t="s">
        <v>99</v>
      </c>
      <c r="W691" t="s">
        <v>139</v>
      </c>
      <c r="X691" t="s">
        <v>145</v>
      </c>
    </row>
    <row r="692" spans="1:24" x14ac:dyDescent="0.2">
      <c r="A692" t="s">
        <v>1848</v>
      </c>
      <c r="B692">
        <v>1064</v>
      </c>
      <c r="C692" t="s">
        <v>60</v>
      </c>
      <c r="D692" t="s">
        <v>156</v>
      </c>
      <c r="E692" t="s">
        <v>157</v>
      </c>
      <c r="F692" t="s">
        <v>158</v>
      </c>
      <c r="H692" t="s">
        <v>64</v>
      </c>
      <c r="I692" t="s">
        <v>139</v>
      </c>
      <c r="J692" t="s">
        <v>140</v>
      </c>
      <c r="K692">
        <v>3250</v>
      </c>
      <c r="L692" t="s">
        <v>1849</v>
      </c>
      <c r="M692" t="s">
        <v>1849</v>
      </c>
      <c r="N692" t="s">
        <v>162</v>
      </c>
      <c r="O692" t="s">
        <v>162</v>
      </c>
      <c r="P692" t="s">
        <v>256</v>
      </c>
      <c r="Q692" t="s">
        <v>257</v>
      </c>
      <c r="R692" t="s">
        <v>165</v>
      </c>
      <c r="S692" t="s">
        <v>153</v>
      </c>
      <c r="T692" t="s">
        <v>144</v>
      </c>
      <c r="U692" t="s">
        <v>139</v>
      </c>
      <c r="V692" t="s">
        <v>99</v>
      </c>
      <c r="W692" t="s">
        <v>139</v>
      </c>
      <c r="X692" t="s">
        <v>145</v>
      </c>
    </row>
    <row r="693" spans="1:24" x14ac:dyDescent="0.2">
      <c r="A693" t="s">
        <v>1850</v>
      </c>
      <c r="B693" t="s">
        <v>1851</v>
      </c>
      <c r="C693" t="s">
        <v>60</v>
      </c>
      <c r="D693" t="s">
        <v>61</v>
      </c>
      <c r="E693" t="s">
        <v>1212</v>
      </c>
      <c r="F693" t="s">
        <v>1213</v>
      </c>
      <c r="G693" t="s">
        <v>159</v>
      </c>
      <c r="H693" t="s">
        <v>160</v>
      </c>
      <c r="I693" t="s">
        <v>102</v>
      </c>
      <c r="J693" t="s">
        <v>103</v>
      </c>
      <c r="K693">
        <v>3850</v>
      </c>
      <c r="L693" t="s">
        <v>1852</v>
      </c>
      <c r="M693" t="s">
        <v>1852</v>
      </c>
      <c r="N693" t="s">
        <v>170</v>
      </c>
      <c r="O693" t="s">
        <v>170</v>
      </c>
      <c r="P693" t="s">
        <v>1476</v>
      </c>
      <c r="Q693" t="s">
        <v>1477</v>
      </c>
      <c r="R693" t="s">
        <v>1215</v>
      </c>
      <c r="S693" t="s">
        <v>166</v>
      </c>
      <c r="T693" t="s">
        <v>107</v>
      </c>
      <c r="U693" t="s">
        <v>108</v>
      </c>
      <c r="V693" t="s">
        <v>77</v>
      </c>
      <c r="W693" t="s">
        <v>108</v>
      </c>
      <c r="X693" t="s">
        <v>109</v>
      </c>
    </row>
    <row r="694" spans="1:24" x14ac:dyDescent="0.2">
      <c r="A694" t="s">
        <v>1853</v>
      </c>
      <c r="B694" t="s">
        <v>1851</v>
      </c>
      <c r="C694" t="s">
        <v>60</v>
      </c>
      <c r="D694" t="s">
        <v>156</v>
      </c>
      <c r="E694" t="s">
        <v>445</v>
      </c>
      <c r="F694" t="s">
        <v>502</v>
      </c>
      <c r="G694" t="s">
        <v>159</v>
      </c>
      <c r="H694" t="s">
        <v>160</v>
      </c>
      <c r="I694" t="s">
        <v>102</v>
      </c>
      <c r="J694" t="s">
        <v>103</v>
      </c>
      <c r="K694">
        <v>2850</v>
      </c>
      <c r="L694" t="s">
        <v>1854</v>
      </c>
      <c r="M694" t="s">
        <v>1854</v>
      </c>
      <c r="N694" t="s">
        <v>170</v>
      </c>
      <c r="O694" t="s">
        <v>170</v>
      </c>
      <c r="P694" t="s">
        <v>1476</v>
      </c>
      <c r="Q694" t="s">
        <v>1477</v>
      </c>
      <c r="R694" t="s">
        <v>504</v>
      </c>
      <c r="S694" t="s">
        <v>166</v>
      </c>
      <c r="T694" t="s">
        <v>107</v>
      </c>
      <c r="U694" t="s">
        <v>108</v>
      </c>
      <c r="V694" t="s">
        <v>77</v>
      </c>
      <c r="W694" t="s">
        <v>108</v>
      </c>
      <c r="X694" t="s">
        <v>109</v>
      </c>
    </row>
    <row r="695" spans="1:24" x14ac:dyDescent="0.2">
      <c r="A695" t="s">
        <v>1855</v>
      </c>
      <c r="B695">
        <v>1080</v>
      </c>
      <c r="C695" t="s">
        <v>60</v>
      </c>
      <c r="D695" t="s">
        <v>156</v>
      </c>
      <c r="E695" t="s">
        <v>157</v>
      </c>
      <c r="F695" t="s">
        <v>158</v>
      </c>
      <c r="H695" t="s">
        <v>64</v>
      </c>
      <c r="I695" t="s">
        <v>642</v>
      </c>
      <c r="J695" t="s">
        <v>643</v>
      </c>
      <c r="K695">
        <v>2900</v>
      </c>
      <c r="L695" t="s">
        <v>1856</v>
      </c>
      <c r="M695" t="s">
        <v>1856</v>
      </c>
      <c r="N695" t="s">
        <v>162</v>
      </c>
      <c r="O695" t="s">
        <v>162</v>
      </c>
      <c r="P695" t="s">
        <v>381</v>
      </c>
      <c r="Q695" t="s">
        <v>382</v>
      </c>
      <c r="R695" t="s">
        <v>165</v>
      </c>
      <c r="S695" t="s">
        <v>645</v>
      </c>
      <c r="T695" t="s">
        <v>646</v>
      </c>
      <c r="U695" t="s">
        <v>647</v>
      </c>
      <c r="V695" t="s">
        <v>99</v>
      </c>
      <c r="W695" t="s">
        <v>647</v>
      </c>
      <c r="X695" t="s">
        <v>679</v>
      </c>
    </row>
    <row r="696" spans="1:24" x14ac:dyDescent="0.2">
      <c r="A696" t="s">
        <v>1857</v>
      </c>
      <c r="B696">
        <v>1080</v>
      </c>
      <c r="C696" t="s">
        <v>60</v>
      </c>
      <c r="D696" t="s">
        <v>156</v>
      </c>
      <c r="E696" t="s">
        <v>1711</v>
      </c>
      <c r="F696" t="s">
        <v>1712</v>
      </c>
      <c r="H696" t="s">
        <v>64</v>
      </c>
      <c r="I696" t="s">
        <v>65</v>
      </c>
      <c r="J696" t="s">
        <v>66</v>
      </c>
      <c r="K696">
        <v>5250</v>
      </c>
      <c r="L696" t="s">
        <v>1858</v>
      </c>
      <c r="M696" t="s">
        <v>1858</v>
      </c>
      <c r="N696" t="s">
        <v>162</v>
      </c>
      <c r="O696" t="s">
        <v>162</v>
      </c>
      <c r="P696" t="s">
        <v>381</v>
      </c>
      <c r="Q696" t="s">
        <v>382</v>
      </c>
      <c r="R696" t="s">
        <v>1714</v>
      </c>
      <c r="S696" t="s">
        <v>74</v>
      </c>
      <c r="T696" t="s">
        <v>75</v>
      </c>
      <c r="U696" t="s">
        <v>76</v>
      </c>
      <c r="V696" t="s">
        <v>99</v>
      </c>
      <c r="W696" t="s">
        <v>76</v>
      </c>
      <c r="X696" t="s">
        <v>684</v>
      </c>
    </row>
    <row r="697" spans="1:24" x14ac:dyDescent="0.2">
      <c r="A697" t="s">
        <v>1859</v>
      </c>
      <c r="B697">
        <v>1080</v>
      </c>
      <c r="C697" t="s">
        <v>60</v>
      </c>
      <c r="D697" t="s">
        <v>156</v>
      </c>
      <c r="E697" t="s">
        <v>1860</v>
      </c>
      <c r="F697" t="s">
        <v>1861</v>
      </c>
      <c r="H697" t="s">
        <v>64</v>
      </c>
      <c r="I697" t="s">
        <v>82</v>
      </c>
      <c r="J697" t="s">
        <v>83</v>
      </c>
      <c r="K697">
        <v>5750</v>
      </c>
      <c r="L697" t="s">
        <v>1862</v>
      </c>
      <c r="M697" t="s">
        <v>1862</v>
      </c>
      <c r="N697" t="s">
        <v>162</v>
      </c>
      <c r="O697" t="s">
        <v>162</v>
      </c>
      <c r="P697" t="s">
        <v>381</v>
      </c>
      <c r="Q697" t="s">
        <v>382</v>
      </c>
      <c r="R697" t="s">
        <v>1863</v>
      </c>
      <c r="S697" t="s">
        <v>87</v>
      </c>
      <c r="T697" t="s">
        <v>75</v>
      </c>
      <c r="U697" t="s">
        <v>76</v>
      </c>
      <c r="V697" t="s">
        <v>99</v>
      </c>
      <c r="W697" t="s">
        <v>76</v>
      </c>
      <c r="X697" t="s">
        <v>684</v>
      </c>
    </row>
    <row r="698" spans="1:24" x14ac:dyDescent="0.2">
      <c r="A698" t="s">
        <v>1864</v>
      </c>
      <c r="B698">
        <v>1080</v>
      </c>
      <c r="C698" t="s">
        <v>60</v>
      </c>
      <c r="D698" t="s">
        <v>156</v>
      </c>
      <c r="E698" t="s">
        <v>157</v>
      </c>
      <c r="F698" t="s">
        <v>158</v>
      </c>
      <c r="H698" t="s">
        <v>64</v>
      </c>
      <c r="I698" t="s">
        <v>91</v>
      </c>
      <c r="J698" t="s">
        <v>92</v>
      </c>
      <c r="K698">
        <v>2850</v>
      </c>
      <c r="L698" t="s">
        <v>1865</v>
      </c>
      <c r="M698" t="s">
        <v>1865</v>
      </c>
      <c r="N698" t="s">
        <v>162</v>
      </c>
      <c r="O698" t="s">
        <v>162</v>
      </c>
      <c r="P698" t="s">
        <v>381</v>
      </c>
      <c r="Q698" t="s">
        <v>382</v>
      </c>
      <c r="R698" t="s">
        <v>165</v>
      </c>
      <c r="S698" t="s">
        <v>96</v>
      </c>
      <c r="T698" t="s">
        <v>97</v>
      </c>
      <c r="U698" t="s">
        <v>98</v>
      </c>
      <c r="V698" t="s">
        <v>99</v>
      </c>
      <c r="W698" t="s">
        <v>98</v>
      </c>
      <c r="X698" t="s">
        <v>100</v>
      </c>
    </row>
    <row r="699" spans="1:24" x14ac:dyDescent="0.2">
      <c r="A699" t="s">
        <v>1866</v>
      </c>
      <c r="B699">
        <v>1080</v>
      </c>
      <c r="C699" t="s">
        <v>60</v>
      </c>
      <c r="D699" t="s">
        <v>156</v>
      </c>
      <c r="E699" t="s">
        <v>157</v>
      </c>
      <c r="F699" t="s">
        <v>158</v>
      </c>
      <c r="H699" t="s">
        <v>64</v>
      </c>
      <c r="I699" t="s">
        <v>102</v>
      </c>
      <c r="J699" t="s">
        <v>103</v>
      </c>
      <c r="K699">
        <v>2750</v>
      </c>
      <c r="L699" t="s">
        <v>1867</v>
      </c>
      <c r="M699" t="s">
        <v>1867</v>
      </c>
      <c r="N699" t="s">
        <v>162</v>
      </c>
      <c r="O699" t="s">
        <v>162</v>
      </c>
      <c r="P699" t="s">
        <v>381</v>
      </c>
      <c r="Q699" t="s">
        <v>382</v>
      </c>
      <c r="R699" t="s">
        <v>165</v>
      </c>
      <c r="S699" t="s">
        <v>106</v>
      </c>
      <c r="T699" t="s">
        <v>107</v>
      </c>
      <c r="U699" t="s">
        <v>108</v>
      </c>
      <c r="V699" t="s">
        <v>99</v>
      </c>
      <c r="W699" t="s">
        <v>108</v>
      </c>
      <c r="X699" t="s">
        <v>693</v>
      </c>
    </row>
    <row r="700" spans="1:24" x14ac:dyDescent="0.2">
      <c r="A700" t="s">
        <v>1868</v>
      </c>
      <c r="B700">
        <v>1080</v>
      </c>
      <c r="C700" t="s">
        <v>60</v>
      </c>
      <c r="D700" t="s">
        <v>156</v>
      </c>
      <c r="E700" t="s">
        <v>157</v>
      </c>
      <c r="F700" t="s">
        <v>158</v>
      </c>
      <c r="G700" t="s">
        <v>156</v>
      </c>
      <c r="H700" t="s">
        <v>278</v>
      </c>
      <c r="I700" t="s">
        <v>91</v>
      </c>
      <c r="J700" t="s">
        <v>92</v>
      </c>
      <c r="K700">
        <v>3550</v>
      </c>
      <c r="L700" t="s">
        <v>1869</v>
      </c>
      <c r="M700" t="s">
        <v>1869</v>
      </c>
      <c r="N700" t="s">
        <v>162</v>
      </c>
      <c r="O700" t="s">
        <v>162</v>
      </c>
      <c r="P700" t="s">
        <v>381</v>
      </c>
      <c r="Q700" t="s">
        <v>382</v>
      </c>
      <c r="R700" t="s">
        <v>165</v>
      </c>
      <c r="S700" t="s">
        <v>280</v>
      </c>
      <c r="T700" t="s">
        <v>97</v>
      </c>
      <c r="U700" t="s">
        <v>98</v>
      </c>
      <c r="V700" t="s">
        <v>99</v>
      </c>
      <c r="W700" t="s">
        <v>98</v>
      </c>
      <c r="X700" t="s">
        <v>100</v>
      </c>
    </row>
    <row r="701" spans="1:24" x14ac:dyDescent="0.2">
      <c r="A701" t="s">
        <v>1870</v>
      </c>
      <c r="B701">
        <v>1080</v>
      </c>
      <c r="C701" t="s">
        <v>60</v>
      </c>
      <c r="D701" t="s">
        <v>156</v>
      </c>
      <c r="E701" t="s">
        <v>157</v>
      </c>
      <c r="F701" t="s">
        <v>158</v>
      </c>
      <c r="G701" t="s">
        <v>156</v>
      </c>
      <c r="H701" t="s">
        <v>278</v>
      </c>
      <c r="I701" t="s">
        <v>102</v>
      </c>
      <c r="J701" t="s">
        <v>103</v>
      </c>
      <c r="K701">
        <v>3450</v>
      </c>
      <c r="L701" t="s">
        <v>1871</v>
      </c>
      <c r="M701" t="s">
        <v>1871</v>
      </c>
      <c r="N701" t="s">
        <v>162</v>
      </c>
      <c r="O701" t="s">
        <v>162</v>
      </c>
      <c r="P701" t="s">
        <v>381</v>
      </c>
      <c r="Q701" t="s">
        <v>382</v>
      </c>
      <c r="R701" t="s">
        <v>165</v>
      </c>
      <c r="S701" t="s">
        <v>283</v>
      </c>
      <c r="T701" t="s">
        <v>284</v>
      </c>
      <c r="U701" t="s">
        <v>285</v>
      </c>
      <c r="V701" t="s">
        <v>99</v>
      </c>
      <c r="W701" t="s">
        <v>285</v>
      </c>
      <c r="X701" t="s">
        <v>672</v>
      </c>
    </row>
    <row r="702" spans="1:24" x14ac:dyDescent="0.2">
      <c r="A702" t="s">
        <v>1872</v>
      </c>
      <c r="B702">
        <v>1080</v>
      </c>
      <c r="C702" t="s">
        <v>60</v>
      </c>
      <c r="D702" t="s">
        <v>156</v>
      </c>
      <c r="E702" t="s">
        <v>157</v>
      </c>
      <c r="F702" t="s">
        <v>158</v>
      </c>
      <c r="G702" t="s">
        <v>156</v>
      </c>
      <c r="H702" t="s">
        <v>278</v>
      </c>
      <c r="I702" t="s">
        <v>131</v>
      </c>
      <c r="J702" t="s">
        <v>132</v>
      </c>
      <c r="K702">
        <v>3950</v>
      </c>
      <c r="L702" t="s">
        <v>1873</v>
      </c>
      <c r="M702" t="s">
        <v>1873</v>
      </c>
      <c r="N702" t="s">
        <v>162</v>
      </c>
      <c r="O702" t="s">
        <v>162</v>
      </c>
      <c r="P702" t="s">
        <v>381</v>
      </c>
      <c r="Q702" t="s">
        <v>382</v>
      </c>
      <c r="R702" t="s">
        <v>165</v>
      </c>
      <c r="S702" t="s">
        <v>289</v>
      </c>
      <c r="T702" t="s">
        <v>136</v>
      </c>
      <c r="U702" t="s">
        <v>131</v>
      </c>
      <c r="V702" t="s">
        <v>99</v>
      </c>
      <c r="W702" t="s">
        <v>131</v>
      </c>
      <c r="X702" t="s">
        <v>660</v>
      </c>
    </row>
    <row r="703" spans="1:24" x14ac:dyDescent="0.2">
      <c r="A703" t="s">
        <v>1874</v>
      </c>
      <c r="B703">
        <v>1080</v>
      </c>
      <c r="C703" t="s">
        <v>60</v>
      </c>
      <c r="D703" t="s">
        <v>156</v>
      </c>
      <c r="E703" t="s">
        <v>157</v>
      </c>
      <c r="F703" t="s">
        <v>158</v>
      </c>
      <c r="G703" t="s">
        <v>156</v>
      </c>
      <c r="H703" t="s">
        <v>278</v>
      </c>
      <c r="I703" t="s">
        <v>139</v>
      </c>
      <c r="J703" t="s">
        <v>140</v>
      </c>
      <c r="K703">
        <v>3950</v>
      </c>
      <c r="L703" t="s">
        <v>1875</v>
      </c>
      <c r="M703" t="s">
        <v>1875</v>
      </c>
      <c r="N703" t="s">
        <v>162</v>
      </c>
      <c r="O703" t="s">
        <v>162</v>
      </c>
      <c r="P703" t="s">
        <v>381</v>
      </c>
      <c r="Q703" t="s">
        <v>382</v>
      </c>
      <c r="R703" t="s">
        <v>165</v>
      </c>
      <c r="S703" t="s">
        <v>292</v>
      </c>
      <c r="T703" t="s">
        <v>144</v>
      </c>
      <c r="U703" t="s">
        <v>139</v>
      </c>
      <c r="V703" t="s">
        <v>99</v>
      </c>
      <c r="W703" t="s">
        <v>139</v>
      </c>
      <c r="X703" t="s">
        <v>145</v>
      </c>
    </row>
    <row r="704" spans="1:24" x14ac:dyDescent="0.2">
      <c r="A704" t="s">
        <v>1876</v>
      </c>
      <c r="B704">
        <v>1080</v>
      </c>
      <c r="C704" t="s">
        <v>60</v>
      </c>
      <c r="D704" t="s">
        <v>156</v>
      </c>
      <c r="E704" t="s">
        <v>1711</v>
      </c>
      <c r="F704" t="s">
        <v>1712</v>
      </c>
      <c r="G704" t="s">
        <v>111</v>
      </c>
      <c r="H704" t="s">
        <v>112</v>
      </c>
      <c r="I704" t="s">
        <v>65</v>
      </c>
      <c r="J704" t="s">
        <v>66</v>
      </c>
      <c r="K704">
        <v>5950</v>
      </c>
      <c r="L704" t="s">
        <v>1877</v>
      </c>
      <c r="M704" t="s">
        <v>1877</v>
      </c>
      <c r="N704" t="s">
        <v>162</v>
      </c>
      <c r="O704" t="s">
        <v>162</v>
      </c>
      <c r="P704" t="s">
        <v>381</v>
      </c>
      <c r="Q704" t="s">
        <v>382</v>
      </c>
      <c r="R704" t="s">
        <v>1714</v>
      </c>
      <c r="S704" t="s">
        <v>114</v>
      </c>
      <c r="T704" t="s">
        <v>75</v>
      </c>
      <c r="U704" t="s">
        <v>76</v>
      </c>
      <c r="V704" t="s">
        <v>99</v>
      </c>
      <c r="W704" t="s">
        <v>76</v>
      </c>
      <c r="X704" t="s">
        <v>684</v>
      </c>
    </row>
    <row r="705" spans="1:24" x14ac:dyDescent="0.2">
      <c r="A705" t="s">
        <v>1878</v>
      </c>
      <c r="B705">
        <v>1080</v>
      </c>
      <c r="C705" t="s">
        <v>60</v>
      </c>
      <c r="D705" t="s">
        <v>156</v>
      </c>
      <c r="E705" t="s">
        <v>1860</v>
      </c>
      <c r="F705" t="s">
        <v>1861</v>
      </c>
      <c r="G705" t="s">
        <v>111</v>
      </c>
      <c r="H705" t="s">
        <v>112</v>
      </c>
      <c r="I705" t="s">
        <v>82</v>
      </c>
      <c r="J705" t="s">
        <v>83</v>
      </c>
      <c r="K705">
        <v>6450</v>
      </c>
      <c r="L705" t="s">
        <v>1879</v>
      </c>
      <c r="M705" t="s">
        <v>1879</v>
      </c>
      <c r="N705" t="s">
        <v>162</v>
      </c>
      <c r="O705" t="s">
        <v>162</v>
      </c>
      <c r="P705" t="s">
        <v>381</v>
      </c>
      <c r="Q705" t="s">
        <v>382</v>
      </c>
      <c r="R705" t="s">
        <v>1863</v>
      </c>
      <c r="S705" t="s">
        <v>118</v>
      </c>
      <c r="T705" t="s">
        <v>75</v>
      </c>
      <c r="U705" t="s">
        <v>76</v>
      </c>
      <c r="V705" t="s">
        <v>99</v>
      </c>
      <c r="W705" t="s">
        <v>76</v>
      </c>
      <c r="X705" t="s">
        <v>684</v>
      </c>
    </row>
    <row r="706" spans="1:24" x14ac:dyDescent="0.2">
      <c r="A706" t="s">
        <v>1880</v>
      </c>
      <c r="B706">
        <v>1080</v>
      </c>
      <c r="C706" t="s">
        <v>60</v>
      </c>
      <c r="D706" t="s">
        <v>156</v>
      </c>
      <c r="E706" t="s">
        <v>157</v>
      </c>
      <c r="F706" t="s">
        <v>158</v>
      </c>
      <c r="G706" t="s">
        <v>111</v>
      </c>
      <c r="H706" t="s">
        <v>112</v>
      </c>
      <c r="I706" t="s">
        <v>91</v>
      </c>
      <c r="J706" t="s">
        <v>92</v>
      </c>
      <c r="K706">
        <v>3550</v>
      </c>
      <c r="L706" t="s">
        <v>1881</v>
      </c>
      <c r="M706" t="s">
        <v>1881</v>
      </c>
      <c r="N706" t="s">
        <v>162</v>
      </c>
      <c r="O706" t="s">
        <v>162</v>
      </c>
      <c r="P706" t="s">
        <v>381</v>
      </c>
      <c r="Q706" t="s">
        <v>382</v>
      </c>
      <c r="R706" t="s">
        <v>165</v>
      </c>
      <c r="S706" t="s">
        <v>122</v>
      </c>
      <c r="T706" t="s">
        <v>97</v>
      </c>
      <c r="U706" t="s">
        <v>98</v>
      </c>
      <c r="V706" t="s">
        <v>99</v>
      </c>
      <c r="W706" t="s">
        <v>98</v>
      </c>
      <c r="X706" t="s">
        <v>100</v>
      </c>
    </row>
    <row r="707" spans="1:24" x14ac:dyDescent="0.2">
      <c r="A707" t="s">
        <v>1882</v>
      </c>
      <c r="B707">
        <v>1080</v>
      </c>
      <c r="C707" t="s">
        <v>60</v>
      </c>
      <c r="D707" t="s">
        <v>156</v>
      </c>
      <c r="E707" t="s">
        <v>157</v>
      </c>
      <c r="F707" t="s">
        <v>158</v>
      </c>
      <c r="G707" t="s">
        <v>111</v>
      </c>
      <c r="H707" t="s">
        <v>112</v>
      </c>
      <c r="I707" t="s">
        <v>102</v>
      </c>
      <c r="J707" t="s">
        <v>103</v>
      </c>
      <c r="K707">
        <v>3450</v>
      </c>
      <c r="L707" t="s">
        <v>1883</v>
      </c>
      <c r="M707" t="s">
        <v>1883</v>
      </c>
      <c r="N707" t="s">
        <v>162</v>
      </c>
      <c r="O707" t="s">
        <v>162</v>
      </c>
      <c r="P707" t="s">
        <v>381</v>
      </c>
      <c r="Q707" t="s">
        <v>382</v>
      </c>
      <c r="R707" t="s">
        <v>165</v>
      </c>
      <c r="S707" t="s">
        <v>126</v>
      </c>
      <c r="T707" t="s">
        <v>127</v>
      </c>
      <c r="U707" t="s">
        <v>128</v>
      </c>
      <c r="V707" t="s">
        <v>99</v>
      </c>
      <c r="W707" t="s">
        <v>128</v>
      </c>
      <c r="X707" t="s">
        <v>708</v>
      </c>
    </row>
    <row r="708" spans="1:24" x14ac:dyDescent="0.2">
      <c r="A708" t="s">
        <v>1884</v>
      </c>
      <c r="B708">
        <v>1080</v>
      </c>
      <c r="C708" t="s">
        <v>60</v>
      </c>
      <c r="D708" t="s">
        <v>156</v>
      </c>
      <c r="E708" t="s">
        <v>157</v>
      </c>
      <c r="F708" t="s">
        <v>158</v>
      </c>
      <c r="G708" t="s">
        <v>111</v>
      </c>
      <c r="H708" t="s">
        <v>112</v>
      </c>
      <c r="I708" t="s">
        <v>131</v>
      </c>
      <c r="J708" t="s">
        <v>132</v>
      </c>
      <c r="K708">
        <v>3950</v>
      </c>
      <c r="L708" t="s">
        <v>1885</v>
      </c>
      <c r="M708" t="s">
        <v>1885</v>
      </c>
      <c r="N708" t="s">
        <v>162</v>
      </c>
      <c r="O708" t="s">
        <v>162</v>
      </c>
      <c r="P708" t="s">
        <v>381</v>
      </c>
      <c r="Q708" t="s">
        <v>382</v>
      </c>
      <c r="R708" t="s">
        <v>165</v>
      </c>
      <c r="S708" t="s">
        <v>135</v>
      </c>
      <c r="T708" t="s">
        <v>136</v>
      </c>
      <c r="U708" t="s">
        <v>131</v>
      </c>
      <c r="V708" t="s">
        <v>99</v>
      </c>
      <c r="W708" t="s">
        <v>131</v>
      </c>
      <c r="X708" t="s">
        <v>660</v>
      </c>
    </row>
    <row r="709" spans="1:24" x14ac:dyDescent="0.2">
      <c r="A709" t="s">
        <v>1886</v>
      </c>
      <c r="B709">
        <v>1080</v>
      </c>
      <c r="C709" t="s">
        <v>60</v>
      </c>
      <c r="D709" t="s">
        <v>156</v>
      </c>
      <c r="E709" t="s">
        <v>157</v>
      </c>
      <c r="F709" t="s">
        <v>158</v>
      </c>
      <c r="G709" t="s">
        <v>111</v>
      </c>
      <c r="H709" t="s">
        <v>112</v>
      </c>
      <c r="I709" t="s">
        <v>139</v>
      </c>
      <c r="J709" t="s">
        <v>140</v>
      </c>
      <c r="K709">
        <v>3950</v>
      </c>
      <c r="L709" t="s">
        <v>1887</v>
      </c>
      <c r="M709" t="s">
        <v>1887</v>
      </c>
      <c r="N709" t="s">
        <v>162</v>
      </c>
      <c r="O709" t="s">
        <v>162</v>
      </c>
      <c r="P709" t="s">
        <v>381</v>
      </c>
      <c r="Q709" t="s">
        <v>382</v>
      </c>
      <c r="R709" t="s">
        <v>165</v>
      </c>
      <c r="S709" t="s">
        <v>143</v>
      </c>
      <c r="T709" t="s">
        <v>144</v>
      </c>
      <c r="U709" t="s">
        <v>139</v>
      </c>
      <c r="V709" t="s">
        <v>99</v>
      </c>
      <c r="W709" t="s">
        <v>139</v>
      </c>
      <c r="X709" t="s">
        <v>145</v>
      </c>
    </row>
    <row r="710" spans="1:24" x14ac:dyDescent="0.2">
      <c r="A710" t="s">
        <v>1888</v>
      </c>
      <c r="B710">
        <v>1080</v>
      </c>
      <c r="C710" t="s">
        <v>60</v>
      </c>
      <c r="D710" t="s">
        <v>156</v>
      </c>
      <c r="E710" t="s">
        <v>157</v>
      </c>
      <c r="F710" t="s">
        <v>158</v>
      </c>
      <c r="G710" t="s">
        <v>306</v>
      </c>
      <c r="H710" t="s">
        <v>307</v>
      </c>
      <c r="I710" t="s">
        <v>91</v>
      </c>
      <c r="J710" t="s">
        <v>92</v>
      </c>
      <c r="K710">
        <v>4250</v>
      </c>
      <c r="L710" t="s">
        <v>1889</v>
      </c>
      <c r="M710" t="s">
        <v>1889</v>
      </c>
      <c r="N710" t="s">
        <v>162</v>
      </c>
      <c r="O710" t="s">
        <v>162</v>
      </c>
      <c r="P710" t="s">
        <v>381</v>
      </c>
      <c r="Q710" t="s">
        <v>382</v>
      </c>
      <c r="R710" t="s">
        <v>165</v>
      </c>
      <c r="S710" t="s">
        <v>309</v>
      </c>
      <c r="T710" t="s">
        <v>97</v>
      </c>
      <c r="U710" t="s">
        <v>98</v>
      </c>
      <c r="V710" t="s">
        <v>99</v>
      </c>
      <c r="W710" t="s">
        <v>98</v>
      </c>
      <c r="X710" t="s">
        <v>100</v>
      </c>
    </row>
    <row r="711" spans="1:24" x14ac:dyDescent="0.2">
      <c r="A711" t="s">
        <v>1890</v>
      </c>
      <c r="B711">
        <v>1080</v>
      </c>
      <c r="C711" t="s">
        <v>60</v>
      </c>
      <c r="D711" t="s">
        <v>156</v>
      </c>
      <c r="E711" t="s">
        <v>157</v>
      </c>
      <c r="F711" t="s">
        <v>158</v>
      </c>
      <c r="G711" t="s">
        <v>306</v>
      </c>
      <c r="H711" t="s">
        <v>307</v>
      </c>
      <c r="I711" t="s">
        <v>102</v>
      </c>
      <c r="J711" t="s">
        <v>103</v>
      </c>
      <c r="K711">
        <v>4150</v>
      </c>
      <c r="L711" t="s">
        <v>1891</v>
      </c>
      <c r="M711" t="s">
        <v>1891</v>
      </c>
      <c r="N711" t="s">
        <v>162</v>
      </c>
      <c r="O711" t="s">
        <v>162</v>
      </c>
      <c r="P711" t="s">
        <v>381</v>
      </c>
      <c r="Q711" t="s">
        <v>382</v>
      </c>
      <c r="R711" t="s">
        <v>165</v>
      </c>
      <c r="S711" t="s">
        <v>312</v>
      </c>
      <c r="T711" t="s">
        <v>313</v>
      </c>
      <c r="U711" t="s">
        <v>314</v>
      </c>
      <c r="V711" t="s">
        <v>99</v>
      </c>
      <c r="W711" t="s">
        <v>314</v>
      </c>
      <c r="X711" t="s">
        <v>715</v>
      </c>
    </row>
    <row r="712" spans="1:24" x14ac:dyDescent="0.2">
      <c r="A712" t="s">
        <v>1892</v>
      </c>
      <c r="B712">
        <v>1080</v>
      </c>
      <c r="C712" t="s">
        <v>60</v>
      </c>
      <c r="D712" t="s">
        <v>156</v>
      </c>
      <c r="E712" t="s">
        <v>157</v>
      </c>
      <c r="F712" t="s">
        <v>158</v>
      </c>
      <c r="G712" t="s">
        <v>306</v>
      </c>
      <c r="H712" t="s">
        <v>307</v>
      </c>
      <c r="I712" t="s">
        <v>131</v>
      </c>
      <c r="J712" t="s">
        <v>132</v>
      </c>
      <c r="K712">
        <v>4650</v>
      </c>
      <c r="L712" t="s">
        <v>1893</v>
      </c>
      <c r="M712" t="s">
        <v>1893</v>
      </c>
      <c r="N712" t="s">
        <v>162</v>
      </c>
      <c r="O712" t="s">
        <v>162</v>
      </c>
      <c r="P712" t="s">
        <v>381</v>
      </c>
      <c r="Q712" t="s">
        <v>382</v>
      </c>
      <c r="R712" t="s">
        <v>165</v>
      </c>
      <c r="S712" t="s">
        <v>318</v>
      </c>
      <c r="T712" t="s">
        <v>136</v>
      </c>
      <c r="U712" t="s">
        <v>131</v>
      </c>
      <c r="V712" t="s">
        <v>99</v>
      </c>
      <c r="W712" t="s">
        <v>131</v>
      </c>
      <c r="X712" t="s">
        <v>660</v>
      </c>
    </row>
    <row r="713" spans="1:24" x14ac:dyDescent="0.2">
      <c r="A713" t="s">
        <v>1894</v>
      </c>
      <c r="B713">
        <v>1080</v>
      </c>
      <c r="C713" t="s">
        <v>60</v>
      </c>
      <c r="D713" t="s">
        <v>156</v>
      </c>
      <c r="E713" t="s">
        <v>157</v>
      </c>
      <c r="F713" t="s">
        <v>158</v>
      </c>
      <c r="G713" t="s">
        <v>306</v>
      </c>
      <c r="H713" t="s">
        <v>307</v>
      </c>
      <c r="I713" t="s">
        <v>139</v>
      </c>
      <c r="J713" t="s">
        <v>140</v>
      </c>
      <c r="K713">
        <v>4650</v>
      </c>
      <c r="L713" t="s">
        <v>1895</v>
      </c>
      <c r="M713" t="s">
        <v>1895</v>
      </c>
      <c r="N713" t="s">
        <v>162</v>
      </c>
      <c r="O713" t="s">
        <v>162</v>
      </c>
      <c r="P713" t="s">
        <v>381</v>
      </c>
      <c r="Q713" t="s">
        <v>382</v>
      </c>
      <c r="R713" t="s">
        <v>165</v>
      </c>
      <c r="S713" t="s">
        <v>321</v>
      </c>
      <c r="T713" t="s">
        <v>144</v>
      </c>
      <c r="U713" t="s">
        <v>139</v>
      </c>
      <c r="V713" t="s">
        <v>99</v>
      </c>
      <c r="W713" t="s">
        <v>139</v>
      </c>
      <c r="X713" t="s">
        <v>145</v>
      </c>
    </row>
    <row r="714" spans="1:24" x14ac:dyDescent="0.2">
      <c r="A714" t="s">
        <v>1896</v>
      </c>
      <c r="B714">
        <v>1080</v>
      </c>
      <c r="C714" t="s">
        <v>60</v>
      </c>
      <c r="D714" t="s">
        <v>156</v>
      </c>
      <c r="E714" t="s">
        <v>157</v>
      </c>
      <c r="F714" t="s">
        <v>158</v>
      </c>
      <c r="H714" t="s">
        <v>64</v>
      </c>
      <c r="I714" t="s">
        <v>131</v>
      </c>
      <c r="J714" t="s">
        <v>132</v>
      </c>
      <c r="K714">
        <v>3250</v>
      </c>
      <c r="L714" t="s">
        <v>1897</v>
      </c>
      <c r="M714" t="s">
        <v>1897</v>
      </c>
      <c r="N714" t="s">
        <v>162</v>
      </c>
      <c r="O714" t="s">
        <v>162</v>
      </c>
      <c r="P714" t="s">
        <v>381</v>
      </c>
      <c r="Q714" t="s">
        <v>382</v>
      </c>
      <c r="R714" t="s">
        <v>165</v>
      </c>
      <c r="S714" t="s">
        <v>149</v>
      </c>
      <c r="T714" t="s">
        <v>136</v>
      </c>
      <c r="U714" t="s">
        <v>131</v>
      </c>
      <c r="V714" t="s">
        <v>99</v>
      </c>
      <c r="W714" t="s">
        <v>131</v>
      </c>
      <c r="X714" t="s">
        <v>660</v>
      </c>
    </row>
    <row r="715" spans="1:24" x14ac:dyDescent="0.2">
      <c r="A715" t="s">
        <v>1898</v>
      </c>
      <c r="B715">
        <v>1080</v>
      </c>
      <c r="C715" t="s">
        <v>60</v>
      </c>
      <c r="D715" t="s">
        <v>156</v>
      </c>
      <c r="E715" t="s">
        <v>157</v>
      </c>
      <c r="F715" t="s">
        <v>158</v>
      </c>
      <c r="H715" t="s">
        <v>64</v>
      </c>
      <c r="I715" t="s">
        <v>139</v>
      </c>
      <c r="J715" t="s">
        <v>140</v>
      </c>
      <c r="K715">
        <v>3250</v>
      </c>
      <c r="L715" t="s">
        <v>1899</v>
      </c>
      <c r="M715" t="s">
        <v>1899</v>
      </c>
      <c r="N715" t="s">
        <v>162</v>
      </c>
      <c r="O715" t="s">
        <v>162</v>
      </c>
      <c r="P715" t="s">
        <v>381</v>
      </c>
      <c r="Q715" t="s">
        <v>382</v>
      </c>
      <c r="R715" t="s">
        <v>165</v>
      </c>
      <c r="S715" t="s">
        <v>153</v>
      </c>
      <c r="T715" t="s">
        <v>144</v>
      </c>
      <c r="U715" t="s">
        <v>139</v>
      </c>
      <c r="V715" t="s">
        <v>99</v>
      </c>
      <c r="W715" t="s">
        <v>139</v>
      </c>
      <c r="X715" t="s">
        <v>145</v>
      </c>
    </row>
    <row r="716" spans="1:24" x14ac:dyDescent="0.2">
      <c r="A716" t="s">
        <v>1900</v>
      </c>
      <c r="B716" t="s">
        <v>1901</v>
      </c>
      <c r="C716" t="s">
        <v>60</v>
      </c>
      <c r="D716" t="s">
        <v>61</v>
      </c>
      <c r="E716" t="s">
        <v>1212</v>
      </c>
      <c r="F716" t="s">
        <v>1213</v>
      </c>
      <c r="G716" t="s">
        <v>159</v>
      </c>
      <c r="H716" t="s">
        <v>160</v>
      </c>
      <c r="I716" t="s">
        <v>102</v>
      </c>
      <c r="J716" t="s">
        <v>103</v>
      </c>
      <c r="K716">
        <v>3850</v>
      </c>
      <c r="L716" t="s">
        <v>1902</v>
      </c>
      <c r="M716" t="s">
        <v>1902</v>
      </c>
      <c r="N716" t="s">
        <v>1568</v>
      </c>
      <c r="O716" t="s">
        <v>1568</v>
      </c>
      <c r="P716" t="s">
        <v>1569</v>
      </c>
      <c r="Q716" t="s">
        <v>1570</v>
      </c>
      <c r="R716" t="s">
        <v>1215</v>
      </c>
      <c r="S716" t="s">
        <v>166</v>
      </c>
      <c r="T716" t="s">
        <v>107</v>
      </c>
      <c r="U716" t="s">
        <v>108</v>
      </c>
      <c r="V716" t="s">
        <v>77</v>
      </c>
      <c r="W716" t="s">
        <v>108</v>
      </c>
      <c r="X716" t="s">
        <v>109</v>
      </c>
    </row>
    <row r="717" spans="1:24" x14ac:dyDescent="0.2">
      <c r="A717" t="s">
        <v>1903</v>
      </c>
      <c r="B717">
        <v>1083.33</v>
      </c>
      <c r="C717" t="s">
        <v>60</v>
      </c>
      <c r="D717" t="s">
        <v>61</v>
      </c>
      <c r="E717" t="s">
        <v>1904</v>
      </c>
      <c r="F717" t="s">
        <v>1905</v>
      </c>
      <c r="H717" t="s">
        <v>64</v>
      </c>
      <c r="I717" t="s">
        <v>65</v>
      </c>
      <c r="J717" t="s">
        <v>66</v>
      </c>
      <c r="K717">
        <v>6250</v>
      </c>
      <c r="L717" t="s">
        <v>1906</v>
      </c>
      <c r="M717" t="s">
        <v>1906</v>
      </c>
      <c r="N717" t="s">
        <v>432</v>
      </c>
      <c r="O717" t="s">
        <v>432</v>
      </c>
      <c r="P717" t="s">
        <v>433</v>
      </c>
      <c r="Q717" t="s">
        <v>434</v>
      </c>
      <c r="R717" t="s">
        <v>1907</v>
      </c>
      <c r="S717" t="s">
        <v>74</v>
      </c>
      <c r="T717" t="s">
        <v>75</v>
      </c>
      <c r="U717" t="s">
        <v>76</v>
      </c>
      <c r="V717" t="s">
        <v>99</v>
      </c>
      <c r="W717" t="s">
        <v>76</v>
      </c>
      <c r="X717" t="s">
        <v>684</v>
      </c>
    </row>
    <row r="718" spans="1:24" x14ac:dyDescent="0.2">
      <c r="A718" t="s">
        <v>1908</v>
      </c>
      <c r="B718">
        <v>1083.33</v>
      </c>
      <c r="C718" t="s">
        <v>60</v>
      </c>
      <c r="D718" t="s">
        <v>61</v>
      </c>
      <c r="E718" t="s">
        <v>1909</v>
      </c>
      <c r="F718" t="s">
        <v>1910</v>
      </c>
      <c r="H718" t="s">
        <v>64</v>
      </c>
      <c r="I718" t="s">
        <v>82</v>
      </c>
      <c r="J718" t="s">
        <v>83</v>
      </c>
      <c r="K718">
        <v>6750</v>
      </c>
      <c r="L718" t="s">
        <v>1911</v>
      </c>
      <c r="M718" t="s">
        <v>1911</v>
      </c>
      <c r="N718" t="s">
        <v>432</v>
      </c>
      <c r="O718" t="s">
        <v>432</v>
      </c>
      <c r="P718" t="s">
        <v>433</v>
      </c>
      <c r="Q718" t="s">
        <v>434</v>
      </c>
      <c r="R718" t="s">
        <v>1912</v>
      </c>
      <c r="S718" t="s">
        <v>87</v>
      </c>
      <c r="T718" t="s">
        <v>75</v>
      </c>
      <c r="U718" t="s">
        <v>76</v>
      </c>
      <c r="V718" t="s">
        <v>99</v>
      </c>
      <c r="W718" t="s">
        <v>76</v>
      </c>
      <c r="X718" t="s">
        <v>684</v>
      </c>
    </row>
    <row r="719" spans="1:24" x14ac:dyDescent="0.2">
      <c r="A719" t="s">
        <v>1913</v>
      </c>
      <c r="B719">
        <v>1083.33</v>
      </c>
      <c r="C719" t="s">
        <v>60</v>
      </c>
      <c r="D719" t="s">
        <v>61</v>
      </c>
      <c r="E719" t="s">
        <v>253</v>
      </c>
      <c r="F719" t="s">
        <v>254</v>
      </c>
      <c r="H719" t="s">
        <v>64</v>
      </c>
      <c r="I719" t="s">
        <v>91</v>
      </c>
      <c r="J719" t="s">
        <v>92</v>
      </c>
      <c r="K719">
        <v>3850</v>
      </c>
      <c r="L719" t="s">
        <v>1914</v>
      </c>
      <c r="M719" t="s">
        <v>1914</v>
      </c>
      <c r="N719" t="s">
        <v>432</v>
      </c>
      <c r="O719" t="s">
        <v>432</v>
      </c>
      <c r="P719" t="s">
        <v>433</v>
      </c>
      <c r="Q719" t="s">
        <v>434</v>
      </c>
      <c r="R719" t="s">
        <v>258</v>
      </c>
      <c r="S719" t="s">
        <v>96</v>
      </c>
      <c r="T719" t="s">
        <v>97</v>
      </c>
      <c r="U719" t="s">
        <v>98</v>
      </c>
      <c r="V719" t="s">
        <v>99</v>
      </c>
      <c r="W719" t="s">
        <v>98</v>
      </c>
      <c r="X719" t="s">
        <v>100</v>
      </c>
    </row>
    <row r="720" spans="1:24" x14ac:dyDescent="0.2">
      <c r="A720" t="s">
        <v>1915</v>
      </c>
      <c r="B720">
        <v>1083.33</v>
      </c>
      <c r="C720" t="s">
        <v>60</v>
      </c>
      <c r="D720" t="s">
        <v>61</v>
      </c>
      <c r="E720" t="s">
        <v>253</v>
      </c>
      <c r="F720" t="s">
        <v>254</v>
      </c>
      <c r="H720" t="s">
        <v>64</v>
      </c>
      <c r="I720" t="s">
        <v>102</v>
      </c>
      <c r="J720" t="s">
        <v>103</v>
      </c>
      <c r="K720">
        <v>3750</v>
      </c>
      <c r="L720" t="s">
        <v>1916</v>
      </c>
      <c r="M720" t="s">
        <v>1916</v>
      </c>
      <c r="N720" t="s">
        <v>432</v>
      </c>
      <c r="O720" t="s">
        <v>432</v>
      </c>
      <c r="P720" t="s">
        <v>433</v>
      </c>
      <c r="Q720" t="s">
        <v>434</v>
      </c>
      <c r="R720" t="s">
        <v>258</v>
      </c>
      <c r="S720" t="s">
        <v>106</v>
      </c>
      <c r="T720" t="s">
        <v>107</v>
      </c>
      <c r="U720" t="s">
        <v>108</v>
      </c>
      <c r="V720" t="s">
        <v>99</v>
      </c>
      <c r="W720" t="s">
        <v>108</v>
      </c>
      <c r="X720" t="s">
        <v>693</v>
      </c>
    </row>
    <row r="721" spans="1:24" x14ac:dyDescent="0.2">
      <c r="A721" t="s">
        <v>1917</v>
      </c>
      <c r="B721">
        <v>1083.33</v>
      </c>
      <c r="C721" t="s">
        <v>60</v>
      </c>
      <c r="D721" t="s">
        <v>61</v>
      </c>
      <c r="E721" t="s">
        <v>1904</v>
      </c>
      <c r="F721" t="s">
        <v>1905</v>
      </c>
      <c r="G721" t="s">
        <v>111</v>
      </c>
      <c r="H721" t="s">
        <v>112</v>
      </c>
      <c r="I721" t="s">
        <v>65</v>
      </c>
      <c r="J721" t="s">
        <v>66</v>
      </c>
      <c r="K721">
        <v>6950</v>
      </c>
      <c r="L721" t="s">
        <v>1918</v>
      </c>
      <c r="M721" t="s">
        <v>1918</v>
      </c>
      <c r="N721" t="s">
        <v>432</v>
      </c>
      <c r="O721" t="s">
        <v>432</v>
      </c>
      <c r="P721" t="s">
        <v>433</v>
      </c>
      <c r="Q721" t="s">
        <v>434</v>
      </c>
      <c r="R721" t="s">
        <v>1907</v>
      </c>
      <c r="S721" t="s">
        <v>114</v>
      </c>
      <c r="T721" t="s">
        <v>75</v>
      </c>
      <c r="U721" t="s">
        <v>76</v>
      </c>
      <c r="V721" t="s">
        <v>99</v>
      </c>
      <c r="W721" t="s">
        <v>76</v>
      </c>
      <c r="X721" t="s">
        <v>684</v>
      </c>
    </row>
    <row r="722" spans="1:24" x14ac:dyDescent="0.2">
      <c r="A722" t="s">
        <v>1919</v>
      </c>
      <c r="B722">
        <v>1083.33</v>
      </c>
      <c r="C722" t="s">
        <v>60</v>
      </c>
      <c r="D722" t="s">
        <v>61</v>
      </c>
      <c r="E722" t="s">
        <v>1909</v>
      </c>
      <c r="F722" t="s">
        <v>1910</v>
      </c>
      <c r="G722" t="s">
        <v>111</v>
      </c>
      <c r="H722" t="s">
        <v>112</v>
      </c>
      <c r="I722" t="s">
        <v>82</v>
      </c>
      <c r="J722" t="s">
        <v>83</v>
      </c>
      <c r="K722">
        <v>7450</v>
      </c>
      <c r="L722" t="s">
        <v>1920</v>
      </c>
      <c r="M722" t="s">
        <v>1920</v>
      </c>
      <c r="N722" t="s">
        <v>432</v>
      </c>
      <c r="O722" t="s">
        <v>432</v>
      </c>
      <c r="P722" t="s">
        <v>433</v>
      </c>
      <c r="Q722" t="s">
        <v>434</v>
      </c>
      <c r="R722" t="s">
        <v>1912</v>
      </c>
      <c r="S722" t="s">
        <v>118</v>
      </c>
      <c r="T722" t="s">
        <v>75</v>
      </c>
      <c r="U722" t="s">
        <v>76</v>
      </c>
      <c r="V722" t="s">
        <v>99</v>
      </c>
      <c r="W722" t="s">
        <v>76</v>
      </c>
      <c r="X722" t="s">
        <v>684</v>
      </c>
    </row>
    <row r="723" spans="1:24" x14ac:dyDescent="0.2">
      <c r="A723" t="s">
        <v>1921</v>
      </c>
      <c r="B723">
        <v>1083.33</v>
      </c>
      <c r="C723" t="s">
        <v>60</v>
      </c>
      <c r="D723" t="s">
        <v>61</v>
      </c>
      <c r="E723" t="s">
        <v>253</v>
      </c>
      <c r="F723" t="s">
        <v>254</v>
      </c>
      <c r="G723" t="s">
        <v>111</v>
      </c>
      <c r="H723" t="s">
        <v>112</v>
      </c>
      <c r="I723" t="s">
        <v>91</v>
      </c>
      <c r="J723" t="s">
        <v>92</v>
      </c>
      <c r="K723">
        <v>4550</v>
      </c>
      <c r="L723" t="s">
        <v>1922</v>
      </c>
      <c r="M723" t="s">
        <v>1922</v>
      </c>
      <c r="N723" t="s">
        <v>432</v>
      </c>
      <c r="O723" t="s">
        <v>432</v>
      </c>
      <c r="P723" t="s">
        <v>433</v>
      </c>
      <c r="Q723" t="s">
        <v>434</v>
      </c>
      <c r="R723" t="s">
        <v>258</v>
      </c>
      <c r="S723" t="s">
        <v>122</v>
      </c>
      <c r="T723" t="s">
        <v>97</v>
      </c>
      <c r="U723" t="s">
        <v>98</v>
      </c>
      <c r="V723" t="s">
        <v>99</v>
      </c>
      <c r="W723" t="s">
        <v>98</v>
      </c>
      <c r="X723" t="s">
        <v>100</v>
      </c>
    </row>
    <row r="724" spans="1:24" x14ac:dyDescent="0.2">
      <c r="A724" t="s">
        <v>1923</v>
      </c>
      <c r="B724">
        <v>1083.33</v>
      </c>
      <c r="C724" t="s">
        <v>60</v>
      </c>
      <c r="D724" t="s">
        <v>61</v>
      </c>
      <c r="E724" t="s">
        <v>253</v>
      </c>
      <c r="F724" t="s">
        <v>254</v>
      </c>
      <c r="G724" t="s">
        <v>111</v>
      </c>
      <c r="H724" t="s">
        <v>112</v>
      </c>
      <c r="I724" t="s">
        <v>102</v>
      </c>
      <c r="J724" t="s">
        <v>103</v>
      </c>
      <c r="K724">
        <v>4450</v>
      </c>
      <c r="L724" t="s">
        <v>1924</v>
      </c>
      <c r="M724" t="s">
        <v>1924</v>
      </c>
      <c r="N724" t="s">
        <v>432</v>
      </c>
      <c r="O724" t="s">
        <v>432</v>
      </c>
      <c r="P724" t="s">
        <v>433</v>
      </c>
      <c r="Q724" t="s">
        <v>434</v>
      </c>
      <c r="R724" t="s">
        <v>258</v>
      </c>
      <c r="S724" t="s">
        <v>126</v>
      </c>
      <c r="T724" t="s">
        <v>127</v>
      </c>
      <c r="U724" t="s">
        <v>128</v>
      </c>
      <c r="V724" t="s">
        <v>99</v>
      </c>
      <c r="W724" t="s">
        <v>128</v>
      </c>
      <c r="X724" t="s">
        <v>708</v>
      </c>
    </row>
    <row r="725" spans="1:24" x14ac:dyDescent="0.2">
      <c r="A725" t="s">
        <v>1925</v>
      </c>
      <c r="B725">
        <v>1083.33</v>
      </c>
      <c r="C725" t="s">
        <v>60</v>
      </c>
      <c r="D725" t="s">
        <v>61</v>
      </c>
      <c r="E725" t="s">
        <v>253</v>
      </c>
      <c r="F725" t="s">
        <v>254</v>
      </c>
      <c r="G725" t="s">
        <v>111</v>
      </c>
      <c r="H725" t="s">
        <v>112</v>
      </c>
      <c r="I725" t="s">
        <v>131</v>
      </c>
      <c r="J725" t="s">
        <v>132</v>
      </c>
      <c r="K725">
        <v>4950</v>
      </c>
      <c r="L725" t="s">
        <v>1926</v>
      </c>
      <c r="M725" t="s">
        <v>1926</v>
      </c>
      <c r="N725" t="s">
        <v>432</v>
      </c>
      <c r="O725" t="s">
        <v>432</v>
      </c>
      <c r="P725" t="s">
        <v>433</v>
      </c>
      <c r="Q725" t="s">
        <v>434</v>
      </c>
      <c r="R725" t="s">
        <v>258</v>
      </c>
      <c r="S725" t="s">
        <v>135</v>
      </c>
      <c r="T725" t="s">
        <v>136</v>
      </c>
      <c r="U725" t="s">
        <v>131</v>
      </c>
      <c r="V725" t="s">
        <v>99</v>
      </c>
      <c r="W725" t="s">
        <v>131</v>
      </c>
      <c r="X725" t="s">
        <v>660</v>
      </c>
    </row>
    <row r="726" spans="1:24" x14ac:dyDescent="0.2">
      <c r="A726" t="s">
        <v>1927</v>
      </c>
      <c r="B726">
        <v>1083.33</v>
      </c>
      <c r="C726" t="s">
        <v>60</v>
      </c>
      <c r="D726" t="s">
        <v>61</v>
      </c>
      <c r="E726" t="s">
        <v>253</v>
      </c>
      <c r="F726" t="s">
        <v>254</v>
      </c>
      <c r="H726" t="s">
        <v>64</v>
      </c>
      <c r="I726" t="s">
        <v>131</v>
      </c>
      <c r="J726" t="s">
        <v>132</v>
      </c>
      <c r="K726">
        <v>4250</v>
      </c>
      <c r="L726" t="s">
        <v>1928</v>
      </c>
      <c r="M726" t="s">
        <v>1928</v>
      </c>
      <c r="N726" t="s">
        <v>432</v>
      </c>
      <c r="O726" t="s">
        <v>432</v>
      </c>
      <c r="P726" t="s">
        <v>433</v>
      </c>
      <c r="Q726" t="s">
        <v>434</v>
      </c>
      <c r="R726" t="s">
        <v>258</v>
      </c>
      <c r="S726" t="s">
        <v>149</v>
      </c>
      <c r="T726" t="s">
        <v>136</v>
      </c>
      <c r="U726" t="s">
        <v>131</v>
      </c>
      <c r="V726" t="s">
        <v>99</v>
      </c>
      <c r="W726" t="s">
        <v>131</v>
      </c>
      <c r="X726" t="s">
        <v>660</v>
      </c>
    </row>
    <row r="727" spans="1:24" x14ac:dyDescent="0.2">
      <c r="A727" t="s">
        <v>1929</v>
      </c>
      <c r="B727">
        <v>1083.33</v>
      </c>
      <c r="C727" t="s">
        <v>60</v>
      </c>
      <c r="D727" t="s">
        <v>156</v>
      </c>
      <c r="E727" t="s">
        <v>445</v>
      </c>
      <c r="F727" t="s">
        <v>502</v>
      </c>
      <c r="H727" t="s">
        <v>64</v>
      </c>
      <c r="I727" t="s">
        <v>642</v>
      </c>
      <c r="J727" t="s">
        <v>643</v>
      </c>
      <c r="K727">
        <v>2900</v>
      </c>
      <c r="L727" t="s">
        <v>1930</v>
      </c>
      <c r="M727" t="s">
        <v>1930</v>
      </c>
      <c r="N727" t="s">
        <v>432</v>
      </c>
      <c r="O727" t="s">
        <v>432</v>
      </c>
      <c r="P727" t="s">
        <v>433</v>
      </c>
      <c r="Q727" t="s">
        <v>434</v>
      </c>
      <c r="R727" t="s">
        <v>504</v>
      </c>
      <c r="S727" t="s">
        <v>645</v>
      </c>
      <c r="T727" t="s">
        <v>646</v>
      </c>
      <c r="U727" t="s">
        <v>647</v>
      </c>
      <c r="V727" t="s">
        <v>99</v>
      </c>
      <c r="W727" t="s">
        <v>647</v>
      </c>
      <c r="X727" t="s">
        <v>679</v>
      </c>
    </row>
    <row r="728" spans="1:24" x14ac:dyDescent="0.2">
      <c r="A728" t="s">
        <v>1931</v>
      </c>
      <c r="B728">
        <v>1083.33</v>
      </c>
      <c r="C728" t="s">
        <v>60</v>
      </c>
      <c r="D728" t="s">
        <v>156</v>
      </c>
      <c r="E728" t="s">
        <v>1711</v>
      </c>
      <c r="F728" t="s">
        <v>1712</v>
      </c>
      <c r="H728" t="s">
        <v>64</v>
      </c>
      <c r="I728" t="s">
        <v>65</v>
      </c>
      <c r="J728" t="s">
        <v>66</v>
      </c>
      <c r="K728">
        <v>5250</v>
      </c>
      <c r="L728" t="s">
        <v>1932</v>
      </c>
      <c r="M728" t="s">
        <v>1932</v>
      </c>
      <c r="N728" t="s">
        <v>432</v>
      </c>
      <c r="O728" t="s">
        <v>432</v>
      </c>
      <c r="P728" t="s">
        <v>433</v>
      </c>
      <c r="Q728" t="s">
        <v>434</v>
      </c>
      <c r="R728" t="s">
        <v>1714</v>
      </c>
      <c r="S728" t="s">
        <v>74</v>
      </c>
      <c r="T728" t="s">
        <v>75</v>
      </c>
      <c r="U728" t="s">
        <v>76</v>
      </c>
      <c r="V728" t="s">
        <v>99</v>
      </c>
      <c r="W728" t="s">
        <v>76</v>
      </c>
      <c r="X728" t="s">
        <v>684</v>
      </c>
    </row>
    <row r="729" spans="1:24" x14ac:dyDescent="0.2">
      <c r="A729" t="s">
        <v>1933</v>
      </c>
      <c r="B729">
        <v>1083.33</v>
      </c>
      <c r="C729" t="s">
        <v>60</v>
      </c>
      <c r="D729" t="s">
        <v>156</v>
      </c>
      <c r="E729" t="s">
        <v>1860</v>
      </c>
      <c r="F729" t="s">
        <v>1861</v>
      </c>
      <c r="H729" t="s">
        <v>64</v>
      </c>
      <c r="I729" t="s">
        <v>82</v>
      </c>
      <c r="J729" t="s">
        <v>83</v>
      </c>
      <c r="K729">
        <v>5750</v>
      </c>
      <c r="L729" t="s">
        <v>1934</v>
      </c>
      <c r="M729" t="s">
        <v>1934</v>
      </c>
      <c r="N729" t="s">
        <v>432</v>
      </c>
      <c r="O729" t="s">
        <v>432</v>
      </c>
      <c r="P729" t="s">
        <v>433</v>
      </c>
      <c r="Q729" t="s">
        <v>434</v>
      </c>
      <c r="R729" t="s">
        <v>1863</v>
      </c>
      <c r="S729" t="s">
        <v>87</v>
      </c>
      <c r="T729" t="s">
        <v>75</v>
      </c>
      <c r="U729" t="s">
        <v>76</v>
      </c>
      <c r="V729" t="s">
        <v>99</v>
      </c>
      <c r="W729" t="s">
        <v>76</v>
      </c>
      <c r="X729" t="s">
        <v>684</v>
      </c>
    </row>
    <row r="730" spans="1:24" x14ac:dyDescent="0.2">
      <c r="A730" t="s">
        <v>1935</v>
      </c>
      <c r="B730">
        <v>1083.33</v>
      </c>
      <c r="C730" t="s">
        <v>60</v>
      </c>
      <c r="D730" t="s">
        <v>156</v>
      </c>
      <c r="E730" t="s">
        <v>445</v>
      </c>
      <c r="F730" t="s">
        <v>502</v>
      </c>
      <c r="H730" t="s">
        <v>64</v>
      </c>
      <c r="I730" t="s">
        <v>91</v>
      </c>
      <c r="J730" t="s">
        <v>92</v>
      </c>
      <c r="K730">
        <v>2850</v>
      </c>
      <c r="L730" t="s">
        <v>1936</v>
      </c>
      <c r="M730" t="s">
        <v>1936</v>
      </c>
      <c r="N730" t="s">
        <v>432</v>
      </c>
      <c r="O730" t="s">
        <v>432</v>
      </c>
      <c r="P730" t="s">
        <v>433</v>
      </c>
      <c r="Q730" t="s">
        <v>434</v>
      </c>
      <c r="R730" t="s">
        <v>504</v>
      </c>
      <c r="S730" t="s">
        <v>96</v>
      </c>
      <c r="T730" t="s">
        <v>97</v>
      </c>
      <c r="U730" t="s">
        <v>98</v>
      </c>
      <c r="V730" t="s">
        <v>99</v>
      </c>
      <c r="W730" t="s">
        <v>98</v>
      </c>
      <c r="X730" t="s">
        <v>100</v>
      </c>
    </row>
    <row r="731" spans="1:24" x14ac:dyDescent="0.2">
      <c r="A731" t="s">
        <v>1937</v>
      </c>
      <c r="B731">
        <v>1083.33</v>
      </c>
      <c r="C731" t="s">
        <v>60</v>
      </c>
      <c r="D731" t="s">
        <v>156</v>
      </c>
      <c r="E731" t="s">
        <v>445</v>
      </c>
      <c r="F731" t="s">
        <v>502</v>
      </c>
      <c r="H731" t="s">
        <v>64</v>
      </c>
      <c r="I731" t="s">
        <v>102</v>
      </c>
      <c r="J731" t="s">
        <v>103</v>
      </c>
      <c r="K731">
        <v>2750</v>
      </c>
      <c r="L731" t="s">
        <v>1938</v>
      </c>
      <c r="M731" t="s">
        <v>1938</v>
      </c>
      <c r="N731" t="s">
        <v>432</v>
      </c>
      <c r="O731" t="s">
        <v>432</v>
      </c>
      <c r="P731" t="s">
        <v>433</v>
      </c>
      <c r="Q731" t="s">
        <v>434</v>
      </c>
      <c r="R731" t="s">
        <v>504</v>
      </c>
      <c r="S731" t="s">
        <v>106</v>
      </c>
      <c r="T731" t="s">
        <v>107</v>
      </c>
      <c r="U731" t="s">
        <v>108</v>
      </c>
      <c r="V731" t="s">
        <v>99</v>
      </c>
      <c r="W731" t="s">
        <v>108</v>
      </c>
      <c r="X731" t="s">
        <v>693</v>
      </c>
    </row>
    <row r="732" spans="1:24" x14ac:dyDescent="0.2">
      <c r="A732" t="s">
        <v>1939</v>
      </c>
      <c r="B732">
        <v>1083.33</v>
      </c>
      <c r="C732" t="s">
        <v>60</v>
      </c>
      <c r="D732" t="s">
        <v>156</v>
      </c>
      <c r="E732" t="s">
        <v>445</v>
      </c>
      <c r="F732" t="s">
        <v>502</v>
      </c>
      <c r="G732" t="s">
        <v>156</v>
      </c>
      <c r="H732" t="s">
        <v>278</v>
      </c>
      <c r="I732" t="s">
        <v>91</v>
      </c>
      <c r="J732" t="s">
        <v>92</v>
      </c>
      <c r="K732">
        <v>3550</v>
      </c>
      <c r="L732" t="s">
        <v>1940</v>
      </c>
      <c r="M732" t="s">
        <v>1940</v>
      </c>
      <c r="N732" t="s">
        <v>432</v>
      </c>
      <c r="O732" t="s">
        <v>432</v>
      </c>
      <c r="P732" t="s">
        <v>433</v>
      </c>
      <c r="Q732" t="s">
        <v>434</v>
      </c>
      <c r="R732" t="s">
        <v>504</v>
      </c>
      <c r="S732" t="s">
        <v>280</v>
      </c>
      <c r="T732" t="s">
        <v>97</v>
      </c>
      <c r="U732" t="s">
        <v>98</v>
      </c>
      <c r="V732" t="s">
        <v>99</v>
      </c>
      <c r="W732" t="s">
        <v>98</v>
      </c>
      <c r="X732" t="s">
        <v>100</v>
      </c>
    </row>
    <row r="733" spans="1:24" x14ac:dyDescent="0.2">
      <c r="A733" t="s">
        <v>1941</v>
      </c>
      <c r="B733">
        <v>1083.33</v>
      </c>
      <c r="C733" t="s">
        <v>60</v>
      </c>
      <c r="D733" t="s">
        <v>156</v>
      </c>
      <c r="E733" t="s">
        <v>445</v>
      </c>
      <c r="F733" t="s">
        <v>502</v>
      </c>
      <c r="G733" t="s">
        <v>156</v>
      </c>
      <c r="H733" t="s">
        <v>278</v>
      </c>
      <c r="I733" t="s">
        <v>102</v>
      </c>
      <c r="J733" t="s">
        <v>103</v>
      </c>
      <c r="K733">
        <v>3450</v>
      </c>
      <c r="L733" t="s">
        <v>1942</v>
      </c>
      <c r="M733" t="s">
        <v>1942</v>
      </c>
      <c r="N733" t="s">
        <v>432</v>
      </c>
      <c r="O733" t="s">
        <v>432</v>
      </c>
      <c r="P733" t="s">
        <v>433</v>
      </c>
      <c r="Q733" t="s">
        <v>434</v>
      </c>
      <c r="R733" t="s">
        <v>504</v>
      </c>
      <c r="S733" t="s">
        <v>283</v>
      </c>
      <c r="T733" t="s">
        <v>284</v>
      </c>
      <c r="U733" t="s">
        <v>285</v>
      </c>
      <c r="V733" t="s">
        <v>99</v>
      </c>
      <c r="W733" t="s">
        <v>285</v>
      </c>
      <c r="X733" t="s">
        <v>672</v>
      </c>
    </row>
    <row r="734" spans="1:24" x14ac:dyDescent="0.2">
      <c r="A734" t="s">
        <v>1943</v>
      </c>
      <c r="B734">
        <v>1083.33</v>
      </c>
      <c r="C734" t="s">
        <v>60</v>
      </c>
      <c r="D734" t="s">
        <v>156</v>
      </c>
      <c r="E734" t="s">
        <v>445</v>
      </c>
      <c r="F734" t="s">
        <v>502</v>
      </c>
      <c r="G734" t="s">
        <v>156</v>
      </c>
      <c r="H734" t="s">
        <v>278</v>
      </c>
      <c r="I734" t="s">
        <v>131</v>
      </c>
      <c r="J734" t="s">
        <v>132</v>
      </c>
      <c r="K734">
        <v>3950</v>
      </c>
      <c r="L734" t="s">
        <v>1944</v>
      </c>
      <c r="M734" t="s">
        <v>1944</v>
      </c>
      <c r="N734" t="s">
        <v>432</v>
      </c>
      <c r="O734" t="s">
        <v>432</v>
      </c>
      <c r="P734" t="s">
        <v>433</v>
      </c>
      <c r="Q734" t="s">
        <v>434</v>
      </c>
      <c r="R734" t="s">
        <v>504</v>
      </c>
      <c r="S734" t="s">
        <v>289</v>
      </c>
      <c r="T734" t="s">
        <v>136</v>
      </c>
      <c r="U734" t="s">
        <v>131</v>
      </c>
      <c r="V734" t="s">
        <v>99</v>
      </c>
      <c r="W734" t="s">
        <v>131</v>
      </c>
      <c r="X734" t="s">
        <v>660</v>
      </c>
    </row>
    <row r="735" spans="1:24" x14ac:dyDescent="0.2">
      <c r="A735" t="s">
        <v>1945</v>
      </c>
      <c r="B735">
        <v>1083.33</v>
      </c>
      <c r="C735" t="s">
        <v>60</v>
      </c>
      <c r="D735" t="s">
        <v>156</v>
      </c>
      <c r="E735" t="s">
        <v>445</v>
      </c>
      <c r="F735" t="s">
        <v>502</v>
      </c>
      <c r="G735" t="s">
        <v>156</v>
      </c>
      <c r="H735" t="s">
        <v>278</v>
      </c>
      <c r="I735" t="s">
        <v>139</v>
      </c>
      <c r="J735" t="s">
        <v>140</v>
      </c>
      <c r="K735">
        <v>3950</v>
      </c>
      <c r="L735" t="s">
        <v>1946</v>
      </c>
      <c r="M735" t="s">
        <v>1946</v>
      </c>
      <c r="N735" t="s">
        <v>432</v>
      </c>
      <c r="O735" t="s">
        <v>432</v>
      </c>
      <c r="P735" t="s">
        <v>433</v>
      </c>
      <c r="Q735" t="s">
        <v>434</v>
      </c>
      <c r="R735" t="s">
        <v>504</v>
      </c>
      <c r="S735" t="s">
        <v>292</v>
      </c>
      <c r="T735" t="s">
        <v>144</v>
      </c>
      <c r="U735" t="s">
        <v>139</v>
      </c>
      <c r="V735" t="s">
        <v>99</v>
      </c>
      <c r="W735" t="s">
        <v>139</v>
      </c>
      <c r="X735" t="s">
        <v>145</v>
      </c>
    </row>
    <row r="736" spans="1:24" x14ac:dyDescent="0.2">
      <c r="A736" t="s">
        <v>1947</v>
      </c>
      <c r="B736">
        <v>1083.33</v>
      </c>
      <c r="C736" t="s">
        <v>60</v>
      </c>
      <c r="D736" t="s">
        <v>156</v>
      </c>
      <c r="E736" t="s">
        <v>1711</v>
      </c>
      <c r="F736" t="s">
        <v>1712</v>
      </c>
      <c r="G736" t="s">
        <v>111</v>
      </c>
      <c r="H736" t="s">
        <v>112</v>
      </c>
      <c r="I736" t="s">
        <v>65</v>
      </c>
      <c r="J736" t="s">
        <v>66</v>
      </c>
      <c r="K736">
        <v>5950</v>
      </c>
      <c r="L736" t="s">
        <v>1948</v>
      </c>
      <c r="M736" t="s">
        <v>1948</v>
      </c>
      <c r="N736" t="s">
        <v>432</v>
      </c>
      <c r="O736" t="s">
        <v>432</v>
      </c>
      <c r="P736" t="s">
        <v>433</v>
      </c>
      <c r="Q736" t="s">
        <v>434</v>
      </c>
      <c r="R736" t="s">
        <v>1714</v>
      </c>
      <c r="S736" t="s">
        <v>114</v>
      </c>
      <c r="T736" t="s">
        <v>75</v>
      </c>
      <c r="U736" t="s">
        <v>76</v>
      </c>
      <c r="V736" t="s">
        <v>99</v>
      </c>
      <c r="W736" t="s">
        <v>76</v>
      </c>
      <c r="X736" t="s">
        <v>684</v>
      </c>
    </row>
    <row r="737" spans="1:24" x14ac:dyDescent="0.2">
      <c r="A737" t="s">
        <v>1949</v>
      </c>
      <c r="B737">
        <v>1083.33</v>
      </c>
      <c r="C737" t="s">
        <v>60</v>
      </c>
      <c r="D737" t="s">
        <v>156</v>
      </c>
      <c r="E737" t="s">
        <v>1860</v>
      </c>
      <c r="F737" t="s">
        <v>1861</v>
      </c>
      <c r="G737" t="s">
        <v>111</v>
      </c>
      <c r="H737" t="s">
        <v>112</v>
      </c>
      <c r="I737" t="s">
        <v>82</v>
      </c>
      <c r="J737" t="s">
        <v>83</v>
      </c>
      <c r="K737">
        <v>6450</v>
      </c>
      <c r="L737" t="s">
        <v>1950</v>
      </c>
      <c r="M737" t="s">
        <v>1950</v>
      </c>
      <c r="N737" t="s">
        <v>432</v>
      </c>
      <c r="O737" t="s">
        <v>432</v>
      </c>
      <c r="P737" t="s">
        <v>433</v>
      </c>
      <c r="Q737" t="s">
        <v>434</v>
      </c>
      <c r="R737" t="s">
        <v>1863</v>
      </c>
      <c r="S737" t="s">
        <v>118</v>
      </c>
      <c r="T737" t="s">
        <v>75</v>
      </c>
      <c r="U737" t="s">
        <v>76</v>
      </c>
      <c r="V737" t="s">
        <v>99</v>
      </c>
      <c r="W737" t="s">
        <v>76</v>
      </c>
      <c r="X737" t="s">
        <v>684</v>
      </c>
    </row>
    <row r="738" spans="1:24" x14ac:dyDescent="0.2">
      <c r="A738" t="s">
        <v>1951</v>
      </c>
      <c r="B738">
        <v>1083.33</v>
      </c>
      <c r="C738" t="s">
        <v>60</v>
      </c>
      <c r="D738" t="s">
        <v>156</v>
      </c>
      <c r="E738" t="s">
        <v>445</v>
      </c>
      <c r="F738" t="s">
        <v>502</v>
      </c>
      <c r="G738" t="s">
        <v>111</v>
      </c>
      <c r="H738" t="s">
        <v>112</v>
      </c>
      <c r="I738" t="s">
        <v>91</v>
      </c>
      <c r="J738" t="s">
        <v>92</v>
      </c>
      <c r="K738">
        <v>3550</v>
      </c>
      <c r="L738" t="s">
        <v>1952</v>
      </c>
      <c r="M738" t="s">
        <v>1952</v>
      </c>
      <c r="N738" t="s">
        <v>432</v>
      </c>
      <c r="O738" t="s">
        <v>432</v>
      </c>
      <c r="P738" t="s">
        <v>433</v>
      </c>
      <c r="Q738" t="s">
        <v>434</v>
      </c>
      <c r="R738" t="s">
        <v>504</v>
      </c>
      <c r="S738" t="s">
        <v>122</v>
      </c>
      <c r="T738" t="s">
        <v>97</v>
      </c>
      <c r="U738" t="s">
        <v>98</v>
      </c>
      <c r="V738" t="s">
        <v>99</v>
      </c>
      <c r="W738" t="s">
        <v>98</v>
      </c>
      <c r="X738" t="s">
        <v>100</v>
      </c>
    </row>
    <row r="739" spans="1:24" x14ac:dyDescent="0.2">
      <c r="A739" t="s">
        <v>1953</v>
      </c>
      <c r="B739">
        <v>1083.33</v>
      </c>
      <c r="C739" t="s">
        <v>60</v>
      </c>
      <c r="D739" t="s">
        <v>156</v>
      </c>
      <c r="E739" t="s">
        <v>445</v>
      </c>
      <c r="F739" t="s">
        <v>502</v>
      </c>
      <c r="G739" t="s">
        <v>111</v>
      </c>
      <c r="H739" t="s">
        <v>112</v>
      </c>
      <c r="I739" t="s">
        <v>102</v>
      </c>
      <c r="J739" t="s">
        <v>103</v>
      </c>
      <c r="K739">
        <v>3450</v>
      </c>
      <c r="L739" t="s">
        <v>1954</v>
      </c>
      <c r="M739" t="s">
        <v>1954</v>
      </c>
      <c r="N739" t="s">
        <v>432</v>
      </c>
      <c r="O739" t="s">
        <v>432</v>
      </c>
      <c r="P739" t="s">
        <v>433</v>
      </c>
      <c r="Q739" t="s">
        <v>434</v>
      </c>
      <c r="R739" t="s">
        <v>504</v>
      </c>
      <c r="S739" t="s">
        <v>126</v>
      </c>
      <c r="T739" t="s">
        <v>127</v>
      </c>
      <c r="U739" t="s">
        <v>128</v>
      </c>
      <c r="V739" t="s">
        <v>99</v>
      </c>
      <c r="W739" t="s">
        <v>128</v>
      </c>
      <c r="X739" t="s">
        <v>708</v>
      </c>
    </row>
    <row r="740" spans="1:24" x14ac:dyDescent="0.2">
      <c r="A740" t="s">
        <v>1955</v>
      </c>
      <c r="B740">
        <v>1083.33</v>
      </c>
      <c r="C740" t="s">
        <v>60</v>
      </c>
      <c r="D740" t="s">
        <v>156</v>
      </c>
      <c r="E740" t="s">
        <v>445</v>
      </c>
      <c r="F740" t="s">
        <v>502</v>
      </c>
      <c r="G740" t="s">
        <v>111</v>
      </c>
      <c r="H740" t="s">
        <v>112</v>
      </c>
      <c r="I740" t="s">
        <v>131</v>
      </c>
      <c r="J740" t="s">
        <v>132</v>
      </c>
      <c r="K740">
        <v>3950</v>
      </c>
      <c r="L740" t="s">
        <v>1956</v>
      </c>
      <c r="M740" t="s">
        <v>1956</v>
      </c>
      <c r="N740" t="s">
        <v>432</v>
      </c>
      <c r="O740" t="s">
        <v>432</v>
      </c>
      <c r="P740" t="s">
        <v>433</v>
      </c>
      <c r="Q740" t="s">
        <v>434</v>
      </c>
      <c r="R740" t="s">
        <v>504</v>
      </c>
      <c r="S740" t="s">
        <v>135</v>
      </c>
      <c r="T740" t="s">
        <v>136</v>
      </c>
      <c r="U740" t="s">
        <v>131</v>
      </c>
      <c r="V740" t="s">
        <v>99</v>
      </c>
      <c r="W740" t="s">
        <v>131</v>
      </c>
      <c r="X740" t="s">
        <v>660</v>
      </c>
    </row>
    <row r="741" spans="1:24" x14ac:dyDescent="0.2">
      <c r="A741" t="s">
        <v>1957</v>
      </c>
      <c r="B741">
        <v>1083.33</v>
      </c>
      <c r="C741" t="s">
        <v>60</v>
      </c>
      <c r="D741" t="s">
        <v>156</v>
      </c>
      <c r="E741" t="s">
        <v>445</v>
      </c>
      <c r="F741" t="s">
        <v>502</v>
      </c>
      <c r="G741" t="s">
        <v>111</v>
      </c>
      <c r="H741" t="s">
        <v>112</v>
      </c>
      <c r="I741" t="s">
        <v>139</v>
      </c>
      <c r="J741" t="s">
        <v>140</v>
      </c>
      <c r="K741">
        <v>3950</v>
      </c>
      <c r="L741" t="s">
        <v>1958</v>
      </c>
      <c r="M741" t="s">
        <v>1958</v>
      </c>
      <c r="N741" t="s">
        <v>432</v>
      </c>
      <c r="O741" t="s">
        <v>432</v>
      </c>
      <c r="P741" t="s">
        <v>433</v>
      </c>
      <c r="Q741" t="s">
        <v>434</v>
      </c>
      <c r="R741" t="s">
        <v>504</v>
      </c>
      <c r="S741" t="s">
        <v>143</v>
      </c>
      <c r="T741" t="s">
        <v>144</v>
      </c>
      <c r="U741" t="s">
        <v>139</v>
      </c>
      <c r="V741" t="s">
        <v>99</v>
      </c>
      <c r="W741" t="s">
        <v>139</v>
      </c>
      <c r="X741" t="s">
        <v>145</v>
      </c>
    </row>
    <row r="742" spans="1:24" x14ac:dyDescent="0.2">
      <c r="A742" t="s">
        <v>1959</v>
      </c>
      <c r="B742">
        <v>1083.33</v>
      </c>
      <c r="C742" t="s">
        <v>60</v>
      </c>
      <c r="D742" t="s">
        <v>61</v>
      </c>
      <c r="E742" t="s">
        <v>253</v>
      </c>
      <c r="F742" t="s">
        <v>254</v>
      </c>
      <c r="H742" t="s">
        <v>64</v>
      </c>
      <c r="I742" t="s">
        <v>139</v>
      </c>
      <c r="J742" t="s">
        <v>140</v>
      </c>
      <c r="K742">
        <v>4250</v>
      </c>
      <c r="L742" t="s">
        <v>1960</v>
      </c>
      <c r="M742" t="s">
        <v>1960</v>
      </c>
      <c r="N742" t="s">
        <v>432</v>
      </c>
      <c r="O742" t="s">
        <v>432</v>
      </c>
      <c r="P742" t="s">
        <v>433</v>
      </c>
      <c r="Q742" t="s">
        <v>434</v>
      </c>
      <c r="R742" t="s">
        <v>258</v>
      </c>
      <c r="S742" t="s">
        <v>153</v>
      </c>
      <c r="T742" t="s">
        <v>144</v>
      </c>
      <c r="U742" t="s">
        <v>139</v>
      </c>
      <c r="V742" t="s">
        <v>99</v>
      </c>
      <c r="W742" t="s">
        <v>139</v>
      </c>
      <c r="X742" t="s">
        <v>145</v>
      </c>
    </row>
    <row r="743" spans="1:24" x14ac:dyDescent="0.2">
      <c r="A743" t="s">
        <v>1961</v>
      </c>
      <c r="B743">
        <v>1083.33</v>
      </c>
      <c r="C743" t="s">
        <v>60</v>
      </c>
      <c r="D743" t="s">
        <v>61</v>
      </c>
      <c r="E743" t="s">
        <v>253</v>
      </c>
      <c r="F743" t="s">
        <v>254</v>
      </c>
      <c r="G743" t="s">
        <v>111</v>
      </c>
      <c r="H743" t="s">
        <v>112</v>
      </c>
      <c r="I743" t="s">
        <v>139</v>
      </c>
      <c r="J743" t="s">
        <v>140</v>
      </c>
      <c r="K743">
        <v>4950</v>
      </c>
      <c r="L743" t="s">
        <v>1962</v>
      </c>
      <c r="M743" t="s">
        <v>1962</v>
      </c>
      <c r="N743" t="s">
        <v>432</v>
      </c>
      <c r="O743" t="s">
        <v>432</v>
      </c>
      <c r="P743" t="s">
        <v>433</v>
      </c>
      <c r="Q743" t="s">
        <v>434</v>
      </c>
      <c r="R743" t="s">
        <v>258</v>
      </c>
      <c r="S743" t="s">
        <v>143</v>
      </c>
      <c r="T743" t="s">
        <v>144</v>
      </c>
      <c r="U743" t="s">
        <v>139</v>
      </c>
      <c r="V743" t="s">
        <v>99</v>
      </c>
      <c r="W743" t="s">
        <v>139</v>
      </c>
      <c r="X743" t="s">
        <v>145</v>
      </c>
    </row>
    <row r="744" spans="1:24" x14ac:dyDescent="0.2">
      <c r="A744" t="s">
        <v>1963</v>
      </c>
      <c r="B744">
        <v>1083.33</v>
      </c>
      <c r="C744" t="s">
        <v>60</v>
      </c>
      <c r="D744" t="s">
        <v>156</v>
      </c>
      <c r="E744" t="s">
        <v>445</v>
      </c>
      <c r="F744" t="s">
        <v>502</v>
      </c>
      <c r="G744" t="s">
        <v>306</v>
      </c>
      <c r="H744" t="s">
        <v>307</v>
      </c>
      <c r="I744" t="s">
        <v>91</v>
      </c>
      <c r="J744" t="s">
        <v>92</v>
      </c>
      <c r="K744">
        <v>4250</v>
      </c>
      <c r="L744" t="s">
        <v>1964</v>
      </c>
      <c r="M744" t="s">
        <v>1964</v>
      </c>
      <c r="N744" t="s">
        <v>432</v>
      </c>
      <c r="O744" t="s">
        <v>432</v>
      </c>
      <c r="P744" t="s">
        <v>433</v>
      </c>
      <c r="Q744" t="s">
        <v>434</v>
      </c>
      <c r="R744" t="s">
        <v>504</v>
      </c>
      <c r="S744" t="s">
        <v>309</v>
      </c>
      <c r="T744" t="s">
        <v>97</v>
      </c>
      <c r="U744" t="s">
        <v>98</v>
      </c>
      <c r="V744" t="s">
        <v>99</v>
      </c>
      <c r="W744" t="s">
        <v>98</v>
      </c>
      <c r="X744" t="s">
        <v>100</v>
      </c>
    </row>
    <row r="745" spans="1:24" x14ac:dyDescent="0.2">
      <c r="A745" t="s">
        <v>1965</v>
      </c>
      <c r="B745">
        <v>1083.33</v>
      </c>
      <c r="C745" t="s">
        <v>60</v>
      </c>
      <c r="D745" t="s">
        <v>156</v>
      </c>
      <c r="E745" t="s">
        <v>445</v>
      </c>
      <c r="F745" t="s">
        <v>502</v>
      </c>
      <c r="G745" t="s">
        <v>306</v>
      </c>
      <c r="H745" t="s">
        <v>307</v>
      </c>
      <c r="I745" t="s">
        <v>102</v>
      </c>
      <c r="J745" t="s">
        <v>103</v>
      </c>
      <c r="K745">
        <v>4150</v>
      </c>
      <c r="L745" t="s">
        <v>1966</v>
      </c>
      <c r="M745" t="s">
        <v>1966</v>
      </c>
      <c r="N745" t="s">
        <v>432</v>
      </c>
      <c r="O745" t="s">
        <v>432</v>
      </c>
      <c r="P745" t="s">
        <v>433</v>
      </c>
      <c r="Q745" t="s">
        <v>434</v>
      </c>
      <c r="R745" t="s">
        <v>504</v>
      </c>
      <c r="S745" t="s">
        <v>312</v>
      </c>
      <c r="T745" t="s">
        <v>313</v>
      </c>
      <c r="U745" t="s">
        <v>314</v>
      </c>
      <c r="V745" t="s">
        <v>99</v>
      </c>
      <c r="W745" t="s">
        <v>314</v>
      </c>
      <c r="X745" t="s">
        <v>715</v>
      </c>
    </row>
    <row r="746" spans="1:24" x14ac:dyDescent="0.2">
      <c r="A746" t="s">
        <v>1967</v>
      </c>
      <c r="B746">
        <v>1083.33</v>
      </c>
      <c r="C746" t="s">
        <v>60</v>
      </c>
      <c r="D746" t="s">
        <v>156</v>
      </c>
      <c r="E746" t="s">
        <v>445</v>
      </c>
      <c r="F746" t="s">
        <v>502</v>
      </c>
      <c r="G746" t="s">
        <v>306</v>
      </c>
      <c r="H746" t="s">
        <v>307</v>
      </c>
      <c r="I746" t="s">
        <v>131</v>
      </c>
      <c r="J746" t="s">
        <v>132</v>
      </c>
      <c r="K746">
        <v>4650</v>
      </c>
      <c r="L746" t="s">
        <v>1968</v>
      </c>
      <c r="M746" t="s">
        <v>1968</v>
      </c>
      <c r="N746" t="s">
        <v>432</v>
      </c>
      <c r="O746" t="s">
        <v>432</v>
      </c>
      <c r="P746" t="s">
        <v>433</v>
      </c>
      <c r="Q746" t="s">
        <v>434</v>
      </c>
      <c r="R746" t="s">
        <v>504</v>
      </c>
      <c r="S746" t="s">
        <v>318</v>
      </c>
      <c r="T746" t="s">
        <v>136</v>
      </c>
      <c r="U746" t="s">
        <v>131</v>
      </c>
      <c r="V746" t="s">
        <v>99</v>
      </c>
      <c r="W746" t="s">
        <v>131</v>
      </c>
      <c r="X746" t="s">
        <v>660</v>
      </c>
    </row>
    <row r="747" spans="1:24" x14ac:dyDescent="0.2">
      <c r="A747" t="s">
        <v>1969</v>
      </c>
      <c r="B747">
        <v>1083.33</v>
      </c>
      <c r="C747" t="s">
        <v>60</v>
      </c>
      <c r="D747" t="s">
        <v>156</v>
      </c>
      <c r="E747" t="s">
        <v>445</v>
      </c>
      <c r="F747" t="s">
        <v>502</v>
      </c>
      <c r="G747" t="s">
        <v>306</v>
      </c>
      <c r="H747" t="s">
        <v>307</v>
      </c>
      <c r="I747" t="s">
        <v>139</v>
      </c>
      <c r="J747" t="s">
        <v>140</v>
      </c>
      <c r="K747">
        <v>4650</v>
      </c>
      <c r="L747" t="s">
        <v>1970</v>
      </c>
      <c r="M747" t="s">
        <v>1970</v>
      </c>
      <c r="N747" t="s">
        <v>432</v>
      </c>
      <c r="O747" t="s">
        <v>432</v>
      </c>
      <c r="P747" t="s">
        <v>433</v>
      </c>
      <c r="Q747" t="s">
        <v>434</v>
      </c>
      <c r="R747" t="s">
        <v>504</v>
      </c>
      <c r="S747" t="s">
        <v>321</v>
      </c>
      <c r="T747" t="s">
        <v>144</v>
      </c>
      <c r="U747" t="s">
        <v>139</v>
      </c>
      <c r="V747" t="s">
        <v>99</v>
      </c>
      <c r="W747" t="s">
        <v>139</v>
      </c>
      <c r="X747" t="s">
        <v>145</v>
      </c>
    </row>
    <row r="748" spans="1:24" x14ac:dyDescent="0.2">
      <c r="A748" t="s">
        <v>1971</v>
      </c>
      <c r="B748">
        <v>1083.33</v>
      </c>
      <c r="C748" t="s">
        <v>60</v>
      </c>
      <c r="D748" t="s">
        <v>156</v>
      </c>
      <c r="E748" t="s">
        <v>445</v>
      </c>
      <c r="F748" t="s">
        <v>502</v>
      </c>
      <c r="H748" t="s">
        <v>64</v>
      </c>
      <c r="I748" t="s">
        <v>131</v>
      </c>
      <c r="J748" t="s">
        <v>132</v>
      </c>
      <c r="K748">
        <v>3250</v>
      </c>
      <c r="L748" t="s">
        <v>1972</v>
      </c>
      <c r="M748" t="s">
        <v>1972</v>
      </c>
      <c r="N748" t="s">
        <v>432</v>
      </c>
      <c r="O748" t="s">
        <v>432</v>
      </c>
      <c r="P748" t="s">
        <v>433</v>
      </c>
      <c r="Q748" t="s">
        <v>434</v>
      </c>
      <c r="R748" t="s">
        <v>504</v>
      </c>
      <c r="S748" t="s">
        <v>149</v>
      </c>
      <c r="T748" t="s">
        <v>136</v>
      </c>
      <c r="U748" t="s">
        <v>131</v>
      </c>
      <c r="V748" t="s">
        <v>99</v>
      </c>
      <c r="W748" t="s">
        <v>131</v>
      </c>
      <c r="X748" t="s">
        <v>660</v>
      </c>
    </row>
    <row r="749" spans="1:24" x14ac:dyDescent="0.2">
      <c r="A749" t="s">
        <v>1973</v>
      </c>
      <c r="B749">
        <v>1083.33</v>
      </c>
      <c r="C749" t="s">
        <v>60</v>
      </c>
      <c r="D749" t="s">
        <v>156</v>
      </c>
      <c r="E749" t="s">
        <v>445</v>
      </c>
      <c r="F749" t="s">
        <v>502</v>
      </c>
      <c r="H749" t="s">
        <v>64</v>
      </c>
      <c r="I749" t="s">
        <v>139</v>
      </c>
      <c r="J749" t="s">
        <v>140</v>
      </c>
      <c r="K749">
        <v>3250</v>
      </c>
      <c r="L749" t="s">
        <v>1974</v>
      </c>
      <c r="M749" t="s">
        <v>1974</v>
      </c>
      <c r="N749" t="s">
        <v>432</v>
      </c>
      <c r="O749" t="s">
        <v>432</v>
      </c>
      <c r="P749" t="s">
        <v>433</v>
      </c>
      <c r="Q749" t="s">
        <v>434</v>
      </c>
      <c r="R749" t="s">
        <v>504</v>
      </c>
      <c r="S749" t="s">
        <v>153</v>
      </c>
      <c r="T749" t="s">
        <v>144</v>
      </c>
      <c r="U749" t="s">
        <v>139</v>
      </c>
      <c r="V749" t="s">
        <v>99</v>
      </c>
      <c r="W749" t="s">
        <v>139</v>
      </c>
      <c r="X749" t="s">
        <v>145</v>
      </c>
    </row>
    <row r="750" spans="1:24" x14ac:dyDescent="0.2">
      <c r="A750" t="s">
        <v>1975</v>
      </c>
      <c r="B750" t="s">
        <v>1976</v>
      </c>
      <c r="C750" t="s">
        <v>60</v>
      </c>
      <c r="D750" t="s">
        <v>61</v>
      </c>
      <c r="E750" t="s">
        <v>1212</v>
      </c>
      <c r="F750" t="s">
        <v>1213</v>
      </c>
      <c r="G750" t="s">
        <v>159</v>
      </c>
      <c r="H750" t="s">
        <v>160</v>
      </c>
      <c r="I750" t="s">
        <v>102</v>
      </c>
      <c r="J750" t="s">
        <v>103</v>
      </c>
      <c r="K750">
        <v>3850</v>
      </c>
      <c r="L750" t="s">
        <v>1977</v>
      </c>
      <c r="M750" t="s">
        <v>1977</v>
      </c>
      <c r="N750" t="s">
        <v>1610</v>
      </c>
      <c r="O750" t="s">
        <v>1610</v>
      </c>
      <c r="P750" t="s">
        <v>1611</v>
      </c>
      <c r="Q750" t="s">
        <v>1612</v>
      </c>
      <c r="R750" t="s">
        <v>1215</v>
      </c>
      <c r="S750" t="s">
        <v>166</v>
      </c>
      <c r="T750" t="s">
        <v>107</v>
      </c>
      <c r="U750" t="s">
        <v>108</v>
      </c>
      <c r="V750" t="s">
        <v>77</v>
      </c>
      <c r="W750" t="s">
        <v>108</v>
      </c>
      <c r="X750" t="s">
        <v>109</v>
      </c>
    </row>
    <row r="751" spans="1:24" x14ac:dyDescent="0.2">
      <c r="A751" t="s">
        <v>1978</v>
      </c>
      <c r="B751" t="s">
        <v>1979</v>
      </c>
      <c r="C751" t="s">
        <v>60</v>
      </c>
      <c r="D751" t="s">
        <v>61</v>
      </c>
      <c r="E751" t="s">
        <v>1647</v>
      </c>
      <c r="F751" t="s">
        <v>1648</v>
      </c>
      <c r="G751" t="s">
        <v>159</v>
      </c>
      <c r="H751" t="s">
        <v>160</v>
      </c>
      <c r="I751" t="s">
        <v>102</v>
      </c>
      <c r="J751" t="s">
        <v>103</v>
      </c>
      <c r="K751">
        <v>3850</v>
      </c>
      <c r="L751" t="s">
        <v>1980</v>
      </c>
      <c r="M751" t="s">
        <v>1980</v>
      </c>
      <c r="N751" t="s">
        <v>70</v>
      </c>
      <c r="O751" t="s">
        <v>70</v>
      </c>
      <c r="P751" t="s">
        <v>1641</v>
      </c>
      <c r="Q751" t="s">
        <v>1642</v>
      </c>
      <c r="R751" t="s">
        <v>1650</v>
      </c>
      <c r="S751" t="s">
        <v>166</v>
      </c>
      <c r="T751" t="s">
        <v>107</v>
      </c>
      <c r="U751" t="s">
        <v>108</v>
      </c>
      <c r="V751" t="s">
        <v>77</v>
      </c>
      <c r="W751" t="s">
        <v>108</v>
      </c>
      <c r="X751" t="s">
        <v>109</v>
      </c>
    </row>
    <row r="752" spans="1:24" x14ac:dyDescent="0.2">
      <c r="A752" t="s">
        <v>1981</v>
      </c>
      <c r="B752">
        <v>1090</v>
      </c>
      <c r="C752" t="s">
        <v>60</v>
      </c>
      <c r="D752" t="s">
        <v>156</v>
      </c>
      <c r="E752" t="s">
        <v>157</v>
      </c>
      <c r="F752" t="s">
        <v>158</v>
      </c>
      <c r="H752" t="s">
        <v>64</v>
      </c>
      <c r="I752" t="s">
        <v>642</v>
      </c>
      <c r="J752" t="s">
        <v>643</v>
      </c>
      <c r="K752">
        <v>2900</v>
      </c>
      <c r="L752" t="s">
        <v>1982</v>
      </c>
      <c r="M752" t="s">
        <v>1982</v>
      </c>
      <c r="N752" t="s">
        <v>553</v>
      </c>
      <c r="O752" t="s">
        <v>553</v>
      </c>
      <c r="P752" t="s">
        <v>554</v>
      </c>
      <c r="Q752" t="s">
        <v>555</v>
      </c>
      <c r="R752" t="s">
        <v>165</v>
      </c>
      <c r="S752" t="s">
        <v>645</v>
      </c>
      <c r="T752" t="s">
        <v>646</v>
      </c>
      <c r="U752" t="s">
        <v>647</v>
      </c>
      <c r="V752" t="s">
        <v>99</v>
      </c>
      <c r="W752" t="s">
        <v>647</v>
      </c>
      <c r="X752" t="s">
        <v>679</v>
      </c>
    </row>
    <row r="753" spans="1:24" x14ac:dyDescent="0.2">
      <c r="A753" t="s">
        <v>1983</v>
      </c>
      <c r="B753">
        <v>1090</v>
      </c>
      <c r="C753" t="s">
        <v>60</v>
      </c>
      <c r="D753" t="s">
        <v>156</v>
      </c>
      <c r="E753" t="s">
        <v>1711</v>
      </c>
      <c r="F753" t="s">
        <v>1712</v>
      </c>
      <c r="H753" t="s">
        <v>64</v>
      </c>
      <c r="I753" t="s">
        <v>65</v>
      </c>
      <c r="J753" t="s">
        <v>66</v>
      </c>
      <c r="K753">
        <v>5250</v>
      </c>
      <c r="L753" t="s">
        <v>1984</v>
      </c>
      <c r="M753" t="s">
        <v>1984</v>
      </c>
      <c r="N753" t="s">
        <v>553</v>
      </c>
      <c r="O753" t="s">
        <v>553</v>
      </c>
      <c r="P753" t="s">
        <v>554</v>
      </c>
      <c r="Q753" t="s">
        <v>555</v>
      </c>
      <c r="R753" t="s">
        <v>1714</v>
      </c>
      <c r="S753" t="s">
        <v>74</v>
      </c>
      <c r="T753" t="s">
        <v>75</v>
      </c>
      <c r="U753" t="s">
        <v>76</v>
      </c>
      <c r="V753" t="s">
        <v>99</v>
      </c>
      <c r="W753" t="s">
        <v>76</v>
      </c>
      <c r="X753" t="s">
        <v>684</v>
      </c>
    </row>
    <row r="754" spans="1:24" x14ac:dyDescent="0.2">
      <c r="A754" t="s">
        <v>1985</v>
      </c>
      <c r="B754">
        <v>1090</v>
      </c>
      <c r="C754" t="s">
        <v>60</v>
      </c>
      <c r="D754" t="s">
        <v>156</v>
      </c>
      <c r="E754" t="s">
        <v>1860</v>
      </c>
      <c r="F754" t="s">
        <v>1861</v>
      </c>
      <c r="H754" t="s">
        <v>64</v>
      </c>
      <c r="I754" t="s">
        <v>82</v>
      </c>
      <c r="J754" t="s">
        <v>83</v>
      </c>
      <c r="K754">
        <v>5750</v>
      </c>
      <c r="L754" t="s">
        <v>1986</v>
      </c>
      <c r="M754" t="s">
        <v>1986</v>
      </c>
      <c r="N754" t="s">
        <v>553</v>
      </c>
      <c r="O754" t="s">
        <v>553</v>
      </c>
      <c r="P754" t="s">
        <v>554</v>
      </c>
      <c r="Q754" t="s">
        <v>555</v>
      </c>
      <c r="R754" t="s">
        <v>1863</v>
      </c>
      <c r="S754" t="s">
        <v>87</v>
      </c>
      <c r="T754" t="s">
        <v>75</v>
      </c>
      <c r="U754" t="s">
        <v>76</v>
      </c>
      <c r="V754" t="s">
        <v>99</v>
      </c>
      <c r="W754" t="s">
        <v>76</v>
      </c>
      <c r="X754" t="s">
        <v>684</v>
      </c>
    </row>
    <row r="755" spans="1:24" x14ac:dyDescent="0.2">
      <c r="A755" t="s">
        <v>1987</v>
      </c>
      <c r="B755">
        <v>1090</v>
      </c>
      <c r="C755" t="s">
        <v>60</v>
      </c>
      <c r="D755" t="s">
        <v>156</v>
      </c>
      <c r="E755" t="s">
        <v>157</v>
      </c>
      <c r="F755" t="s">
        <v>158</v>
      </c>
      <c r="H755" t="s">
        <v>64</v>
      </c>
      <c r="I755" t="s">
        <v>91</v>
      </c>
      <c r="J755" t="s">
        <v>92</v>
      </c>
      <c r="K755">
        <v>2850</v>
      </c>
      <c r="L755" t="s">
        <v>1988</v>
      </c>
      <c r="M755" t="s">
        <v>1988</v>
      </c>
      <c r="N755" t="s">
        <v>553</v>
      </c>
      <c r="O755" t="s">
        <v>553</v>
      </c>
      <c r="P755" t="s">
        <v>554</v>
      </c>
      <c r="Q755" t="s">
        <v>555</v>
      </c>
      <c r="R755" t="s">
        <v>165</v>
      </c>
      <c r="S755" t="s">
        <v>96</v>
      </c>
      <c r="T755" t="s">
        <v>97</v>
      </c>
      <c r="U755" t="s">
        <v>98</v>
      </c>
      <c r="V755" t="s">
        <v>99</v>
      </c>
      <c r="W755" t="s">
        <v>98</v>
      </c>
      <c r="X755" t="s">
        <v>100</v>
      </c>
    </row>
    <row r="756" spans="1:24" x14ac:dyDescent="0.2">
      <c r="A756" t="s">
        <v>1989</v>
      </c>
      <c r="B756">
        <v>1090</v>
      </c>
      <c r="C756" t="s">
        <v>60</v>
      </c>
      <c r="D756" t="s">
        <v>156</v>
      </c>
      <c r="E756" t="s">
        <v>157</v>
      </c>
      <c r="F756" t="s">
        <v>158</v>
      </c>
      <c r="H756" t="s">
        <v>64</v>
      </c>
      <c r="I756" t="s">
        <v>102</v>
      </c>
      <c r="J756" t="s">
        <v>103</v>
      </c>
      <c r="K756">
        <v>2750</v>
      </c>
      <c r="L756" t="s">
        <v>1990</v>
      </c>
      <c r="M756" t="s">
        <v>1990</v>
      </c>
      <c r="N756" t="s">
        <v>553</v>
      </c>
      <c r="O756" t="s">
        <v>553</v>
      </c>
      <c r="P756" t="s">
        <v>554</v>
      </c>
      <c r="Q756" t="s">
        <v>555</v>
      </c>
      <c r="R756" t="s">
        <v>165</v>
      </c>
      <c r="S756" t="s">
        <v>106</v>
      </c>
      <c r="T756" t="s">
        <v>107</v>
      </c>
      <c r="U756" t="s">
        <v>108</v>
      </c>
      <c r="V756" t="s">
        <v>99</v>
      </c>
      <c r="W756" t="s">
        <v>108</v>
      </c>
      <c r="X756" t="s">
        <v>693</v>
      </c>
    </row>
    <row r="757" spans="1:24" x14ac:dyDescent="0.2">
      <c r="A757" t="s">
        <v>1991</v>
      </c>
      <c r="B757">
        <v>1090</v>
      </c>
      <c r="C757" t="s">
        <v>60</v>
      </c>
      <c r="D757" t="s">
        <v>156</v>
      </c>
      <c r="E757" t="s">
        <v>157</v>
      </c>
      <c r="F757" t="s">
        <v>158</v>
      </c>
      <c r="G757" t="s">
        <v>156</v>
      </c>
      <c r="H757" t="s">
        <v>278</v>
      </c>
      <c r="I757" t="s">
        <v>91</v>
      </c>
      <c r="J757" t="s">
        <v>92</v>
      </c>
      <c r="K757">
        <v>3550</v>
      </c>
      <c r="L757" t="s">
        <v>1992</v>
      </c>
      <c r="M757" t="s">
        <v>1992</v>
      </c>
      <c r="N757" t="s">
        <v>553</v>
      </c>
      <c r="O757" t="s">
        <v>553</v>
      </c>
      <c r="P757" t="s">
        <v>554</v>
      </c>
      <c r="Q757" t="s">
        <v>555</v>
      </c>
      <c r="R757" t="s">
        <v>165</v>
      </c>
      <c r="S757" t="s">
        <v>280</v>
      </c>
      <c r="T757" t="s">
        <v>97</v>
      </c>
      <c r="U757" t="s">
        <v>98</v>
      </c>
      <c r="V757" t="s">
        <v>99</v>
      </c>
      <c r="W757" t="s">
        <v>98</v>
      </c>
      <c r="X757" t="s">
        <v>100</v>
      </c>
    </row>
    <row r="758" spans="1:24" x14ac:dyDescent="0.2">
      <c r="A758" t="s">
        <v>1993</v>
      </c>
      <c r="B758">
        <v>1090</v>
      </c>
      <c r="C758" t="s">
        <v>60</v>
      </c>
      <c r="D758" t="s">
        <v>156</v>
      </c>
      <c r="E758" t="s">
        <v>157</v>
      </c>
      <c r="F758" t="s">
        <v>158</v>
      </c>
      <c r="G758" t="s">
        <v>156</v>
      </c>
      <c r="H758" t="s">
        <v>278</v>
      </c>
      <c r="I758" t="s">
        <v>102</v>
      </c>
      <c r="J758" t="s">
        <v>103</v>
      </c>
      <c r="K758">
        <v>3450</v>
      </c>
      <c r="L758" t="s">
        <v>1994</v>
      </c>
      <c r="M758" t="s">
        <v>1994</v>
      </c>
      <c r="N758" t="s">
        <v>553</v>
      </c>
      <c r="O758" t="s">
        <v>553</v>
      </c>
      <c r="P758" t="s">
        <v>554</v>
      </c>
      <c r="Q758" t="s">
        <v>555</v>
      </c>
      <c r="R758" t="s">
        <v>165</v>
      </c>
      <c r="S758" t="s">
        <v>283</v>
      </c>
      <c r="T758" t="s">
        <v>284</v>
      </c>
      <c r="U758" t="s">
        <v>285</v>
      </c>
      <c r="V758" t="s">
        <v>99</v>
      </c>
      <c r="W758" t="s">
        <v>285</v>
      </c>
      <c r="X758" t="s">
        <v>672</v>
      </c>
    </row>
    <row r="759" spans="1:24" x14ac:dyDescent="0.2">
      <c r="A759" t="s">
        <v>1995</v>
      </c>
      <c r="B759">
        <v>1090</v>
      </c>
      <c r="C759" t="s">
        <v>60</v>
      </c>
      <c r="D759" t="s">
        <v>156</v>
      </c>
      <c r="E759" t="s">
        <v>157</v>
      </c>
      <c r="F759" t="s">
        <v>158</v>
      </c>
      <c r="G759" t="s">
        <v>156</v>
      </c>
      <c r="H759" t="s">
        <v>278</v>
      </c>
      <c r="I759" t="s">
        <v>131</v>
      </c>
      <c r="J759" t="s">
        <v>132</v>
      </c>
      <c r="K759">
        <v>3950</v>
      </c>
      <c r="L759" t="s">
        <v>1996</v>
      </c>
      <c r="M759" t="s">
        <v>1996</v>
      </c>
      <c r="N759" t="s">
        <v>553</v>
      </c>
      <c r="O759" t="s">
        <v>553</v>
      </c>
      <c r="P759" t="s">
        <v>554</v>
      </c>
      <c r="Q759" t="s">
        <v>555</v>
      </c>
      <c r="R759" t="s">
        <v>165</v>
      </c>
      <c r="S759" t="s">
        <v>289</v>
      </c>
      <c r="T759" t="s">
        <v>136</v>
      </c>
      <c r="U759" t="s">
        <v>131</v>
      </c>
      <c r="V759" t="s">
        <v>99</v>
      </c>
      <c r="W759" t="s">
        <v>131</v>
      </c>
      <c r="X759" t="s">
        <v>660</v>
      </c>
    </row>
    <row r="760" spans="1:24" x14ac:dyDescent="0.2">
      <c r="A760" t="s">
        <v>1997</v>
      </c>
      <c r="B760">
        <v>1090</v>
      </c>
      <c r="C760" t="s">
        <v>60</v>
      </c>
      <c r="D760" t="s">
        <v>156</v>
      </c>
      <c r="E760" t="s">
        <v>157</v>
      </c>
      <c r="F760" t="s">
        <v>158</v>
      </c>
      <c r="G760" t="s">
        <v>156</v>
      </c>
      <c r="H760" t="s">
        <v>278</v>
      </c>
      <c r="I760" t="s">
        <v>139</v>
      </c>
      <c r="J760" t="s">
        <v>140</v>
      </c>
      <c r="K760">
        <v>3950</v>
      </c>
      <c r="L760" t="s">
        <v>1998</v>
      </c>
      <c r="M760" t="s">
        <v>1998</v>
      </c>
      <c r="N760" t="s">
        <v>553</v>
      </c>
      <c r="O760" t="s">
        <v>553</v>
      </c>
      <c r="P760" t="s">
        <v>554</v>
      </c>
      <c r="Q760" t="s">
        <v>555</v>
      </c>
      <c r="R760" t="s">
        <v>165</v>
      </c>
      <c r="S760" t="s">
        <v>292</v>
      </c>
      <c r="T760" t="s">
        <v>144</v>
      </c>
      <c r="U760" t="s">
        <v>139</v>
      </c>
      <c r="V760" t="s">
        <v>99</v>
      </c>
      <c r="W760" t="s">
        <v>139</v>
      </c>
      <c r="X760" t="s">
        <v>145</v>
      </c>
    </row>
    <row r="761" spans="1:24" x14ac:dyDescent="0.2">
      <c r="A761" t="s">
        <v>1999</v>
      </c>
      <c r="B761">
        <v>1090</v>
      </c>
      <c r="C761" t="s">
        <v>60</v>
      </c>
      <c r="D761" t="s">
        <v>156</v>
      </c>
      <c r="E761" t="s">
        <v>1711</v>
      </c>
      <c r="F761" t="s">
        <v>1712</v>
      </c>
      <c r="G761" t="s">
        <v>111</v>
      </c>
      <c r="H761" t="s">
        <v>112</v>
      </c>
      <c r="I761" t="s">
        <v>65</v>
      </c>
      <c r="J761" t="s">
        <v>66</v>
      </c>
      <c r="K761">
        <v>5950</v>
      </c>
      <c r="L761" t="s">
        <v>2000</v>
      </c>
      <c r="M761" t="s">
        <v>2000</v>
      </c>
      <c r="N761" t="s">
        <v>553</v>
      </c>
      <c r="O761" t="s">
        <v>553</v>
      </c>
      <c r="P761" t="s">
        <v>554</v>
      </c>
      <c r="Q761" t="s">
        <v>555</v>
      </c>
      <c r="R761" t="s">
        <v>1714</v>
      </c>
      <c r="S761" t="s">
        <v>114</v>
      </c>
      <c r="T761" t="s">
        <v>75</v>
      </c>
      <c r="U761" t="s">
        <v>76</v>
      </c>
      <c r="V761" t="s">
        <v>99</v>
      </c>
      <c r="W761" t="s">
        <v>76</v>
      </c>
      <c r="X761" t="s">
        <v>684</v>
      </c>
    </row>
    <row r="762" spans="1:24" x14ac:dyDescent="0.2">
      <c r="A762" t="s">
        <v>2001</v>
      </c>
      <c r="B762">
        <v>1090</v>
      </c>
      <c r="C762" t="s">
        <v>60</v>
      </c>
      <c r="D762" t="s">
        <v>156</v>
      </c>
      <c r="E762" t="s">
        <v>1860</v>
      </c>
      <c r="F762" t="s">
        <v>1861</v>
      </c>
      <c r="G762" t="s">
        <v>111</v>
      </c>
      <c r="H762" t="s">
        <v>112</v>
      </c>
      <c r="I762" t="s">
        <v>82</v>
      </c>
      <c r="J762" t="s">
        <v>83</v>
      </c>
      <c r="K762">
        <v>6450</v>
      </c>
      <c r="L762" t="s">
        <v>2002</v>
      </c>
      <c r="M762" t="s">
        <v>2002</v>
      </c>
      <c r="N762" t="s">
        <v>553</v>
      </c>
      <c r="O762" t="s">
        <v>553</v>
      </c>
      <c r="P762" t="s">
        <v>554</v>
      </c>
      <c r="Q762" t="s">
        <v>555</v>
      </c>
      <c r="R762" t="s">
        <v>1863</v>
      </c>
      <c r="S762" t="s">
        <v>118</v>
      </c>
      <c r="T762" t="s">
        <v>75</v>
      </c>
      <c r="U762" t="s">
        <v>76</v>
      </c>
      <c r="V762" t="s">
        <v>99</v>
      </c>
      <c r="W762" t="s">
        <v>76</v>
      </c>
      <c r="X762" t="s">
        <v>684</v>
      </c>
    </row>
    <row r="763" spans="1:24" x14ac:dyDescent="0.2">
      <c r="A763" t="s">
        <v>2003</v>
      </c>
      <c r="B763">
        <v>1090</v>
      </c>
      <c r="C763" t="s">
        <v>60</v>
      </c>
      <c r="D763" t="s">
        <v>156</v>
      </c>
      <c r="E763" t="s">
        <v>157</v>
      </c>
      <c r="F763" t="s">
        <v>158</v>
      </c>
      <c r="G763" t="s">
        <v>111</v>
      </c>
      <c r="H763" t="s">
        <v>112</v>
      </c>
      <c r="I763" t="s">
        <v>91</v>
      </c>
      <c r="J763" t="s">
        <v>92</v>
      </c>
      <c r="K763">
        <v>3550</v>
      </c>
      <c r="L763" t="s">
        <v>2004</v>
      </c>
      <c r="M763" t="s">
        <v>2004</v>
      </c>
      <c r="N763" t="s">
        <v>553</v>
      </c>
      <c r="O763" t="s">
        <v>553</v>
      </c>
      <c r="P763" t="s">
        <v>554</v>
      </c>
      <c r="Q763" t="s">
        <v>555</v>
      </c>
      <c r="R763" t="s">
        <v>165</v>
      </c>
      <c r="S763" t="s">
        <v>122</v>
      </c>
      <c r="T763" t="s">
        <v>97</v>
      </c>
      <c r="U763" t="s">
        <v>98</v>
      </c>
      <c r="V763" t="s">
        <v>99</v>
      </c>
      <c r="W763" t="s">
        <v>98</v>
      </c>
      <c r="X763" t="s">
        <v>100</v>
      </c>
    </row>
    <row r="764" spans="1:24" x14ac:dyDescent="0.2">
      <c r="A764" t="s">
        <v>2005</v>
      </c>
      <c r="B764">
        <v>1090</v>
      </c>
      <c r="C764" t="s">
        <v>60</v>
      </c>
      <c r="D764" t="s">
        <v>156</v>
      </c>
      <c r="E764" t="s">
        <v>157</v>
      </c>
      <c r="F764" t="s">
        <v>158</v>
      </c>
      <c r="G764" t="s">
        <v>111</v>
      </c>
      <c r="H764" t="s">
        <v>112</v>
      </c>
      <c r="I764" t="s">
        <v>102</v>
      </c>
      <c r="J764" t="s">
        <v>103</v>
      </c>
      <c r="K764">
        <v>3450</v>
      </c>
      <c r="L764" t="s">
        <v>2006</v>
      </c>
      <c r="M764" t="s">
        <v>2006</v>
      </c>
      <c r="N764" t="s">
        <v>553</v>
      </c>
      <c r="O764" t="s">
        <v>553</v>
      </c>
      <c r="P764" t="s">
        <v>554</v>
      </c>
      <c r="Q764" t="s">
        <v>555</v>
      </c>
      <c r="R764" t="s">
        <v>165</v>
      </c>
      <c r="S764" t="s">
        <v>126</v>
      </c>
      <c r="T764" t="s">
        <v>127</v>
      </c>
      <c r="U764" t="s">
        <v>128</v>
      </c>
      <c r="V764" t="s">
        <v>99</v>
      </c>
      <c r="W764" t="s">
        <v>128</v>
      </c>
      <c r="X764" t="s">
        <v>708</v>
      </c>
    </row>
    <row r="765" spans="1:24" x14ac:dyDescent="0.2">
      <c r="A765" t="s">
        <v>2007</v>
      </c>
      <c r="B765">
        <v>1090</v>
      </c>
      <c r="C765" t="s">
        <v>60</v>
      </c>
      <c r="D765" t="s">
        <v>156</v>
      </c>
      <c r="E765" t="s">
        <v>157</v>
      </c>
      <c r="F765" t="s">
        <v>158</v>
      </c>
      <c r="G765" t="s">
        <v>111</v>
      </c>
      <c r="H765" t="s">
        <v>112</v>
      </c>
      <c r="I765" t="s">
        <v>131</v>
      </c>
      <c r="J765" t="s">
        <v>132</v>
      </c>
      <c r="K765">
        <v>3950</v>
      </c>
      <c r="L765" t="s">
        <v>2008</v>
      </c>
      <c r="M765" t="s">
        <v>2008</v>
      </c>
      <c r="N765" t="s">
        <v>553</v>
      </c>
      <c r="O765" t="s">
        <v>553</v>
      </c>
      <c r="P765" t="s">
        <v>554</v>
      </c>
      <c r="Q765" t="s">
        <v>555</v>
      </c>
      <c r="R765" t="s">
        <v>165</v>
      </c>
      <c r="S765" t="s">
        <v>135</v>
      </c>
      <c r="T765" t="s">
        <v>136</v>
      </c>
      <c r="U765" t="s">
        <v>131</v>
      </c>
      <c r="V765" t="s">
        <v>99</v>
      </c>
      <c r="W765" t="s">
        <v>131</v>
      </c>
      <c r="X765" t="s">
        <v>660</v>
      </c>
    </row>
    <row r="766" spans="1:24" x14ac:dyDescent="0.2">
      <c r="A766" t="s">
        <v>2009</v>
      </c>
      <c r="B766">
        <v>1090</v>
      </c>
      <c r="C766" t="s">
        <v>60</v>
      </c>
      <c r="D766" t="s">
        <v>156</v>
      </c>
      <c r="E766" t="s">
        <v>157</v>
      </c>
      <c r="F766" t="s">
        <v>158</v>
      </c>
      <c r="G766" t="s">
        <v>111</v>
      </c>
      <c r="H766" t="s">
        <v>112</v>
      </c>
      <c r="I766" t="s">
        <v>139</v>
      </c>
      <c r="J766" t="s">
        <v>140</v>
      </c>
      <c r="K766">
        <v>3950</v>
      </c>
      <c r="L766" t="s">
        <v>2010</v>
      </c>
      <c r="M766" t="s">
        <v>2010</v>
      </c>
      <c r="N766" t="s">
        <v>553</v>
      </c>
      <c r="O766" t="s">
        <v>553</v>
      </c>
      <c r="P766" t="s">
        <v>554</v>
      </c>
      <c r="Q766" t="s">
        <v>555</v>
      </c>
      <c r="R766" t="s">
        <v>165</v>
      </c>
      <c r="S766" t="s">
        <v>143</v>
      </c>
      <c r="T766" t="s">
        <v>144</v>
      </c>
      <c r="U766" t="s">
        <v>139</v>
      </c>
      <c r="V766" t="s">
        <v>99</v>
      </c>
      <c r="W766" t="s">
        <v>139</v>
      </c>
      <c r="X766" t="s">
        <v>145</v>
      </c>
    </row>
    <row r="767" spans="1:24" x14ac:dyDescent="0.2">
      <c r="A767" t="s">
        <v>2011</v>
      </c>
      <c r="B767">
        <v>1090</v>
      </c>
      <c r="C767" t="s">
        <v>60</v>
      </c>
      <c r="D767" t="s">
        <v>156</v>
      </c>
      <c r="E767" t="s">
        <v>157</v>
      </c>
      <c r="F767" t="s">
        <v>158</v>
      </c>
      <c r="G767" t="s">
        <v>306</v>
      </c>
      <c r="H767" t="s">
        <v>307</v>
      </c>
      <c r="I767" t="s">
        <v>91</v>
      </c>
      <c r="J767" t="s">
        <v>92</v>
      </c>
      <c r="K767">
        <v>4250</v>
      </c>
      <c r="L767" t="s">
        <v>2012</v>
      </c>
      <c r="M767" t="s">
        <v>2012</v>
      </c>
      <c r="N767" t="s">
        <v>553</v>
      </c>
      <c r="O767" t="s">
        <v>553</v>
      </c>
      <c r="P767" t="s">
        <v>554</v>
      </c>
      <c r="Q767" t="s">
        <v>555</v>
      </c>
      <c r="R767" t="s">
        <v>165</v>
      </c>
      <c r="S767" t="s">
        <v>309</v>
      </c>
      <c r="T767" t="s">
        <v>97</v>
      </c>
      <c r="U767" t="s">
        <v>98</v>
      </c>
      <c r="V767" t="s">
        <v>99</v>
      </c>
      <c r="W767" t="s">
        <v>98</v>
      </c>
      <c r="X767" t="s">
        <v>100</v>
      </c>
    </row>
    <row r="768" spans="1:24" x14ac:dyDescent="0.2">
      <c r="A768" t="s">
        <v>2013</v>
      </c>
      <c r="B768">
        <v>1090</v>
      </c>
      <c r="C768" t="s">
        <v>60</v>
      </c>
      <c r="D768" t="s">
        <v>156</v>
      </c>
      <c r="E768" t="s">
        <v>157</v>
      </c>
      <c r="F768" t="s">
        <v>158</v>
      </c>
      <c r="G768" t="s">
        <v>306</v>
      </c>
      <c r="H768" t="s">
        <v>307</v>
      </c>
      <c r="I768" t="s">
        <v>102</v>
      </c>
      <c r="J768" t="s">
        <v>103</v>
      </c>
      <c r="K768">
        <v>4150</v>
      </c>
      <c r="L768" t="s">
        <v>2014</v>
      </c>
      <c r="M768" t="s">
        <v>2014</v>
      </c>
      <c r="N768" t="s">
        <v>553</v>
      </c>
      <c r="O768" t="s">
        <v>553</v>
      </c>
      <c r="P768" t="s">
        <v>554</v>
      </c>
      <c r="Q768" t="s">
        <v>555</v>
      </c>
      <c r="R768" t="s">
        <v>165</v>
      </c>
      <c r="S768" t="s">
        <v>312</v>
      </c>
      <c r="T768" t="s">
        <v>313</v>
      </c>
      <c r="U768" t="s">
        <v>314</v>
      </c>
      <c r="V768" t="s">
        <v>99</v>
      </c>
      <c r="W768" t="s">
        <v>314</v>
      </c>
      <c r="X768" t="s">
        <v>715</v>
      </c>
    </row>
    <row r="769" spans="1:24" x14ac:dyDescent="0.2">
      <c r="A769" t="s">
        <v>2015</v>
      </c>
      <c r="B769">
        <v>1090</v>
      </c>
      <c r="C769" t="s">
        <v>60</v>
      </c>
      <c r="D769" t="s">
        <v>156</v>
      </c>
      <c r="E769" t="s">
        <v>157</v>
      </c>
      <c r="F769" t="s">
        <v>158</v>
      </c>
      <c r="G769" t="s">
        <v>306</v>
      </c>
      <c r="H769" t="s">
        <v>307</v>
      </c>
      <c r="I769" t="s">
        <v>131</v>
      </c>
      <c r="J769" t="s">
        <v>132</v>
      </c>
      <c r="K769">
        <v>4650</v>
      </c>
      <c r="L769" t="s">
        <v>2016</v>
      </c>
      <c r="M769" t="s">
        <v>2016</v>
      </c>
      <c r="N769" t="s">
        <v>553</v>
      </c>
      <c r="O769" t="s">
        <v>553</v>
      </c>
      <c r="P769" t="s">
        <v>554</v>
      </c>
      <c r="Q769" t="s">
        <v>555</v>
      </c>
      <c r="R769" t="s">
        <v>165</v>
      </c>
      <c r="S769" t="s">
        <v>318</v>
      </c>
      <c r="T769" t="s">
        <v>136</v>
      </c>
      <c r="U769" t="s">
        <v>131</v>
      </c>
      <c r="V769" t="s">
        <v>99</v>
      </c>
      <c r="W769" t="s">
        <v>131</v>
      </c>
      <c r="X769" t="s">
        <v>660</v>
      </c>
    </row>
    <row r="770" spans="1:24" x14ac:dyDescent="0.2">
      <c r="A770" t="s">
        <v>2017</v>
      </c>
      <c r="B770">
        <v>1090</v>
      </c>
      <c r="C770" t="s">
        <v>60</v>
      </c>
      <c r="D770" t="s">
        <v>156</v>
      </c>
      <c r="E770" t="s">
        <v>157</v>
      </c>
      <c r="F770" t="s">
        <v>158</v>
      </c>
      <c r="G770" t="s">
        <v>306</v>
      </c>
      <c r="H770" t="s">
        <v>307</v>
      </c>
      <c r="I770" t="s">
        <v>139</v>
      </c>
      <c r="J770" t="s">
        <v>140</v>
      </c>
      <c r="K770">
        <v>4650</v>
      </c>
      <c r="L770" t="s">
        <v>2018</v>
      </c>
      <c r="M770" t="s">
        <v>2018</v>
      </c>
      <c r="N770" t="s">
        <v>553</v>
      </c>
      <c r="O770" t="s">
        <v>553</v>
      </c>
      <c r="P770" t="s">
        <v>554</v>
      </c>
      <c r="Q770" t="s">
        <v>555</v>
      </c>
      <c r="R770" t="s">
        <v>165</v>
      </c>
      <c r="S770" t="s">
        <v>321</v>
      </c>
      <c r="T770" t="s">
        <v>144</v>
      </c>
      <c r="U770" t="s">
        <v>139</v>
      </c>
      <c r="V770" t="s">
        <v>99</v>
      </c>
      <c r="W770" t="s">
        <v>139</v>
      </c>
      <c r="X770" t="s">
        <v>145</v>
      </c>
    </row>
    <row r="771" spans="1:24" x14ac:dyDescent="0.2">
      <c r="A771" t="s">
        <v>2019</v>
      </c>
      <c r="B771">
        <v>1090</v>
      </c>
      <c r="C771" t="s">
        <v>60</v>
      </c>
      <c r="D771" t="s">
        <v>156</v>
      </c>
      <c r="E771" t="s">
        <v>157</v>
      </c>
      <c r="F771" t="s">
        <v>158</v>
      </c>
      <c r="H771" t="s">
        <v>64</v>
      </c>
      <c r="I771" t="s">
        <v>131</v>
      </c>
      <c r="J771" t="s">
        <v>132</v>
      </c>
      <c r="K771">
        <v>3250</v>
      </c>
      <c r="L771" t="s">
        <v>2020</v>
      </c>
      <c r="M771" t="s">
        <v>2020</v>
      </c>
      <c r="N771" t="s">
        <v>553</v>
      </c>
      <c r="O771" t="s">
        <v>553</v>
      </c>
      <c r="P771" t="s">
        <v>554</v>
      </c>
      <c r="Q771" t="s">
        <v>555</v>
      </c>
      <c r="R771" t="s">
        <v>165</v>
      </c>
      <c r="S771" t="s">
        <v>149</v>
      </c>
      <c r="T771" t="s">
        <v>136</v>
      </c>
      <c r="U771" t="s">
        <v>131</v>
      </c>
      <c r="V771" t="s">
        <v>99</v>
      </c>
      <c r="W771" t="s">
        <v>131</v>
      </c>
      <c r="X771" t="s">
        <v>660</v>
      </c>
    </row>
    <row r="772" spans="1:24" x14ac:dyDescent="0.2">
      <c r="A772" t="s">
        <v>2021</v>
      </c>
      <c r="B772">
        <v>1090</v>
      </c>
      <c r="C772" t="s">
        <v>60</v>
      </c>
      <c r="D772" t="s">
        <v>156</v>
      </c>
      <c r="E772" t="s">
        <v>157</v>
      </c>
      <c r="F772" t="s">
        <v>158</v>
      </c>
      <c r="H772" t="s">
        <v>64</v>
      </c>
      <c r="I772" t="s">
        <v>139</v>
      </c>
      <c r="J772" t="s">
        <v>140</v>
      </c>
      <c r="K772">
        <v>3250</v>
      </c>
      <c r="L772" t="s">
        <v>2022</v>
      </c>
      <c r="M772" t="s">
        <v>2022</v>
      </c>
      <c r="N772" t="s">
        <v>553</v>
      </c>
      <c r="O772" t="s">
        <v>553</v>
      </c>
      <c r="P772" t="s">
        <v>554</v>
      </c>
      <c r="Q772" t="s">
        <v>555</v>
      </c>
      <c r="R772" t="s">
        <v>165</v>
      </c>
      <c r="S772" t="s">
        <v>153</v>
      </c>
      <c r="T772" t="s">
        <v>144</v>
      </c>
      <c r="U772" t="s">
        <v>139</v>
      </c>
      <c r="V772" t="s">
        <v>99</v>
      </c>
      <c r="W772" t="s">
        <v>139</v>
      </c>
      <c r="X772" t="s">
        <v>145</v>
      </c>
    </row>
    <row r="773" spans="1:24" x14ac:dyDescent="0.2">
      <c r="A773" t="s">
        <v>2023</v>
      </c>
      <c r="B773" t="s">
        <v>1979</v>
      </c>
      <c r="C773" t="s">
        <v>60</v>
      </c>
      <c r="D773" t="s">
        <v>156</v>
      </c>
      <c r="E773" t="s">
        <v>1666</v>
      </c>
      <c r="F773" t="s">
        <v>1667</v>
      </c>
      <c r="G773" t="s">
        <v>159</v>
      </c>
      <c r="H773" t="s">
        <v>160</v>
      </c>
      <c r="I773" t="s">
        <v>102</v>
      </c>
      <c r="J773" t="s">
        <v>103</v>
      </c>
      <c r="K773">
        <v>2850</v>
      </c>
      <c r="L773" t="s">
        <v>2024</v>
      </c>
      <c r="M773" t="s">
        <v>2024</v>
      </c>
      <c r="N773" t="s">
        <v>70</v>
      </c>
      <c r="O773" t="s">
        <v>70</v>
      </c>
      <c r="P773" t="s">
        <v>1641</v>
      </c>
      <c r="Q773" t="s">
        <v>1642</v>
      </c>
      <c r="R773" t="s">
        <v>1669</v>
      </c>
      <c r="S773" t="s">
        <v>166</v>
      </c>
      <c r="T773" t="s">
        <v>107</v>
      </c>
      <c r="U773" t="s">
        <v>108</v>
      </c>
      <c r="V773" t="s">
        <v>77</v>
      </c>
      <c r="W773" t="s">
        <v>108</v>
      </c>
      <c r="X773" t="s">
        <v>109</v>
      </c>
    </row>
    <row r="774" spans="1:24" x14ac:dyDescent="0.2">
      <c r="A774" t="s">
        <v>2025</v>
      </c>
      <c r="C774" t="s">
        <v>2026</v>
      </c>
      <c r="K774">
        <v>525</v>
      </c>
      <c r="L774" t="e">
        <v>#N/A</v>
      </c>
      <c r="M774" t="e">
        <v>#N/A</v>
      </c>
      <c r="P774" t="s">
        <v>2027</v>
      </c>
      <c r="Q774" t="s">
        <v>2028</v>
      </c>
      <c r="T774" t="s">
        <v>2029</v>
      </c>
      <c r="U774" t="s">
        <v>2029</v>
      </c>
    </row>
    <row r="775" spans="1:24" x14ac:dyDescent="0.2">
      <c r="A775" t="s">
        <v>2030</v>
      </c>
      <c r="C775" t="s">
        <v>2026</v>
      </c>
      <c r="K775">
        <v>525</v>
      </c>
      <c r="L775" t="e">
        <v>#N/A</v>
      </c>
      <c r="M775" t="e">
        <v>#N/A</v>
      </c>
      <c r="P775" t="s">
        <v>2031</v>
      </c>
      <c r="Q775" t="s">
        <v>2032</v>
      </c>
      <c r="T775" t="s">
        <v>2029</v>
      </c>
      <c r="U775" t="s">
        <v>2029</v>
      </c>
    </row>
    <row r="776" spans="1:24" x14ac:dyDescent="0.2">
      <c r="A776" t="s">
        <v>2033</v>
      </c>
      <c r="C776" t="s">
        <v>2034</v>
      </c>
      <c r="F776" t="s">
        <v>2035</v>
      </c>
      <c r="G776" t="s">
        <v>159</v>
      </c>
      <c r="K776">
        <v>500</v>
      </c>
      <c r="T776" t="s">
        <v>2036</v>
      </c>
      <c r="U776" t="s">
        <v>2036</v>
      </c>
    </row>
    <row r="777" spans="1:24" x14ac:dyDescent="0.2">
      <c r="A777" t="s">
        <v>2037</v>
      </c>
      <c r="B777">
        <v>854.20899999999995</v>
      </c>
      <c r="C777" t="s">
        <v>60</v>
      </c>
      <c r="D777" t="s">
        <v>61</v>
      </c>
      <c r="E777" t="s">
        <v>2038</v>
      </c>
      <c r="F777" t="s">
        <v>2039</v>
      </c>
      <c r="G777" t="s">
        <v>111</v>
      </c>
      <c r="H777" t="s">
        <v>112</v>
      </c>
      <c r="I777" t="s">
        <v>2040</v>
      </c>
      <c r="J777" t="s">
        <v>2041</v>
      </c>
      <c r="K777">
        <v>6250</v>
      </c>
      <c r="L777" t="s">
        <v>2042</v>
      </c>
      <c r="N777" t="s">
        <v>170</v>
      </c>
      <c r="O777" t="s">
        <v>170</v>
      </c>
      <c r="P777" t="s">
        <v>1382</v>
      </c>
      <c r="Q777" t="s">
        <v>2043</v>
      </c>
      <c r="R777" t="s">
        <v>2044</v>
      </c>
      <c r="S777" t="s">
        <v>2045</v>
      </c>
      <c r="T777" t="s">
        <v>2046</v>
      </c>
      <c r="U777" t="s">
        <v>2047</v>
      </c>
      <c r="V777" t="s">
        <v>2048</v>
      </c>
    </row>
    <row r="778" spans="1:24" x14ac:dyDescent="0.2">
      <c r="A778" t="s">
        <v>2049</v>
      </c>
      <c r="B778">
        <v>854.20899999999995</v>
      </c>
      <c r="C778" t="s">
        <v>60</v>
      </c>
      <c r="D778" t="s">
        <v>61</v>
      </c>
      <c r="E778" t="s">
        <v>2038</v>
      </c>
      <c r="F778" t="s">
        <v>2039</v>
      </c>
      <c r="I778" t="s">
        <v>2040</v>
      </c>
      <c r="J778" t="s">
        <v>2041</v>
      </c>
      <c r="K778">
        <v>5550</v>
      </c>
      <c r="L778" t="s">
        <v>2050</v>
      </c>
      <c r="N778" t="s">
        <v>170</v>
      </c>
      <c r="O778" t="s">
        <v>170</v>
      </c>
      <c r="P778" t="s">
        <v>1382</v>
      </c>
      <c r="Q778" t="s">
        <v>2043</v>
      </c>
      <c r="R778" t="s">
        <v>2044</v>
      </c>
      <c r="S778" t="s">
        <v>2051</v>
      </c>
      <c r="T778" t="s">
        <v>2046</v>
      </c>
      <c r="U778" t="s">
        <v>2047</v>
      </c>
      <c r="V778" t="s">
        <v>2048</v>
      </c>
    </row>
    <row r="779" spans="1:24" x14ac:dyDescent="0.2">
      <c r="A779" t="s">
        <v>2052</v>
      </c>
      <c r="B779">
        <v>852.34699999999998</v>
      </c>
      <c r="C779" t="s">
        <v>60</v>
      </c>
      <c r="D779" t="s">
        <v>156</v>
      </c>
      <c r="E779" t="s">
        <v>2053</v>
      </c>
      <c r="F779" t="s">
        <v>2054</v>
      </c>
      <c r="G779" t="s">
        <v>111</v>
      </c>
      <c r="H779" t="s">
        <v>112</v>
      </c>
      <c r="I779" t="s">
        <v>2040</v>
      </c>
      <c r="J779" t="s">
        <v>2041</v>
      </c>
      <c r="K779">
        <v>5250</v>
      </c>
      <c r="L779" t="s">
        <v>2055</v>
      </c>
      <c r="N779" t="s">
        <v>385</v>
      </c>
      <c r="O779" t="s">
        <v>170</v>
      </c>
      <c r="P779" t="s">
        <v>1266</v>
      </c>
      <c r="Q779" t="s">
        <v>2043</v>
      </c>
      <c r="R779" t="s">
        <v>2056</v>
      </c>
      <c r="S779" t="s">
        <v>2045</v>
      </c>
      <c r="T779" t="s">
        <v>2046</v>
      </c>
      <c r="U779" t="s">
        <v>2047</v>
      </c>
      <c r="V779" t="s">
        <v>2048</v>
      </c>
    </row>
    <row r="780" spans="1:24" x14ac:dyDescent="0.2">
      <c r="A780" t="s">
        <v>2057</v>
      </c>
      <c r="B780">
        <v>852.34699999999998</v>
      </c>
      <c r="C780" t="s">
        <v>60</v>
      </c>
      <c r="D780" t="s">
        <v>156</v>
      </c>
      <c r="E780" t="s">
        <v>2053</v>
      </c>
      <c r="F780" t="s">
        <v>2054</v>
      </c>
      <c r="I780" t="s">
        <v>2040</v>
      </c>
      <c r="J780" t="s">
        <v>2041</v>
      </c>
      <c r="K780">
        <v>4550</v>
      </c>
      <c r="L780" t="s">
        <v>2058</v>
      </c>
      <c r="N780" t="s">
        <v>385</v>
      </c>
      <c r="O780" t="s">
        <v>170</v>
      </c>
      <c r="P780" t="s">
        <v>1266</v>
      </c>
      <c r="Q780" t="s">
        <v>2043</v>
      </c>
      <c r="R780" t="s">
        <v>2056</v>
      </c>
      <c r="S780" t="s">
        <v>2051</v>
      </c>
      <c r="T780" t="s">
        <v>2046</v>
      </c>
      <c r="U780" t="s">
        <v>2047</v>
      </c>
      <c r="V780" t="s">
        <v>2048</v>
      </c>
    </row>
    <row r="781" spans="1:24" x14ac:dyDescent="0.2">
      <c r="A781" t="s">
        <v>2059</v>
      </c>
      <c r="B781">
        <v>852.34699999999998</v>
      </c>
      <c r="C781" t="s">
        <v>60</v>
      </c>
      <c r="D781" t="s">
        <v>61</v>
      </c>
      <c r="E781" t="s">
        <v>2038</v>
      </c>
      <c r="F781" t="s">
        <v>2039</v>
      </c>
      <c r="G781" t="s">
        <v>111</v>
      </c>
      <c r="H781" t="s">
        <v>112</v>
      </c>
      <c r="I781" t="s">
        <v>2040</v>
      </c>
      <c r="J781" t="s">
        <v>2041</v>
      </c>
      <c r="K781">
        <v>6250</v>
      </c>
      <c r="L781" t="s">
        <v>2060</v>
      </c>
      <c r="N781" t="s">
        <v>385</v>
      </c>
      <c r="O781" t="s">
        <v>170</v>
      </c>
      <c r="P781" t="s">
        <v>1266</v>
      </c>
      <c r="Q781" t="s">
        <v>2043</v>
      </c>
      <c r="R781" t="s">
        <v>2044</v>
      </c>
      <c r="S781" t="s">
        <v>2045</v>
      </c>
      <c r="T781" t="s">
        <v>2046</v>
      </c>
      <c r="U781" t="s">
        <v>2047</v>
      </c>
      <c r="V781" t="s">
        <v>2048</v>
      </c>
    </row>
    <row r="782" spans="1:24" x14ac:dyDescent="0.2">
      <c r="A782" t="s">
        <v>2061</v>
      </c>
      <c r="B782">
        <v>852.34699999999998</v>
      </c>
      <c r="C782" t="s">
        <v>60</v>
      </c>
      <c r="D782" t="s">
        <v>61</v>
      </c>
      <c r="E782" t="s">
        <v>2038</v>
      </c>
      <c r="F782" t="s">
        <v>2039</v>
      </c>
      <c r="H782" t="s">
        <v>64</v>
      </c>
      <c r="I782" t="s">
        <v>2040</v>
      </c>
      <c r="J782" t="s">
        <v>2041</v>
      </c>
      <c r="K782">
        <v>5550</v>
      </c>
      <c r="L782" t="s">
        <v>2062</v>
      </c>
      <c r="N782" t="s">
        <v>385</v>
      </c>
      <c r="O782" t="s">
        <v>170</v>
      </c>
      <c r="P782" t="s">
        <v>1266</v>
      </c>
      <c r="Q782" t="s">
        <v>2043</v>
      </c>
      <c r="R782" t="s">
        <v>2044</v>
      </c>
      <c r="S782" t="s">
        <v>2051</v>
      </c>
      <c r="T782" t="s">
        <v>2046</v>
      </c>
      <c r="U782" t="s">
        <v>2047</v>
      </c>
      <c r="V782" t="s">
        <v>2048</v>
      </c>
    </row>
    <row r="783" spans="1:24" x14ac:dyDescent="0.2">
      <c r="A783" t="s">
        <v>2063</v>
      </c>
      <c r="B783">
        <v>845.58399999999995</v>
      </c>
      <c r="C783" t="s">
        <v>60</v>
      </c>
      <c r="D783" t="s">
        <v>61</v>
      </c>
      <c r="E783" t="s">
        <v>2038</v>
      </c>
      <c r="F783" t="s">
        <v>2039</v>
      </c>
      <c r="G783" t="s">
        <v>111</v>
      </c>
      <c r="H783" t="s">
        <v>112</v>
      </c>
      <c r="I783" t="s">
        <v>2040</v>
      </c>
      <c r="J783" t="s">
        <v>2041</v>
      </c>
      <c r="K783">
        <v>6250</v>
      </c>
      <c r="L783" t="s">
        <v>2064</v>
      </c>
      <c r="N783" t="s">
        <v>170</v>
      </c>
      <c r="O783" t="s">
        <v>170</v>
      </c>
      <c r="P783" t="s">
        <v>1204</v>
      </c>
      <c r="Q783" t="s">
        <v>2043</v>
      </c>
      <c r="R783" t="s">
        <v>2044</v>
      </c>
      <c r="S783" t="s">
        <v>2045</v>
      </c>
      <c r="T783" t="s">
        <v>2046</v>
      </c>
      <c r="U783" t="s">
        <v>2047</v>
      </c>
      <c r="V783" t="s">
        <v>2048</v>
      </c>
    </row>
    <row r="784" spans="1:24" x14ac:dyDescent="0.2">
      <c r="A784" t="s">
        <v>2065</v>
      </c>
      <c r="B784">
        <v>845.58399999999995</v>
      </c>
      <c r="C784" t="s">
        <v>60</v>
      </c>
      <c r="D784" t="s">
        <v>61</v>
      </c>
      <c r="E784" t="s">
        <v>2038</v>
      </c>
      <c r="F784" t="s">
        <v>2039</v>
      </c>
      <c r="I784" t="s">
        <v>2040</v>
      </c>
      <c r="J784" t="s">
        <v>2041</v>
      </c>
      <c r="K784">
        <v>5550</v>
      </c>
      <c r="L784" t="s">
        <v>2066</v>
      </c>
      <c r="N784" t="s">
        <v>170</v>
      </c>
      <c r="O784" t="s">
        <v>170</v>
      </c>
      <c r="P784" t="s">
        <v>1204</v>
      </c>
      <c r="Q784" t="s">
        <v>2043</v>
      </c>
      <c r="R784" t="s">
        <v>2044</v>
      </c>
      <c r="S784" t="s">
        <v>2051</v>
      </c>
      <c r="T784" t="s">
        <v>2046</v>
      </c>
      <c r="U784" t="s">
        <v>2047</v>
      </c>
      <c r="V784" t="s">
        <v>2048</v>
      </c>
    </row>
    <row r="785" spans="1:22" x14ac:dyDescent="0.2">
      <c r="A785" t="s">
        <v>2067</v>
      </c>
      <c r="B785">
        <v>794.97799999999995</v>
      </c>
      <c r="C785" t="s">
        <v>60</v>
      </c>
      <c r="D785" t="s">
        <v>156</v>
      </c>
      <c r="E785" t="s">
        <v>2053</v>
      </c>
      <c r="F785" t="s">
        <v>2054</v>
      </c>
      <c r="G785" t="s">
        <v>111</v>
      </c>
      <c r="H785" t="s">
        <v>112</v>
      </c>
      <c r="I785" t="s">
        <v>2068</v>
      </c>
      <c r="J785" t="s">
        <v>2069</v>
      </c>
      <c r="K785">
        <v>4950</v>
      </c>
      <c r="L785" t="s">
        <v>2070</v>
      </c>
      <c r="N785" t="s">
        <v>385</v>
      </c>
      <c r="O785" t="s">
        <v>385</v>
      </c>
      <c r="P785" t="s">
        <v>821</v>
      </c>
      <c r="Q785" t="s">
        <v>2071</v>
      </c>
      <c r="R785" t="s">
        <v>2056</v>
      </c>
      <c r="S785" t="s">
        <v>2072</v>
      </c>
      <c r="T785" t="s">
        <v>2046</v>
      </c>
      <c r="U785" t="s">
        <v>2047</v>
      </c>
      <c r="V785" t="s">
        <v>2048</v>
      </c>
    </row>
    <row r="786" spans="1:22" x14ac:dyDescent="0.2">
      <c r="A786" t="s">
        <v>2073</v>
      </c>
      <c r="B786">
        <v>794.97799999999995</v>
      </c>
      <c r="C786" t="s">
        <v>60</v>
      </c>
      <c r="D786" t="s">
        <v>156</v>
      </c>
      <c r="E786" t="s">
        <v>2053</v>
      </c>
      <c r="F786" t="s">
        <v>2054</v>
      </c>
      <c r="I786" t="s">
        <v>2068</v>
      </c>
      <c r="J786" t="s">
        <v>2069</v>
      </c>
      <c r="K786">
        <v>4250</v>
      </c>
      <c r="L786" t="s">
        <v>2074</v>
      </c>
      <c r="N786" t="s">
        <v>385</v>
      </c>
      <c r="O786" t="s">
        <v>385</v>
      </c>
      <c r="P786" t="s">
        <v>821</v>
      </c>
      <c r="Q786" t="s">
        <v>2071</v>
      </c>
      <c r="R786" t="s">
        <v>2056</v>
      </c>
      <c r="S786" t="s">
        <v>2075</v>
      </c>
      <c r="T786" t="s">
        <v>2046</v>
      </c>
      <c r="U786" t="s">
        <v>2047</v>
      </c>
      <c r="V786" t="s">
        <v>2048</v>
      </c>
    </row>
    <row r="787" spans="1:22" x14ac:dyDescent="0.2">
      <c r="A787" t="s">
        <v>2076</v>
      </c>
      <c r="B787">
        <v>794.97799999999995</v>
      </c>
      <c r="C787" t="s">
        <v>60</v>
      </c>
      <c r="D787" t="s">
        <v>61</v>
      </c>
      <c r="E787" t="s">
        <v>2077</v>
      </c>
      <c r="F787" t="s">
        <v>2078</v>
      </c>
      <c r="G787" t="s">
        <v>111</v>
      </c>
      <c r="H787" t="s">
        <v>112</v>
      </c>
      <c r="I787" t="s">
        <v>2068</v>
      </c>
      <c r="J787" t="s">
        <v>2069</v>
      </c>
      <c r="K787">
        <v>5950</v>
      </c>
      <c r="L787" t="s">
        <v>2079</v>
      </c>
      <c r="N787" t="s">
        <v>385</v>
      </c>
      <c r="O787" t="s">
        <v>385</v>
      </c>
      <c r="P787" t="s">
        <v>821</v>
      </c>
      <c r="Q787" t="s">
        <v>2071</v>
      </c>
      <c r="R787" t="s">
        <v>2080</v>
      </c>
      <c r="S787" t="s">
        <v>2072</v>
      </c>
      <c r="T787" t="s">
        <v>2046</v>
      </c>
      <c r="U787" t="s">
        <v>2047</v>
      </c>
      <c r="V787" t="s">
        <v>2048</v>
      </c>
    </row>
    <row r="788" spans="1:22" x14ac:dyDescent="0.2">
      <c r="A788" t="s">
        <v>2081</v>
      </c>
      <c r="B788">
        <v>794.97799999999995</v>
      </c>
      <c r="C788" t="s">
        <v>60</v>
      </c>
      <c r="D788" t="s">
        <v>61</v>
      </c>
      <c r="E788" t="s">
        <v>2077</v>
      </c>
      <c r="F788" t="s">
        <v>2078</v>
      </c>
      <c r="I788" t="s">
        <v>2068</v>
      </c>
      <c r="J788" t="s">
        <v>2069</v>
      </c>
      <c r="K788">
        <v>5250</v>
      </c>
      <c r="L788" t="s">
        <v>2082</v>
      </c>
      <c r="N788" t="s">
        <v>385</v>
      </c>
      <c r="O788" t="s">
        <v>385</v>
      </c>
      <c r="P788" t="s">
        <v>821</v>
      </c>
      <c r="Q788" t="s">
        <v>2071</v>
      </c>
      <c r="R788" t="s">
        <v>2080</v>
      </c>
      <c r="S788" t="s">
        <v>2075</v>
      </c>
      <c r="T788" t="s">
        <v>2046</v>
      </c>
      <c r="U788" t="s">
        <v>2047</v>
      </c>
      <c r="V788" t="s">
        <v>2048</v>
      </c>
    </row>
    <row r="789" spans="1:22" x14ac:dyDescent="0.2">
      <c r="A789" t="s">
        <v>2083</v>
      </c>
      <c r="B789">
        <v>785</v>
      </c>
      <c r="C789" t="s">
        <v>60</v>
      </c>
      <c r="D789" t="s">
        <v>156</v>
      </c>
      <c r="E789" t="s">
        <v>2053</v>
      </c>
      <c r="F789" t="s">
        <v>2054</v>
      </c>
      <c r="G789" t="s">
        <v>111</v>
      </c>
      <c r="H789" t="s">
        <v>112</v>
      </c>
      <c r="I789" t="s">
        <v>2068</v>
      </c>
      <c r="J789" t="s">
        <v>2069</v>
      </c>
      <c r="K789">
        <v>4950</v>
      </c>
      <c r="L789" t="s">
        <v>2084</v>
      </c>
      <c r="N789" t="s">
        <v>731</v>
      </c>
      <c r="O789" t="s">
        <v>731</v>
      </c>
      <c r="P789" t="s">
        <v>732</v>
      </c>
      <c r="Q789" t="s">
        <v>2071</v>
      </c>
      <c r="R789" t="s">
        <v>2056</v>
      </c>
      <c r="S789" t="s">
        <v>2072</v>
      </c>
      <c r="T789" t="s">
        <v>2046</v>
      </c>
      <c r="U789" t="s">
        <v>2047</v>
      </c>
      <c r="V789" t="s">
        <v>2048</v>
      </c>
    </row>
    <row r="790" spans="1:22" x14ac:dyDescent="0.2">
      <c r="A790" t="s">
        <v>2085</v>
      </c>
      <c r="B790">
        <v>785</v>
      </c>
      <c r="C790" t="s">
        <v>60</v>
      </c>
      <c r="D790" t="s">
        <v>156</v>
      </c>
      <c r="E790" t="s">
        <v>2053</v>
      </c>
      <c r="F790" t="s">
        <v>2054</v>
      </c>
      <c r="I790" t="s">
        <v>2068</v>
      </c>
      <c r="J790" t="s">
        <v>2069</v>
      </c>
      <c r="K790">
        <v>4250</v>
      </c>
      <c r="L790" t="s">
        <v>2086</v>
      </c>
      <c r="N790" t="s">
        <v>731</v>
      </c>
      <c r="O790" t="s">
        <v>731</v>
      </c>
      <c r="P790" t="s">
        <v>732</v>
      </c>
      <c r="Q790" t="s">
        <v>2071</v>
      </c>
      <c r="R790" t="s">
        <v>2056</v>
      </c>
      <c r="S790" t="s">
        <v>2075</v>
      </c>
      <c r="T790" t="s">
        <v>2046</v>
      </c>
      <c r="U790" t="s">
        <v>2047</v>
      </c>
      <c r="V790" t="s">
        <v>2048</v>
      </c>
    </row>
    <row r="791" spans="1:22" x14ac:dyDescent="0.2">
      <c r="A791" t="s">
        <v>2087</v>
      </c>
      <c r="B791">
        <v>785</v>
      </c>
      <c r="C791" t="s">
        <v>60</v>
      </c>
      <c r="D791" t="s">
        <v>61</v>
      </c>
      <c r="E791" t="s">
        <v>2077</v>
      </c>
      <c r="F791" t="s">
        <v>2078</v>
      </c>
      <c r="G791" t="s">
        <v>111</v>
      </c>
      <c r="H791" t="s">
        <v>112</v>
      </c>
      <c r="I791" t="s">
        <v>2068</v>
      </c>
      <c r="J791" t="s">
        <v>2069</v>
      </c>
      <c r="K791">
        <v>5950</v>
      </c>
      <c r="L791" t="s">
        <v>2088</v>
      </c>
      <c r="N791" t="s">
        <v>731</v>
      </c>
      <c r="O791" t="s">
        <v>731</v>
      </c>
      <c r="P791" t="s">
        <v>732</v>
      </c>
      <c r="Q791" t="s">
        <v>2071</v>
      </c>
      <c r="R791" t="s">
        <v>2080</v>
      </c>
      <c r="S791" t="s">
        <v>2072</v>
      </c>
      <c r="T791" t="s">
        <v>2046</v>
      </c>
      <c r="U791" t="s">
        <v>2047</v>
      </c>
      <c r="V791" t="s">
        <v>2048</v>
      </c>
    </row>
    <row r="792" spans="1:22" x14ac:dyDescent="0.2">
      <c r="A792" t="s">
        <v>2089</v>
      </c>
      <c r="B792">
        <v>785</v>
      </c>
      <c r="C792" t="s">
        <v>60</v>
      </c>
      <c r="D792" t="s">
        <v>61</v>
      </c>
      <c r="E792" t="s">
        <v>2077</v>
      </c>
      <c r="F792" t="s">
        <v>2078</v>
      </c>
      <c r="I792" t="s">
        <v>2068</v>
      </c>
      <c r="J792" t="s">
        <v>2069</v>
      </c>
      <c r="K792">
        <v>5250</v>
      </c>
      <c r="L792" t="s">
        <v>2090</v>
      </c>
      <c r="N792" t="s">
        <v>731</v>
      </c>
      <c r="O792" t="s">
        <v>731</v>
      </c>
      <c r="P792" t="s">
        <v>732</v>
      </c>
      <c r="Q792" t="s">
        <v>2071</v>
      </c>
      <c r="R792" t="s">
        <v>2080</v>
      </c>
      <c r="S792" t="s">
        <v>2075</v>
      </c>
      <c r="T792" t="s">
        <v>2046</v>
      </c>
      <c r="U792" t="s">
        <v>2047</v>
      </c>
      <c r="V792" t="s">
        <v>2048</v>
      </c>
    </row>
    <row r="793" spans="1:22" x14ac:dyDescent="0.2">
      <c r="A793" t="s">
        <v>2091</v>
      </c>
      <c r="B793">
        <v>780.24099999999999</v>
      </c>
      <c r="C793" t="s">
        <v>60</v>
      </c>
      <c r="D793" t="s">
        <v>156</v>
      </c>
      <c r="E793" t="s">
        <v>2053</v>
      </c>
      <c r="F793" t="s">
        <v>2054</v>
      </c>
      <c r="G793" t="s">
        <v>111</v>
      </c>
      <c r="H793" t="s">
        <v>112</v>
      </c>
      <c r="I793" t="s">
        <v>2068</v>
      </c>
      <c r="J793" t="s">
        <v>2069</v>
      </c>
      <c r="K793">
        <v>4950</v>
      </c>
      <c r="L793" t="s">
        <v>2092</v>
      </c>
      <c r="N793" t="s">
        <v>385</v>
      </c>
      <c r="O793" t="s">
        <v>385</v>
      </c>
      <c r="P793" t="s">
        <v>591</v>
      </c>
      <c r="Q793" t="s">
        <v>2071</v>
      </c>
      <c r="R793" t="s">
        <v>2056</v>
      </c>
      <c r="S793" t="s">
        <v>2072</v>
      </c>
      <c r="T793" t="s">
        <v>2046</v>
      </c>
      <c r="U793" t="s">
        <v>2047</v>
      </c>
      <c r="V793" t="s">
        <v>2048</v>
      </c>
    </row>
    <row r="794" spans="1:22" x14ac:dyDescent="0.2">
      <c r="A794" t="s">
        <v>2093</v>
      </c>
      <c r="B794">
        <v>780.24099999999999</v>
      </c>
      <c r="C794" t="s">
        <v>60</v>
      </c>
      <c r="D794" t="s">
        <v>156</v>
      </c>
      <c r="E794" t="s">
        <v>2053</v>
      </c>
      <c r="F794" t="s">
        <v>2054</v>
      </c>
      <c r="I794" t="s">
        <v>2068</v>
      </c>
      <c r="J794" t="s">
        <v>2069</v>
      </c>
      <c r="K794">
        <v>4250</v>
      </c>
      <c r="L794" t="s">
        <v>2094</v>
      </c>
      <c r="N794" t="s">
        <v>385</v>
      </c>
      <c r="O794" t="s">
        <v>385</v>
      </c>
      <c r="P794" t="s">
        <v>591</v>
      </c>
      <c r="Q794" t="s">
        <v>2071</v>
      </c>
      <c r="R794" t="s">
        <v>2056</v>
      </c>
      <c r="S794" t="s">
        <v>2075</v>
      </c>
      <c r="T794" t="s">
        <v>2046</v>
      </c>
      <c r="U794" t="s">
        <v>2047</v>
      </c>
      <c r="V794" t="s">
        <v>2048</v>
      </c>
    </row>
    <row r="795" spans="1:22" x14ac:dyDescent="0.2">
      <c r="A795" t="s">
        <v>2095</v>
      </c>
      <c r="B795">
        <v>780.24099999999999</v>
      </c>
      <c r="C795" t="s">
        <v>60</v>
      </c>
      <c r="D795" t="s">
        <v>61</v>
      </c>
      <c r="E795" t="s">
        <v>2077</v>
      </c>
      <c r="F795" t="s">
        <v>2078</v>
      </c>
      <c r="G795" t="s">
        <v>111</v>
      </c>
      <c r="H795" t="s">
        <v>112</v>
      </c>
      <c r="I795" t="s">
        <v>2068</v>
      </c>
      <c r="J795" t="s">
        <v>2069</v>
      </c>
      <c r="K795">
        <v>5950</v>
      </c>
      <c r="L795" t="s">
        <v>2096</v>
      </c>
      <c r="N795" t="s">
        <v>385</v>
      </c>
      <c r="O795" t="s">
        <v>385</v>
      </c>
      <c r="P795" t="s">
        <v>591</v>
      </c>
      <c r="Q795" t="s">
        <v>2071</v>
      </c>
      <c r="R795" t="s">
        <v>2080</v>
      </c>
      <c r="S795" t="s">
        <v>2072</v>
      </c>
      <c r="T795" t="s">
        <v>2046</v>
      </c>
      <c r="U795" t="s">
        <v>2047</v>
      </c>
      <c r="V795" t="s">
        <v>2048</v>
      </c>
    </row>
    <row r="796" spans="1:22" x14ac:dyDescent="0.2">
      <c r="A796" t="s">
        <v>2097</v>
      </c>
      <c r="B796">
        <v>780.24099999999999</v>
      </c>
      <c r="C796" t="s">
        <v>60</v>
      </c>
      <c r="D796" t="s">
        <v>61</v>
      </c>
      <c r="E796" t="s">
        <v>2077</v>
      </c>
      <c r="F796" t="s">
        <v>2078</v>
      </c>
      <c r="I796" t="s">
        <v>2068</v>
      </c>
      <c r="J796" t="s">
        <v>2069</v>
      </c>
      <c r="K796">
        <v>5250</v>
      </c>
      <c r="L796" t="s">
        <v>2098</v>
      </c>
      <c r="N796" t="s">
        <v>385</v>
      </c>
      <c r="O796" t="s">
        <v>385</v>
      </c>
      <c r="P796" t="s">
        <v>591</v>
      </c>
      <c r="Q796" t="s">
        <v>2071</v>
      </c>
      <c r="R796" t="s">
        <v>2080</v>
      </c>
      <c r="S796" t="s">
        <v>2075</v>
      </c>
      <c r="T796" t="s">
        <v>2046</v>
      </c>
      <c r="U796" t="s">
        <v>2047</v>
      </c>
      <c r="V796" t="s">
        <v>2048</v>
      </c>
    </row>
    <row r="797" spans="1:22" x14ac:dyDescent="0.2">
      <c r="A797" t="s">
        <v>2099</v>
      </c>
      <c r="B797">
        <v>778.10500000000002</v>
      </c>
      <c r="C797" t="s">
        <v>60</v>
      </c>
      <c r="D797" t="s">
        <v>61</v>
      </c>
      <c r="E797" t="s">
        <v>2077</v>
      </c>
      <c r="F797" t="s">
        <v>2078</v>
      </c>
      <c r="G797" t="s">
        <v>111</v>
      </c>
      <c r="H797" t="s">
        <v>112</v>
      </c>
      <c r="I797" t="s">
        <v>2068</v>
      </c>
      <c r="J797" t="s">
        <v>2069</v>
      </c>
      <c r="K797">
        <v>5950</v>
      </c>
      <c r="L797" t="s">
        <v>2100</v>
      </c>
      <c r="N797" t="s">
        <v>385</v>
      </c>
      <c r="O797" t="s">
        <v>385</v>
      </c>
      <c r="P797" t="s">
        <v>507</v>
      </c>
      <c r="Q797" t="s">
        <v>2071</v>
      </c>
      <c r="R797" t="s">
        <v>2080</v>
      </c>
      <c r="S797" t="s">
        <v>2072</v>
      </c>
      <c r="T797" t="s">
        <v>2046</v>
      </c>
      <c r="U797" t="s">
        <v>2047</v>
      </c>
      <c r="V797" t="s">
        <v>2048</v>
      </c>
    </row>
    <row r="798" spans="1:22" x14ac:dyDescent="0.2">
      <c r="A798" t="s">
        <v>2101</v>
      </c>
      <c r="B798">
        <v>778.10500000000002</v>
      </c>
      <c r="C798" t="s">
        <v>60</v>
      </c>
      <c r="D798" t="s">
        <v>61</v>
      </c>
      <c r="E798" t="s">
        <v>2077</v>
      </c>
      <c r="F798" t="s">
        <v>2078</v>
      </c>
      <c r="I798" t="s">
        <v>2068</v>
      </c>
      <c r="J798" t="s">
        <v>2069</v>
      </c>
      <c r="K798">
        <v>5250</v>
      </c>
      <c r="L798" t="s">
        <v>2102</v>
      </c>
      <c r="N798" t="s">
        <v>385</v>
      </c>
      <c r="O798" t="s">
        <v>385</v>
      </c>
      <c r="P798" t="s">
        <v>507</v>
      </c>
      <c r="Q798" t="s">
        <v>2071</v>
      </c>
      <c r="R798" t="s">
        <v>2080</v>
      </c>
      <c r="S798" t="s">
        <v>2075</v>
      </c>
      <c r="T798" t="s">
        <v>2046</v>
      </c>
      <c r="U798" t="s">
        <v>2047</v>
      </c>
      <c r="V798" t="s">
        <v>2048</v>
      </c>
    </row>
    <row r="799" spans="1:22" x14ac:dyDescent="0.2">
      <c r="A799" t="s">
        <v>2103</v>
      </c>
      <c r="B799">
        <v>776.06100000000004</v>
      </c>
      <c r="C799" t="s">
        <v>60</v>
      </c>
      <c r="D799" t="s">
        <v>61</v>
      </c>
      <c r="E799" t="s">
        <v>2104</v>
      </c>
      <c r="F799" t="s">
        <v>2105</v>
      </c>
      <c r="G799" t="s">
        <v>111</v>
      </c>
      <c r="H799" t="s">
        <v>112</v>
      </c>
      <c r="I799" t="s">
        <v>2068</v>
      </c>
      <c r="J799" t="s">
        <v>2069</v>
      </c>
      <c r="K799">
        <v>5950</v>
      </c>
      <c r="L799" t="s">
        <v>2106</v>
      </c>
      <c r="N799" t="s">
        <v>385</v>
      </c>
      <c r="O799" t="s">
        <v>385</v>
      </c>
      <c r="P799" t="s">
        <v>438</v>
      </c>
      <c r="Q799" t="s">
        <v>2071</v>
      </c>
      <c r="R799" t="s">
        <v>2107</v>
      </c>
      <c r="S799" t="s">
        <v>2072</v>
      </c>
      <c r="T799" t="s">
        <v>2046</v>
      </c>
      <c r="U799" t="s">
        <v>2047</v>
      </c>
      <c r="V799" t="s">
        <v>2048</v>
      </c>
    </row>
    <row r="800" spans="1:22" x14ac:dyDescent="0.2">
      <c r="A800" t="s">
        <v>2108</v>
      </c>
      <c r="B800">
        <v>776.06100000000004</v>
      </c>
      <c r="C800" t="s">
        <v>60</v>
      </c>
      <c r="D800" t="s">
        <v>61</v>
      </c>
      <c r="E800" t="s">
        <v>2104</v>
      </c>
      <c r="F800" t="s">
        <v>2105</v>
      </c>
      <c r="H800" t="s">
        <v>64</v>
      </c>
      <c r="I800" t="s">
        <v>2068</v>
      </c>
      <c r="J800" t="s">
        <v>2069</v>
      </c>
      <c r="K800">
        <v>5250</v>
      </c>
      <c r="L800" t="s">
        <v>2109</v>
      </c>
      <c r="N800" t="s">
        <v>385</v>
      </c>
      <c r="O800" t="s">
        <v>385</v>
      </c>
      <c r="P800" t="s">
        <v>438</v>
      </c>
      <c r="Q800" t="s">
        <v>2071</v>
      </c>
      <c r="R800" t="s">
        <v>2107</v>
      </c>
      <c r="S800" t="s">
        <v>2075</v>
      </c>
      <c r="T800" t="s">
        <v>2046</v>
      </c>
      <c r="U800" t="s">
        <v>2047</v>
      </c>
      <c r="V800" t="s">
        <v>2048</v>
      </c>
    </row>
    <row r="801" spans="1:22" x14ac:dyDescent="0.2">
      <c r="A801" t="s">
        <v>2110</v>
      </c>
      <c r="B801">
        <v>770.10799999999995</v>
      </c>
      <c r="C801" t="s">
        <v>60</v>
      </c>
      <c r="D801" t="s">
        <v>61</v>
      </c>
      <c r="E801" t="s">
        <v>2111</v>
      </c>
      <c r="F801" t="s">
        <v>2112</v>
      </c>
      <c r="G801" t="s">
        <v>111</v>
      </c>
      <c r="H801" t="s">
        <v>112</v>
      </c>
      <c r="I801" t="s">
        <v>2068</v>
      </c>
      <c r="J801" t="s">
        <v>2069</v>
      </c>
      <c r="K801">
        <v>5950</v>
      </c>
      <c r="L801" t="s">
        <v>2113</v>
      </c>
      <c r="N801" t="s">
        <v>385</v>
      </c>
      <c r="O801" t="s">
        <v>385</v>
      </c>
      <c r="P801" t="s">
        <v>386</v>
      </c>
      <c r="Q801" t="s">
        <v>2071</v>
      </c>
      <c r="R801" t="s">
        <v>2114</v>
      </c>
      <c r="S801" t="s">
        <v>2072</v>
      </c>
      <c r="T801" t="s">
        <v>2046</v>
      </c>
      <c r="U801" t="s">
        <v>2047</v>
      </c>
      <c r="V801" t="s">
        <v>2048</v>
      </c>
    </row>
    <row r="802" spans="1:22" x14ac:dyDescent="0.2">
      <c r="A802" t="s">
        <v>2115</v>
      </c>
      <c r="B802">
        <v>770.10799999999995</v>
      </c>
      <c r="C802" t="s">
        <v>60</v>
      </c>
      <c r="D802" t="s">
        <v>61</v>
      </c>
      <c r="E802" t="s">
        <v>2111</v>
      </c>
      <c r="F802" t="s">
        <v>2112</v>
      </c>
      <c r="H802" t="s">
        <v>64</v>
      </c>
      <c r="I802" t="s">
        <v>2068</v>
      </c>
      <c r="J802" t="s">
        <v>2069</v>
      </c>
      <c r="K802">
        <v>5250</v>
      </c>
      <c r="L802" t="s">
        <v>2116</v>
      </c>
      <c r="N802" t="s">
        <v>385</v>
      </c>
      <c r="O802" t="s">
        <v>385</v>
      </c>
      <c r="P802" t="s">
        <v>386</v>
      </c>
      <c r="Q802" t="s">
        <v>2071</v>
      </c>
      <c r="R802" t="s">
        <v>2114</v>
      </c>
      <c r="S802" t="s">
        <v>2075</v>
      </c>
      <c r="T802" t="s">
        <v>2046</v>
      </c>
      <c r="U802" t="s">
        <v>2047</v>
      </c>
      <c r="V802" t="s">
        <v>2048</v>
      </c>
    </row>
    <row r="803" spans="1:22" x14ac:dyDescent="0.2">
      <c r="A803" t="s">
        <v>2117</v>
      </c>
      <c r="B803">
        <v>1080</v>
      </c>
      <c r="C803" t="s">
        <v>60</v>
      </c>
      <c r="D803" t="s">
        <v>156</v>
      </c>
      <c r="E803" t="s">
        <v>1671</v>
      </c>
      <c r="F803" t="s">
        <v>1672</v>
      </c>
      <c r="G803" t="s">
        <v>111</v>
      </c>
      <c r="H803" t="s">
        <v>112</v>
      </c>
      <c r="I803" t="s">
        <v>2118</v>
      </c>
      <c r="J803" t="s">
        <v>2119</v>
      </c>
      <c r="K803">
        <v>5650</v>
      </c>
      <c r="L803" t="s">
        <v>2120</v>
      </c>
      <c r="N803" t="s">
        <v>162</v>
      </c>
      <c r="O803" t="s">
        <v>162</v>
      </c>
      <c r="P803" t="s">
        <v>381</v>
      </c>
      <c r="Q803" t="s">
        <v>2121</v>
      </c>
      <c r="R803" t="s">
        <v>1674</v>
      </c>
      <c r="S803" t="s">
        <v>2122</v>
      </c>
      <c r="T803" t="s">
        <v>2046</v>
      </c>
      <c r="U803" t="s">
        <v>2047</v>
      </c>
      <c r="V803" t="s">
        <v>2048</v>
      </c>
    </row>
    <row r="804" spans="1:22" x14ac:dyDescent="0.2">
      <c r="A804" t="s">
        <v>2123</v>
      </c>
      <c r="B804">
        <v>1080</v>
      </c>
      <c r="C804" t="s">
        <v>60</v>
      </c>
      <c r="D804" t="s">
        <v>156</v>
      </c>
      <c r="E804" t="s">
        <v>1671</v>
      </c>
      <c r="F804" t="s">
        <v>1672</v>
      </c>
      <c r="I804" t="s">
        <v>2118</v>
      </c>
      <c r="J804" t="s">
        <v>2119</v>
      </c>
      <c r="K804">
        <v>4950</v>
      </c>
      <c r="L804" t="s">
        <v>2124</v>
      </c>
      <c r="N804" t="s">
        <v>162</v>
      </c>
      <c r="O804" t="s">
        <v>162</v>
      </c>
      <c r="P804" t="s">
        <v>381</v>
      </c>
      <c r="Q804" t="s">
        <v>2121</v>
      </c>
      <c r="R804" t="s">
        <v>1674</v>
      </c>
      <c r="S804" t="s">
        <v>2125</v>
      </c>
      <c r="T804" t="s">
        <v>2046</v>
      </c>
      <c r="U804" t="s">
        <v>2047</v>
      </c>
      <c r="V804" t="s">
        <v>2048</v>
      </c>
    </row>
    <row r="805" spans="1:22" x14ac:dyDescent="0.2">
      <c r="A805" t="s">
        <v>2126</v>
      </c>
      <c r="B805">
        <v>1064</v>
      </c>
      <c r="C805" t="s">
        <v>60</v>
      </c>
      <c r="D805" t="s">
        <v>156</v>
      </c>
      <c r="E805" t="s">
        <v>1671</v>
      </c>
      <c r="F805" t="s">
        <v>1672</v>
      </c>
      <c r="G805" t="s">
        <v>111</v>
      </c>
      <c r="H805" t="s">
        <v>112</v>
      </c>
      <c r="I805" t="s">
        <v>2118</v>
      </c>
      <c r="J805" t="s">
        <v>2119</v>
      </c>
      <c r="K805">
        <v>5650</v>
      </c>
      <c r="L805" t="s">
        <v>2127</v>
      </c>
      <c r="N805" t="s">
        <v>162</v>
      </c>
      <c r="O805" t="s">
        <v>162</v>
      </c>
      <c r="P805" t="s">
        <v>256</v>
      </c>
      <c r="Q805" t="s">
        <v>2121</v>
      </c>
      <c r="R805" t="s">
        <v>1674</v>
      </c>
      <c r="S805" t="s">
        <v>2122</v>
      </c>
      <c r="T805" t="s">
        <v>2046</v>
      </c>
      <c r="U805" t="s">
        <v>2047</v>
      </c>
      <c r="V805" t="s">
        <v>2048</v>
      </c>
    </row>
    <row r="806" spans="1:22" x14ac:dyDescent="0.2">
      <c r="A806" t="s">
        <v>2128</v>
      </c>
      <c r="B806">
        <v>1064</v>
      </c>
      <c r="C806" t="s">
        <v>60</v>
      </c>
      <c r="D806" t="s">
        <v>156</v>
      </c>
      <c r="E806" t="s">
        <v>1671</v>
      </c>
      <c r="F806" t="s">
        <v>1672</v>
      </c>
      <c r="I806" t="s">
        <v>2118</v>
      </c>
      <c r="J806" t="s">
        <v>2119</v>
      </c>
      <c r="K806">
        <v>4950</v>
      </c>
      <c r="L806" t="s">
        <v>2129</v>
      </c>
      <c r="N806" t="s">
        <v>162</v>
      </c>
      <c r="O806" t="s">
        <v>162</v>
      </c>
      <c r="P806" t="s">
        <v>256</v>
      </c>
      <c r="Q806" t="s">
        <v>2121</v>
      </c>
      <c r="R806" t="s">
        <v>1674</v>
      </c>
      <c r="S806" t="s">
        <v>2125</v>
      </c>
      <c r="T806" t="s">
        <v>2046</v>
      </c>
      <c r="U806" t="s">
        <v>2047</v>
      </c>
      <c r="V806" t="s">
        <v>2048</v>
      </c>
    </row>
    <row r="807" spans="1:22" x14ac:dyDescent="0.2">
      <c r="A807" t="s">
        <v>2130</v>
      </c>
      <c r="B807">
        <v>1064</v>
      </c>
      <c r="C807" t="s">
        <v>60</v>
      </c>
      <c r="D807" t="s">
        <v>61</v>
      </c>
      <c r="E807" t="s">
        <v>1773</v>
      </c>
      <c r="F807" t="s">
        <v>1774</v>
      </c>
      <c r="G807" t="s">
        <v>111</v>
      </c>
      <c r="H807" t="s">
        <v>112</v>
      </c>
      <c r="I807" t="s">
        <v>2118</v>
      </c>
      <c r="J807" t="s">
        <v>2119</v>
      </c>
      <c r="K807">
        <v>6650</v>
      </c>
      <c r="L807" t="s">
        <v>2131</v>
      </c>
      <c r="N807" t="s">
        <v>162</v>
      </c>
      <c r="O807" t="s">
        <v>162</v>
      </c>
      <c r="P807" t="s">
        <v>256</v>
      </c>
      <c r="Q807" t="s">
        <v>2121</v>
      </c>
      <c r="R807" t="s">
        <v>1776</v>
      </c>
      <c r="S807" t="s">
        <v>2122</v>
      </c>
      <c r="T807" t="s">
        <v>2046</v>
      </c>
      <c r="U807" t="s">
        <v>2047</v>
      </c>
      <c r="V807" t="s">
        <v>2048</v>
      </c>
    </row>
    <row r="808" spans="1:22" x14ac:dyDescent="0.2">
      <c r="A808" t="s">
        <v>2132</v>
      </c>
      <c r="B808">
        <v>1064</v>
      </c>
      <c r="C808" t="s">
        <v>60</v>
      </c>
      <c r="D808" t="s">
        <v>61</v>
      </c>
      <c r="E808" t="s">
        <v>1773</v>
      </c>
      <c r="F808" t="s">
        <v>1774</v>
      </c>
      <c r="I808" t="s">
        <v>2118</v>
      </c>
      <c r="J808" t="s">
        <v>2119</v>
      </c>
      <c r="K808">
        <v>5950</v>
      </c>
      <c r="L808" t="s">
        <v>2133</v>
      </c>
      <c r="N808" t="s">
        <v>162</v>
      </c>
      <c r="O808" t="s">
        <v>162</v>
      </c>
      <c r="P808" t="s">
        <v>256</v>
      </c>
      <c r="Q808" t="s">
        <v>2121</v>
      </c>
      <c r="R808" t="s">
        <v>1776</v>
      </c>
      <c r="S808" t="s">
        <v>2125</v>
      </c>
      <c r="T808" t="s">
        <v>2046</v>
      </c>
      <c r="U808" t="s">
        <v>2047</v>
      </c>
      <c r="V808" t="s">
        <v>2048</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Charts</vt:lpstr>
      </vt:variant>
      <vt:variant>
        <vt:i4>1</vt:i4>
      </vt:variant>
    </vt:vector>
  </HeadingPairs>
  <TitlesOfParts>
    <vt:vector size="5" baseType="lpstr">
      <vt:lpstr>Charts</vt:lpstr>
      <vt:lpstr>snl</vt:lpstr>
      <vt:lpstr>Key</vt:lpstr>
      <vt:lpstr>catalog</vt:lpstr>
      <vt:lpstr>OLD-CHART</vt:lpstr>
    </vt:vector>
  </TitlesOfParts>
  <Company>Photodigm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Preston Young</dc:creator>
  <cp:lastModifiedBy>Christian Williams</cp:lastModifiedBy>
  <cp:lastPrinted>2009-11-30T22:13:20Z</cp:lastPrinted>
  <dcterms:created xsi:type="dcterms:W3CDTF">2007-07-14T17:32:55Z</dcterms:created>
  <dcterms:modified xsi:type="dcterms:W3CDTF">2025-07-16T15:05:37Z</dcterms:modified>
</cp:coreProperties>
</file>